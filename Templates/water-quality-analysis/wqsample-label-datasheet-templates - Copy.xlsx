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ussdore\Documents\GitHub\WWS-standard-methods\Templates\water-quality-analysis\"/>
    </mc:Choice>
  </mc:AlternateContent>
  <xr:revisionPtr revIDLastSave="0" documentId="13_ncr:1_{7747D799-F2D9-4864-B759-DB3A3831E8C8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README" sheetId="19" r:id="rId1"/>
    <sheet name="FILLME" sheetId="10" r:id="rId2"/>
    <sheet name="Label IDs" sheetId="4" r:id="rId3"/>
    <sheet name="Random numbers" sheetId="20" r:id="rId4"/>
    <sheet name="Labels-Field" sheetId="11" r:id="rId5"/>
    <sheet name="Labels-Lab" sheetId="7" r:id="rId6"/>
    <sheet name="DS-Bottle Numbers" sheetId="16" r:id="rId7"/>
    <sheet name="DS-ISCO Bottle Weight" sheetId="17" r:id="rId8"/>
    <sheet name="DS-Filter Weight" sheetId="1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0" l="1" a="1"/>
  <c r="A2" i="20" s="1"/>
  <c r="A2" i="11" a="1"/>
  <c r="A2" i="11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2" i="4"/>
  <c r="C102" i="11"/>
  <c r="C103" i="11"/>
  <c r="I2" i="4" a="1"/>
  <c r="C94" i="11" s="1"/>
  <c r="G293" i="4"/>
  <c r="K321" i="4"/>
  <c r="D321" i="4"/>
  <c r="B321" i="4"/>
  <c r="A321" i="4"/>
  <c r="K320" i="4"/>
  <c r="D320" i="4"/>
  <c r="B320" i="4"/>
  <c r="A320" i="4"/>
  <c r="K319" i="4"/>
  <c r="D319" i="4"/>
  <c r="B319" i="4"/>
  <c r="A319" i="4"/>
  <c r="K318" i="4"/>
  <c r="D318" i="4"/>
  <c r="B318" i="4"/>
  <c r="A318" i="4"/>
  <c r="K317" i="4"/>
  <c r="D317" i="4"/>
  <c r="B317" i="4"/>
  <c r="A317" i="4"/>
  <c r="K316" i="4"/>
  <c r="D316" i="4"/>
  <c r="B316" i="4"/>
  <c r="A316" i="4"/>
  <c r="K315" i="4"/>
  <c r="D315" i="4"/>
  <c r="B315" i="4"/>
  <c r="A315" i="4"/>
  <c r="K314" i="4"/>
  <c r="D314" i="4"/>
  <c r="B314" i="4"/>
  <c r="A314" i="4"/>
  <c r="K313" i="4"/>
  <c r="D313" i="4"/>
  <c r="B313" i="4"/>
  <c r="A313" i="4"/>
  <c r="K312" i="4"/>
  <c r="D312" i="4"/>
  <c r="B312" i="4"/>
  <c r="A312" i="4"/>
  <c r="K311" i="4"/>
  <c r="D311" i="4"/>
  <c r="B311" i="4"/>
  <c r="A311" i="4"/>
  <c r="K310" i="4"/>
  <c r="D310" i="4"/>
  <c r="B310" i="4"/>
  <c r="A310" i="4"/>
  <c r="K309" i="4"/>
  <c r="D309" i="4"/>
  <c r="B309" i="4"/>
  <c r="A309" i="4"/>
  <c r="K308" i="4"/>
  <c r="D308" i="4"/>
  <c r="B308" i="4"/>
  <c r="A308" i="4"/>
  <c r="K307" i="4"/>
  <c r="D307" i="4"/>
  <c r="B307" i="4"/>
  <c r="A307" i="4"/>
  <c r="K306" i="4"/>
  <c r="D306" i="4"/>
  <c r="B306" i="4"/>
  <c r="A306" i="4"/>
  <c r="K305" i="4"/>
  <c r="D305" i="4"/>
  <c r="B305" i="4"/>
  <c r="A305" i="4"/>
  <c r="K304" i="4"/>
  <c r="D304" i="4"/>
  <c r="B304" i="4"/>
  <c r="A304" i="4"/>
  <c r="K303" i="4"/>
  <c r="D303" i="4"/>
  <c r="B303" i="4"/>
  <c r="A303" i="4"/>
  <c r="K302" i="4"/>
  <c r="D302" i="4"/>
  <c r="B302" i="4"/>
  <c r="A302" i="4"/>
  <c r="K301" i="4"/>
  <c r="D301" i="4"/>
  <c r="B301" i="4"/>
  <c r="A301" i="4"/>
  <c r="K300" i="4"/>
  <c r="D300" i="4"/>
  <c r="B300" i="4"/>
  <c r="A300" i="4"/>
  <c r="K299" i="4"/>
  <c r="D299" i="4"/>
  <c r="B299" i="4"/>
  <c r="A299" i="4"/>
  <c r="K298" i="4"/>
  <c r="D298" i="4"/>
  <c r="B298" i="4"/>
  <c r="A298" i="4"/>
  <c r="K297" i="4"/>
  <c r="D297" i="4"/>
  <c r="B297" i="4"/>
  <c r="A297" i="4"/>
  <c r="K296" i="4"/>
  <c r="D296" i="4"/>
  <c r="B296" i="4"/>
  <c r="A296" i="4"/>
  <c r="K295" i="4"/>
  <c r="D295" i="4"/>
  <c r="B295" i="4"/>
  <c r="A295" i="4"/>
  <c r="K294" i="4"/>
  <c r="D294" i="4"/>
  <c r="B294" i="4"/>
  <c r="A294" i="4"/>
  <c r="K293" i="4"/>
  <c r="D293" i="4"/>
  <c r="B293" i="4"/>
  <c r="A293" i="4"/>
  <c r="K292" i="4"/>
  <c r="D292" i="4"/>
  <c r="B292" i="4"/>
  <c r="A292" i="4"/>
  <c r="K291" i="4"/>
  <c r="D291" i="4"/>
  <c r="B291" i="4"/>
  <c r="A291" i="4"/>
  <c r="K290" i="4"/>
  <c r="D290" i="4"/>
  <c r="B290" i="4"/>
  <c r="A290" i="4"/>
  <c r="K289" i="4"/>
  <c r="D289" i="4"/>
  <c r="B289" i="4"/>
  <c r="A289" i="4"/>
  <c r="K288" i="4"/>
  <c r="D288" i="4"/>
  <c r="B288" i="4"/>
  <c r="A288" i="4"/>
  <c r="K287" i="4"/>
  <c r="D287" i="4"/>
  <c r="B287" i="4"/>
  <c r="A287" i="4"/>
  <c r="K286" i="4"/>
  <c r="D286" i="4"/>
  <c r="B286" i="4"/>
  <c r="A286" i="4"/>
  <c r="K285" i="4"/>
  <c r="D285" i="4"/>
  <c r="B285" i="4"/>
  <c r="A285" i="4"/>
  <c r="K284" i="4"/>
  <c r="D284" i="4"/>
  <c r="B284" i="4"/>
  <c r="A284" i="4"/>
  <c r="K283" i="4"/>
  <c r="D283" i="4"/>
  <c r="B283" i="4"/>
  <c r="A283" i="4"/>
  <c r="K282" i="4"/>
  <c r="D282" i="4"/>
  <c r="B282" i="4"/>
  <c r="A282" i="4"/>
  <c r="K281" i="4"/>
  <c r="D281" i="4"/>
  <c r="B281" i="4"/>
  <c r="A281" i="4"/>
  <c r="K280" i="4"/>
  <c r="D280" i="4"/>
  <c r="B280" i="4"/>
  <c r="A280" i="4"/>
  <c r="K279" i="4"/>
  <c r="D279" i="4"/>
  <c r="B279" i="4"/>
  <c r="A279" i="4"/>
  <c r="K278" i="4"/>
  <c r="D278" i="4"/>
  <c r="B278" i="4"/>
  <c r="A278" i="4"/>
  <c r="K277" i="4"/>
  <c r="D277" i="4"/>
  <c r="B277" i="4"/>
  <c r="A277" i="4"/>
  <c r="K276" i="4"/>
  <c r="D276" i="4"/>
  <c r="B276" i="4"/>
  <c r="A276" i="4"/>
  <c r="K275" i="4"/>
  <c r="D275" i="4"/>
  <c r="B275" i="4"/>
  <c r="A275" i="4"/>
  <c r="K274" i="4"/>
  <c r="D274" i="4"/>
  <c r="B274" i="4"/>
  <c r="A274" i="4"/>
  <c r="K273" i="4"/>
  <c r="D273" i="4"/>
  <c r="B273" i="4"/>
  <c r="A273" i="4"/>
  <c r="K272" i="4"/>
  <c r="D272" i="4"/>
  <c r="B272" i="4"/>
  <c r="A272" i="4"/>
  <c r="K271" i="4"/>
  <c r="D271" i="4"/>
  <c r="B271" i="4"/>
  <c r="A271" i="4"/>
  <c r="K270" i="4"/>
  <c r="D270" i="4"/>
  <c r="B270" i="4"/>
  <c r="A270" i="4"/>
  <c r="K269" i="4"/>
  <c r="D269" i="4"/>
  <c r="B269" i="4"/>
  <c r="A269" i="4"/>
  <c r="K268" i="4"/>
  <c r="D268" i="4"/>
  <c r="B268" i="4"/>
  <c r="A268" i="4"/>
  <c r="K267" i="4"/>
  <c r="D267" i="4"/>
  <c r="B267" i="4"/>
  <c r="A267" i="4"/>
  <c r="K266" i="4"/>
  <c r="D266" i="4"/>
  <c r="B266" i="4"/>
  <c r="A266" i="4"/>
  <c r="K265" i="4"/>
  <c r="D265" i="4"/>
  <c r="B265" i="4"/>
  <c r="A265" i="4"/>
  <c r="K264" i="4"/>
  <c r="D264" i="4"/>
  <c r="B264" i="4"/>
  <c r="A264" i="4"/>
  <c r="K263" i="4"/>
  <c r="D263" i="4"/>
  <c r="B263" i="4"/>
  <c r="A263" i="4"/>
  <c r="K262" i="4"/>
  <c r="D262" i="4"/>
  <c r="B262" i="4"/>
  <c r="A262" i="4"/>
  <c r="K261" i="4"/>
  <c r="D261" i="4"/>
  <c r="B261" i="4"/>
  <c r="A261" i="4"/>
  <c r="K260" i="4"/>
  <c r="D260" i="4"/>
  <c r="B260" i="4"/>
  <c r="A260" i="4"/>
  <c r="K259" i="4"/>
  <c r="D259" i="4"/>
  <c r="B259" i="4"/>
  <c r="A259" i="4"/>
  <c r="K258" i="4"/>
  <c r="D258" i="4"/>
  <c r="B258" i="4"/>
  <c r="A258" i="4"/>
  <c r="K257" i="4"/>
  <c r="D257" i="4"/>
  <c r="B257" i="4"/>
  <c r="A257" i="4"/>
  <c r="K256" i="4"/>
  <c r="D256" i="4"/>
  <c r="B256" i="4"/>
  <c r="A256" i="4"/>
  <c r="K255" i="4"/>
  <c r="D255" i="4"/>
  <c r="B255" i="4"/>
  <c r="A255" i="4"/>
  <c r="K254" i="4"/>
  <c r="D254" i="4"/>
  <c r="B254" i="4"/>
  <c r="A254" i="4"/>
  <c r="K253" i="4"/>
  <c r="D253" i="4"/>
  <c r="B253" i="4"/>
  <c r="A253" i="4"/>
  <c r="K252" i="4"/>
  <c r="D252" i="4"/>
  <c r="B252" i="4"/>
  <c r="A252" i="4"/>
  <c r="K251" i="4"/>
  <c r="D251" i="4"/>
  <c r="B251" i="4"/>
  <c r="A251" i="4"/>
  <c r="K250" i="4"/>
  <c r="D250" i="4"/>
  <c r="B250" i="4"/>
  <c r="A250" i="4"/>
  <c r="K249" i="4"/>
  <c r="D249" i="4"/>
  <c r="B249" i="4"/>
  <c r="A249" i="4"/>
  <c r="K248" i="4"/>
  <c r="D248" i="4"/>
  <c r="B248" i="4"/>
  <c r="A248" i="4"/>
  <c r="K247" i="4"/>
  <c r="D247" i="4"/>
  <c r="B247" i="4"/>
  <c r="A247" i="4"/>
  <c r="K246" i="4"/>
  <c r="D246" i="4"/>
  <c r="B246" i="4"/>
  <c r="A246" i="4"/>
  <c r="K245" i="4"/>
  <c r="D245" i="4"/>
  <c r="B245" i="4"/>
  <c r="A245" i="4"/>
  <c r="K244" i="4"/>
  <c r="D244" i="4"/>
  <c r="B244" i="4"/>
  <c r="A244" i="4"/>
  <c r="K243" i="4"/>
  <c r="D243" i="4"/>
  <c r="B243" i="4"/>
  <c r="A243" i="4"/>
  <c r="K242" i="4"/>
  <c r="D242" i="4"/>
  <c r="B242" i="4"/>
  <c r="A242" i="4"/>
  <c r="K241" i="4"/>
  <c r="D241" i="4"/>
  <c r="B241" i="4"/>
  <c r="A241" i="4"/>
  <c r="K240" i="4"/>
  <c r="D240" i="4"/>
  <c r="B240" i="4"/>
  <c r="A240" i="4"/>
  <c r="K239" i="4"/>
  <c r="D239" i="4"/>
  <c r="B239" i="4"/>
  <c r="A239" i="4"/>
  <c r="K238" i="4"/>
  <c r="D238" i="4"/>
  <c r="B238" i="4"/>
  <c r="A238" i="4"/>
  <c r="K237" i="4"/>
  <c r="D237" i="4"/>
  <c r="B237" i="4"/>
  <c r="A237" i="4"/>
  <c r="K236" i="4"/>
  <c r="D236" i="4"/>
  <c r="B236" i="4"/>
  <c r="A236" i="4"/>
  <c r="K235" i="4"/>
  <c r="D235" i="4"/>
  <c r="B235" i="4"/>
  <c r="A235" i="4"/>
  <c r="K234" i="4"/>
  <c r="D234" i="4"/>
  <c r="B234" i="4"/>
  <c r="A234" i="4"/>
  <c r="K233" i="4"/>
  <c r="D233" i="4"/>
  <c r="B233" i="4"/>
  <c r="A233" i="4"/>
  <c r="K232" i="4"/>
  <c r="D232" i="4"/>
  <c r="B232" i="4"/>
  <c r="A232" i="4"/>
  <c r="K231" i="4"/>
  <c r="D231" i="4"/>
  <c r="B231" i="4"/>
  <c r="A231" i="4"/>
  <c r="K230" i="4"/>
  <c r="D230" i="4"/>
  <c r="B230" i="4"/>
  <c r="A230" i="4"/>
  <c r="K229" i="4"/>
  <c r="D229" i="4"/>
  <c r="B229" i="4"/>
  <c r="A229" i="4"/>
  <c r="K228" i="4"/>
  <c r="D228" i="4"/>
  <c r="B228" i="4"/>
  <c r="A228" i="4"/>
  <c r="K227" i="4"/>
  <c r="D227" i="4"/>
  <c r="B227" i="4"/>
  <c r="A227" i="4"/>
  <c r="K226" i="4"/>
  <c r="D226" i="4"/>
  <c r="B226" i="4"/>
  <c r="A226" i="4"/>
  <c r="K225" i="4"/>
  <c r="D225" i="4"/>
  <c r="B225" i="4"/>
  <c r="A225" i="4"/>
  <c r="K224" i="4"/>
  <c r="D224" i="4"/>
  <c r="B224" i="4"/>
  <c r="A224" i="4"/>
  <c r="K223" i="4"/>
  <c r="D223" i="4"/>
  <c r="B223" i="4"/>
  <c r="A223" i="4"/>
  <c r="K222" i="4"/>
  <c r="D222" i="4"/>
  <c r="B222" i="4"/>
  <c r="A222" i="4"/>
  <c r="K221" i="4"/>
  <c r="D221" i="4"/>
  <c r="B221" i="4"/>
  <c r="A221" i="4"/>
  <c r="K220" i="4"/>
  <c r="D220" i="4"/>
  <c r="B220" i="4"/>
  <c r="A220" i="4"/>
  <c r="K219" i="4"/>
  <c r="D219" i="4"/>
  <c r="B219" i="4"/>
  <c r="A219" i="4"/>
  <c r="K218" i="4"/>
  <c r="D218" i="4"/>
  <c r="B218" i="4"/>
  <c r="A218" i="4"/>
  <c r="K217" i="4"/>
  <c r="D217" i="4"/>
  <c r="B217" i="4"/>
  <c r="A217" i="4"/>
  <c r="K216" i="4"/>
  <c r="D216" i="4"/>
  <c r="B216" i="4"/>
  <c r="A216" i="4"/>
  <c r="K215" i="4"/>
  <c r="D215" i="4"/>
  <c r="B215" i="4"/>
  <c r="A215" i="4"/>
  <c r="K214" i="4"/>
  <c r="D214" i="4"/>
  <c r="B214" i="4"/>
  <c r="A214" i="4"/>
  <c r="K213" i="4"/>
  <c r="D213" i="4"/>
  <c r="B213" i="4"/>
  <c r="A213" i="4"/>
  <c r="K212" i="4"/>
  <c r="D212" i="4"/>
  <c r="B212" i="4"/>
  <c r="A212" i="4"/>
  <c r="K211" i="4"/>
  <c r="D211" i="4"/>
  <c r="B211" i="4"/>
  <c r="A211" i="4"/>
  <c r="K210" i="4"/>
  <c r="D210" i="4"/>
  <c r="B210" i="4"/>
  <c r="A210" i="4"/>
  <c r="K209" i="4"/>
  <c r="D209" i="4"/>
  <c r="B209" i="4"/>
  <c r="A209" i="4"/>
  <c r="K208" i="4"/>
  <c r="D208" i="4"/>
  <c r="B208" i="4"/>
  <c r="A208" i="4"/>
  <c r="K207" i="4"/>
  <c r="D207" i="4"/>
  <c r="B207" i="4"/>
  <c r="A207" i="4"/>
  <c r="K206" i="4"/>
  <c r="D206" i="4"/>
  <c r="B206" i="4"/>
  <c r="A206" i="4"/>
  <c r="K205" i="4"/>
  <c r="D205" i="4"/>
  <c r="B205" i="4"/>
  <c r="A205" i="4"/>
  <c r="K204" i="4"/>
  <c r="D204" i="4"/>
  <c r="B204" i="4"/>
  <c r="A204" i="4"/>
  <c r="K203" i="4"/>
  <c r="D203" i="4"/>
  <c r="B203" i="4"/>
  <c r="A203" i="4"/>
  <c r="K202" i="4"/>
  <c r="D202" i="4"/>
  <c r="B202" i="4"/>
  <c r="A202" i="4"/>
  <c r="K201" i="4"/>
  <c r="D201" i="4"/>
  <c r="B201" i="4"/>
  <c r="A201" i="4"/>
  <c r="K200" i="4"/>
  <c r="D200" i="4"/>
  <c r="B200" i="4"/>
  <c r="A200" i="4"/>
  <c r="K199" i="4"/>
  <c r="D199" i="4"/>
  <c r="B199" i="4"/>
  <c r="A199" i="4"/>
  <c r="K198" i="4"/>
  <c r="D198" i="4"/>
  <c r="B198" i="4"/>
  <c r="A198" i="4"/>
  <c r="K197" i="4"/>
  <c r="D197" i="4"/>
  <c r="B197" i="4"/>
  <c r="A197" i="4"/>
  <c r="K196" i="4"/>
  <c r="D196" i="4"/>
  <c r="B196" i="4"/>
  <c r="A196" i="4"/>
  <c r="K195" i="4"/>
  <c r="D195" i="4"/>
  <c r="B195" i="4"/>
  <c r="A195" i="4"/>
  <c r="K194" i="4"/>
  <c r="D194" i="4"/>
  <c r="B194" i="4"/>
  <c r="A194" i="4"/>
  <c r="K193" i="4"/>
  <c r="D193" i="4"/>
  <c r="B193" i="4"/>
  <c r="A193" i="4"/>
  <c r="K192" i="4"/>
  <c r="D192" i="4"/>
  <c r="B192" i="4"/>
  <c r="A192" i="4"/>
  <c r="K191" i="4"/>
  <c r="D191" i="4"/>
  <c r="B191" i="4"/>
  <c r="A191" i="4"/>
  <c r="K190" i="4"/>
  <c r="D190" i="4"/>
  <c r="B190" i="4"/>
  <c r="A190" i="4"/>
  <c r="K189" i="4"/>
  <c r="D189" i="4"/>
  <c r="B189" i="4"/>
  <c r="A189" i="4"/>
  <c r="K188" i="4"/>
  <c r="D188" i="4"/>
  <c r="B188" i="4"/>
  <c r="A188" i="4"/>
  <c r="K187" i="4"/>
  <c r="D187" i="4"/>
  <c r="B187" i="4"/>
  <c r="A187" i="4"/>
  <c r="K186" i="4"/>
  <c r="D186" i="4"/>
  <c r="B186" i="4"/>
  <c r="A186" i="4"/>
  <c r="K185" i="4"/>
  <c r="D185" i="4"/>
  <c r="B185" i="4"/>
  <c r="A185" i="4"/>
  <c r="K184" i="4"/>
  <c r="D184" i="4"/>
  <c r="B184" i="4"/>
  <c r="A184" i="4"/>
  <c r="K183" i="4"/>
  <c r="D183" i="4"/>
  <c r="B183" i="4"/>
  <c r="A183" i="4"/>
  <c r="K182" i="4"/>
  <c r="D182" i="4"/>
  <c r="B182" i="4"/>
  <c r="A182" i="4"/>
  <c r="K181" i="4"/>
  <c r="D181" i="4"/>
  <c r="B181" i="4"/>
  <c r="A181" i="4"/>
  <c r="K180" i="4"/>
  <c r="D180" i="4"/>
  <c r="B180" i="4"/>
  <c r="A180" i="4"/>
  <c r="K179" i="4"/>
  <c r="D179" i="4"/>
  <c r="B179" i="4"/>
  <c r="A179" i="4"/>
  <c r="K178" i="4"/>
  <c r="D178" i="4"/>
  <c r="B178" i="4"/>
  <c r="A178" i="4"/>
  <c r="K177" i="4"/>
  <c r="D177" i="4"/>
  <c r="B177" i="4"/>
  <c r="A177" i="4"/>
  <c r="K176" i="4"/>
  <c r="D176" i="4"/>
  <c r="B176" i="4"/>
  <c r="A176" i="4"/>
  <c r="K175" i="4"/>
  <c r="D175" i="4"/>
  <c r="B175" i="4"/>
  <c r="A175" i="4"/>
  <c r="K174" i="4"/>
  <c r="D174" i="4"/>
  <c r="B174" i="4"/>
  <c r="A174" i="4"/>
  <c r="K173" i="4"/>
  <c r="D173" i="4"/>
  <c r="B173" i="4"/>
  <c r="A173" i="4"/>
  <c r="K172" i="4"/>
  <c r="D172" i="4"/>
  <c r="B172" i="4"/>
  <c r="A172" i="4"/>
  <c r="K171" i="4"/>
  <c r="D171" i="4"/>
  <c r="B171" i="4"/>
  <c r="A171" i="4"/>
  <c r="K170" i="4"/>
  <c r="D170" i="4"/>
  <c r="B170" i="4"/>
  <c r="A170" i="4"/>
  <c r="K169" i="4"/>
  <c r="D169" i="4"/>
  <c r="B169" i="4"/>
  <c r="A169" i="4"/>
  <c r="K168" i="4"/>
  <c r="D168" i="4"/>
  <c r="B168" i="4"/>
  <c r="A168" i="4"/>
  <c r="K167" i="4"/>
  <c r="D167" i="4"/>
  <c r="B167" i="4"/>
  <c r="A167" i="4"/>
  <c r="K166" i="4"/>
  <c r="D166" i="4"/>
  <c r="B166" i="4"/>
  <c r="A166" i="4"/>
  <c r="K165" i="4"/>
  <c r="D165" i="4"/>
  <c r="B165" i="4"/>
  <c r="A165" i="4"/>
  <c r="K164" i="4"/>
  <c r="D164" i="4"/>
  <c r="B164" i="4"/>
  <c r="A164" i="4"/>
  <c r="K163" i="4"/>
  <c r="D163" i="4"/>
  <c r="B163" i="4"/>
  <c r="A163" i="4"/>
  <c r="K162" i="4"/>
  <c r="D162" i="4"/>
  <c r="B162" i="4"/>
  <c r="A162" i="4"/>
  <c r="K161" i="4"/>
  <c r="D161" i="4"/>
  <c r="B161" i="4"/>
  <c r="A161" i="4"/>
  <c r="K160" i="4"/>
  <c r="D160" i="4"/>
  <c r="B160" i="4"/>
  <c r="A160" i="4"/>
  <c r="K159" i="4"/>
  <c r="D159" i="4"/>
  <c r="B159" i="4"/>
  <c r="A159" i="4"/>
  <c r="K158" i="4"/>
  <c r="D158" i="4"/>
  <c r="B158" i="4"/>
  <c r="A158" i="4"/>
  <c r="K157" i="4"/>
  <c r="D157" i="4"/>
  <c r="B157" i="4"/>
  <c r="A157" i="4"/>
  <c r="K156" i="4"/>
  <c r="D156" i="4"/>
  <c r="B156" i="4"/>
  <c r="A156" i="4"/>
  <c r="K155" i="4"/>
  <c r="D155" i="4"/>
  <c r="B155" i="4"/>
  <c r="A155" i="4"/>
  <c r="K154" i="4"/>
  <c r="D154" i="4"/>
  <c r="B154" i="4"/>
  <c r="A154" i="4"/>
  <c r="K153" i="4"/>
  <c r="D153" i="4"/>
  <c r="B153" i="4"/>
  <c r="A153" i="4"/>
  <c r="K152" i="4"/>
  <c r="D152" i="4"/>
  <c r="B152" i="4"/>
  <c r="A152" i="4"/>
  <c r="K151" i="4"/>
  <c r="D151" i="4"/>
  <c r="B151" i="4"/>
  <c r="A151" i="4"/>
  <c r="K150" i="4"/>
  <c r="D150" i="4"/>
  <c r="B150" i="4"/>
  <c r="A150" i="4"/>
  <c r="K149" i="4"/>
  <c r="D149" i="4"/>
  <c r="B149" i="4"/>
  <c r="A149" i="4"/>
  <c r="K148" i="4"/>
  <c r="D148" i="4"/>
  <c r="B148" i="4"/>
  <c r="A148" i="4"/>
  <c r="K147" i="4"/>
  <c r="D147" i="4"/>
  <c r="B147" i="4"/>
  <c r="A147" i="4"/>
  <c r="K146" i="4"/>
  <c r="D146" i="4"/>
  <c r="B146" i="4"/>
  <c r="A146" i="4"/>
  <c r="K145" i="4"/>
  <c r="D145" i="4"/>
  <c r="B145" i="4"/>
  <c r="A145" i="4"/>
  <c r="K144" i="4"/>
  <c r="D144" i="4"/>
  <c r="B144" i="4"/>
  <c r="A144" i="4"/>
  <c r="K143" i="4"/>
  <c r="D143" i="4"/>
  <c r="B143" i="4"/>
  <c r="A143" i="4"/>
  <c r="K142" i="4"/>
  <c r="D142" i="4"/>
  <c r="B142" i="4"/>
  <c r="A142" i="4"/>
  <c r="K141" i="4"/>
  <c r="D141" i="4"/>
  <c r="B141" i="4"/>
  <c r="A141" i="4"/>
  <c r="K140" i="4"/>
  <c r="D140" i="4"/>
  <c r="B140" i="4"/>
  <c r="A140" i="4"/>
  <c r="K139" i="4"/>
  <c r="D139" i="4"/>
  <c r="B139" i="4"/>
  <c r="A139" i="4"/>
  <c r="K138" i="4"/>
  <c r="D138" i="4"/>
  <c r="B138" i="4"/>
  <c r="A138" i="4"/>
  <c r="K137" i="4"/>
  <c r="D137" i="4"/>
  <c r="B137" i="4"/>
  <c r="A137" i="4"/>
  <c r="K136" i="4"/>
  <c r="D136" i="4"/>
  <c r="B136" i="4"/>
  <c r="A136" i="4"/>
  <c r="K135" i="4"/>
  <c r="D135" i="4"/>
  <c r="B135" i="4"/>
  <c r="A135" i="4"/>
  <c r="K134" i="4"/>
  <c r="D134" i="4"/>
  <c r="B134" i="4"/>
  <c r="A134" i="4"/>
  <c r="K133" i="4"/>
  <c r="D133" i="4"/>
  <c r="B133" i="4"/>
  <c r="A133" i="4"/>
  <c r="K132" i="4"/>
  <c r="D132" i="4"/>
  <c r="B132" i="4"/>
  <c r="A132" i="4"/>
  <c r="K131" i="4"/>
  <c r="D131" i="4"/>
  <c r="B131" i="4"/>
  <c r="A131" i="4"/>
  <c r="K130" i="4"/>
  <c r="D130" i="4"/>
  <c r="B130" i="4"/>
  <c r="A130" i="4"/>
  <c r="K129" i="4"/>
  <c r="D129" i="4"/>
  <c r="B129" i="4"/>
  <c r="A129" i="4"/>
  <c r="K128" i="4"/>
  <c r="D128" i="4"/>
  <c r="B128" i="4"/>
  <c r="A128" i="4"/>
  <c r="K127" i="4"/>
  <c r="D127" i="4"/>
  <c r="B127" i="4"/>
  <c r="A127" i="4"/>
  <c r="K126" i="4"/>
  <c r="D126" i="4"/>
  <c r="B126" i="4"/>
  <c r="A126" i="4"/>
  <c r="K125" i="4"/>
  <c r="D125" i="4"/>
  <c r="B125" i="4"/>
  <c r="A125" i="4"/>
  <c r="K124" i="4"/>
  <c r="D124" i="4"/>
  <c r="B124" i="4"/>
  <c r="A124" i="4"/>
  <c r="K123" i="4"/>
  <c r="D123" i="4"/>
  <c r="B123" i="4"/>
  <c r="A123" i="4"/>
  <c r="K122" i="4"/>
  <c r="D122" i="4"/>
  <c r="B122" i="4"/>
  <c r="A122" i="4"/>
  <c r="K121" i="4"/>
  <c r="D121" i="4"/>
  <c r="B121" i="4"/>
  <c r="A121" i="4"/>
  <c r="K120" i="4"/>
  <c r="D120" i="4"/>
  <c r="B120" i="4"/>
  <c r="A120" i="4"/>
  <c r="K119" i="4"/>
  <c r="D119" i="4"/>
  <c r="B119" i="4"/>
  <c r="A119" i="4"/>
  <c r="K118" i="4"/>
  <c r="D118" i="4"/>
  <c r="B118" i="4"/>
  <c r="A118" i="4"/>
  <c r="K117" i="4"/>
  <c r="D117" i="4"/>
  <c r="B117" i="4"/>
  <c r="A117" i="4"/>
  <c r="K116" i="4"/>
  <c r="D116" i="4"/>
  <c r="B116" i="4"/>
  <c r="A116" i="4"/>
  <c r="K115" i="4"/>
  <c r="D115" i="4"/>
  <c r="B115" i="4"/>
  <c r="A115" i="4"/>
  <c r="K114" i="4"/>
  <c r="D114" i="4"/>
  <c r="B114" i="4"/>
  <c r="A114" i="4"/>
  <c r="K113" i="4"/>
  <c r="D113" i="4"/>
  <c r="B113" i="4"/>
  <c r="A113" i="4"/>
  <c r="K112" i="4"/>
  <c r="D112" i="4"/>
  <c r="B112" i="4"/>
  <c r="A112" i="4"/>
  <c r="K111" i="4"/>
  <c r="D111" i="4"/>
  <c r="B111" i="4"/>
  <c r="A111" i="4"/>
  <c r="K110" i="4"/>
  <c r="D110" i="4"/>
  <c r="B110" i="4"/>
  <c r="A110" i="4"/>
  <c r="K109" i="4"/>
  <c r="D109" i="4"/>
  <c r="B109" i="4"/>
  <c r="A109" i="4"/>
  <c r="K108" i="4"/>
  <c r="D108" i="4"/>
  <c r="B108" i="4"/>
  <c r="A108" i="4"/>
  <c r="K107" i="4"/>
  <c r="D107" i="4"/>
  <c r="B107" i="4"/>
  <c r="A107" i="4"/>
  <c r="K106" i="4"/>
  <c r="D106" i="4"/>
  <c r="B106" i="4"/>
  <c r="A106" i="4"/>
  <c r="K105" i="4"/>
  <c r="D105" i="4"/>
  <c r="B105" i="4"/>
  <c r="A105" i="4"/>
  <c r="K104" i="4"/>
  <c r="D104" i="4"/>
  <c r="B104" i="4"/>
  <c r="A104" i="4"/>
  <c r="K103" i="4"/>
  <c r="D103" i="4"/>
  <c r="B103" i="4"/>
  <c r="A103" i="4"/>
  <c r="K102" i="4"/>
  <c r="D102" i="4"/>
  <c r="B102" i="4"/>
  <c r="A102" i="4"/>
  <c r="D101" i="4"/>
  <c r="B101" i="4"/>
  <c r="A101" i="4"/>
  <c r="D100" i="4"/>
  <c r="B100" i="4"/>
  <c r="A100" i="4"/>
  <c r="D99" i="4"/>
  <c r="B99" i="4"/>
  <c r="A99" i="4"/>
  <c r="D98" i="4"/>
  <c r="B98" i="4"/>
  <c r="A98" i="4"/>
  <c r="D97" i="4"/>
  <c r="B97" i="4"/>
  <c r="A97" i="4"/>
  <c r="D96" i="4"/>
  <c r="B96" i="4"/>
  <c r="A96" i="4"/>
  <c r="D95" i="4"/>
  <c r="B95" i="4"/>
  <c r="A95" i="4"/>
  <c r="D94" i="4"/>
  <c r="B94" i="4"/>
  <c r="A94" i="4"/>
  <c r="D93" i="4"/>
  <c r="B93" i="4"/>
  <c r="A93" i="4"/>
  <c r="D92" i="4"/>
  <c r="B92" i="4"/>
  <c r="A92" i="4"/>
  <c r="D91" i="4"/>
  <c r="B91" i="4"/>
  <c r="A91" i="4"/>
  <c r="D90" i="4"/>
  <c r="B90" i="4"/>
  <c r="A90" i="4"/>
  <c r="D89" i="4"/>
  <c r="B89" i="4"/>
  <c r="A89" i="4"/>
  <c r="D88" i="4"/>
  <c r="B88" i="4"/>
  <c r="A88" i="4"/>
  <c r="D87" i="4"/>
  <c r="B87" i="4"/>
  <c r="A87" i="4"/>
  <c r="D86" i="4"/>
  <c r="B86" i="4"/>
  <c r="A86" i="4"/>
  <c r="D85" i="4"/>
  <c r="B85" i="4"/>
  <c r="A85" i="4"/>
  <c r="D84" i="4"/>
  <c r="B84" i="4"/>
  <c r="A84" i="4"/>
  <c r="D83" i="4"/>
  <c r="B83" i="4"/>
  <c r="A83" i="4"/>
  <c r="D82" i="4"/>
  <c r="B82" i="4"/>
  <c r="A82" i="4"/>
  <c r="D81" i="4"/>
  <c r="B81" i="4"/>
  <c r="A81" i="4"/>
  <c r="D80" i="4"/>
  <c r="B80" i="4"/>
  <c r="A80" i="4"/>
  <c r="D79" i="4"/>
  <c r="B79" i="4"/>
  <c r="A79" i="4"/>
  <c r="D78" i="4"/>
  <c r="B78" i="4"/>
  <c r="A78" i="4"/>
  <c r="D77" i="4"/>
  <c r="B77" i="4"/>
  <c r="A77" i="4"/>
  <c r="D76" i="4"/>
  <c r="B76" i="4"/>
  <c r="A76" i="4"/>
  <c r="D75" i="4"/>
  <c r="B75" i="4"/>
  <c r="A75" i="4"/>
  <c r="D74" i="4"/>
  <c r="B74" i="4"/>
  <c r="A74" i="4"/>
  <c r="D73" i="4"/>
  <c r="B73" i="4"/>
  <c r="A73" i="4"/>
  <c r="D72" i="4"/>
  <c r="B72" i="4"/>
  <c r="A72" i="4"/>
  <c r="D71" i="4"/>
  <c r="B71" i="4"/>
  <c r="A71" i="4"/>
  <c r="D70" i="4"/>
  <c r="B70" i="4"/>
  <c r="A70" i="4"/>
  <c r="D69" i="4"/>
  <c r="B69" i="4"/>
  <c r="A69" i="4"/>
  <c r="D68" i="4"/>
  <c r="B68" i="4"/>
  <c r="A68" i="4"/>
  <c r="D67" i="4"/>
  <c r="B67" i="4"/>
  <c r="A67" i="4"/>
  <c r="D66" i="4"/>
  <c r="B66" i="4"/>
  <c r="A66" i="4"/>
  <c r="D65" i="4"/>
  <c r="B65" i="4"/>
  <c r="A65" i="4"/>
  <c r="D64" i="4"/>
  <c r="B64" i="4"/>
  <c r="A64" i="4"/>
  <c r="D63" i="4"/>
  <c r="B63" i="4"/>
  <c r="A63" i="4"/>
  <c r="D62" i="4"/>
  <c r="B62" i="4"/>
  <c r="A62" i="4"/>
  <c r="D61" i="4"/>
  <c r="B61" i="4"/>
  <c r="A61" i="4"/>
  <c r="D60" i="4"/>
  <c r="B60" i="4"/>
  <c r="A60" i="4"/>
  <c r="D59" i="4"/>
  <c r="B59" i="4"/>
  <c r="A59" i="4"/>
  <c r="D58" i="4"/>
  <c r="B58" i="4"/>
  <c r="A58" i="4"/>
  <c r="D57" i="4"/>
  <c r="B57" i="4"/>
  <c r="A57" i="4"/>
  <c r="D56" i="4"/>
  <c r="B56" i="4"/>
  <c r="A56" i="4"/>
  <c r="D55" i="4"/>
  <c r="B55" i="4"/>
  <c r="A55" i="4"/>
  <c r="D54" i="4"/>
  <c r="B54" i="4"/>
  <c r="A54" i="4"/>
  <c r="D53" i="4"/>
  <c r="B53" i="4"/>
  <c r="A53" i="4"/>
  <c r="D52" i="4"/>
  <c r="B52" i="4"/>
  <c r="A52" i="4"/>
  <c r="D51" i="4"/>
  <c r="B51" i="4"/>
  <c r="A51" i="4"/>
  <c r="D50" i="4"/>
  <c r="B50" i="4"/>
  <c r="A50" i="4"/>
  <c r="D49" i="4"/>
  <c r="B49" i="4"/>
  <c r="A49" i="4"/>
  <c r="D48" i="4"/>
  <c r="B48" i="4"/>
  <c r="A48" i="4"/>
  <c r="D47" i="4"/>
  <c r="B47" i="4"/>
  <c r="A47" i="4"/>
  <c r="D46" i="4"/>
  <c r="B46" i="4"/>
  <c r="A46" i="4"/>
  <c r="D45" i="4"/>
  <c r="B45" i="4"/>
  <c r="A45" i="4"/>
  <c r="D44" i="4"/>
  <c r="B44" i="4"/>
  <c r="A44" i="4"/>
  <c r="D43" i="4"/>
  <c r="B43" i="4"/>
  <c r="A43" i="4"/>
  <c r="D42" i="4"/>
  <c r="B42" i="4"/>
  <c r="A42" i="4"/>
  <c r="D41" i="4"/>
  <c r="B41" i="4"/>
  <c r="A41" i="4"/>
  <c r="D40" i="4"/>
  <c r="B40" i="4"/>
  <c r="A40" i="4"/>
  <c r="D39" i="4"/>
  <c r="B39" i="4"/>
  <c r="A39" i="4"/>
  <c r="D38" i="4"/>
  <c r="B38" i="4"/>
  <c r="A38" i="4"/>
  <c r="D37" i="4"/>
  <c r="B37" i="4"/>
  <c r="A37" i="4"/>
  <c r="D36" i="4"/>
  <c r="B36" i="4"/>
  <c r="A36" i="4"/>
  <c r="D35" i="4"/>
  <c r="B35" i="4"/>
  <c r="A35" i="4"/>
  <c r="D34" i="4"/>
  <c r="B34" i="4"/>
  <c r="A34" i="4"/>
  <c r="D33" i="4"/>
  <c r="B33" i="4"/>
  <c r="A33" i="4"/>
  <c r="D32" i="4"/>
  <c r="B32" i="4"/>
  <c r="A32" i="4"/>
  <c r="D31" i="4"/>
  <c r="B31" i="4"/>
  <c r="A31" i="4"/>
  <c r="D30" i="4"/>
  <c r="B30" i="4"/>
  <c r="A30" i="4"/>
  <c r="D29" i="4"/>
  <c r="B29" i="4"/>
  <c r="A29" i="4"/>
  <c r="D28" i="4"/>
  <c r="B28" i="4"/>
  <c r="A28" i="4"/>
  <c r="D27" i="4"/>
  <c r="B27" i="4"/>
  <c r="A27" i="4"/>
  <c r="D26" i="4"/>
  <c r="B26" i="4"/>
  <c r="A26" i="4"/>
  <c r="D25" i="4"/>
  <c r="B25" i="4"/>
  <c r="A25" i="4"/>
  <c r="D24" i="4"/>
  <c r="B24" i="4"/>
  <c r="A24" i="4"/>
  <c r="D23" i="4"/>
  <c r="B23" i="4"/>
  <c r="A23" i="4"/>
  <c r="D22" i="4"/>
  <c r="B22" i="4"/>
  <c r="A22" i="4"/>
  <c r="D21" i="4"/>
  <c r="B21" i="4"/>
  <c r="A21" i="4"/>
  <c r="D20" i="4"/>
  <c r="B20" i="4"/>
  <c r="A20" i="4"/>
  <c r="D19" i="4"/>
  <c r="B19" i="4"/>
  <c r="A19" i="4"/>
  <c r="D18" i="4"/>
  <c r="B18" i="4"/>
  <c r="A18" i="4"/>
  <c r="D17" i="4"/>
  <c r="B17" i="4"/>
  <c r="A17" i="4"/>
  <c r="D16" i="4"/>
  <c r="B16" i="4"/>
  <c r="A16" i="4"/>
  <c r="D15" i="4"/>
  <c r="B15" i="4"/>
  <c r="A15" i="4"/>
  <c r="D14" i="4"/>
  <c r="B14" i="4"/>
  <c r="A14" i="4"/>
  <c r="D13" i="4"/>
  <c r="B13" i="4"/>
  <c r="A13" i="4"/>
  <c r="D12" i="4"/>
  <c r="B12" i="4"/>
  <c r="A12" i="4"/>
  <c r="D11" i="4"/>
  <c r="B11" i="4"/>
  <c r="A11" i="4"/>
  <c r="D10" i="4"/>
  <c r="B10" i="4"/>
  <c r="A10" i="4"/>
  <c r="D9" i="4"/>
  <c r="B9" i="4"/>
  <c r="A9" i="4"/>
  <c r="D8" i="4"/>
  <c r="B8" i="4"/>
  <c r="A8" i="4"/>
  <c r="D7" i="4"/>
  <c r="B7" i="4"/>
  <c r="A7" i="4"/>
  <c r="D6" i="4"/>
  <c r="B6" i="4"/>
  <c r="A6" i="4"/>
  <c r="D5" i="4"/>
  <c r="B5" i="4"/>
  <c r="A5" i="4"/>
  <c r="D4" i="4"/>
  <c r="B4" i="4"/>
  <c r="A4" i="4"/>
  <c r="D3" i="4"/>
  <c r="B3" i="4"/>
  <c r="A3" i="4"/>
  <c r="J2" i="4" a="1"/>
  <c r="D2" i="4"/>
  <c r="B2" i="4"/>
  <c r="A2" i="4"/>
  <c r="B16" i="10"/>
  <c r="M293" i="4" l="1"/>
  <c r="I2" i="4"/>
  <c r="C2" i="11" s="1"/>
  <c r="C6" i="11"/>
  <c r="C22" i="11"/>
  <c r="C38" i="11"/>
  <c r="C54" i="11"/>
  <c r="C70" i="11"/>
  <c r="C10" i="11"/>
  <c r="C26" i="11"/>
  <c r="C42" i="11"/>
  <c r="C58" i="11"/>
  <c r="C74" i="11"/>
  <c r="C14" i="11"/>
  <c r="C30" i="11"/>
  <c r="C46" i="11"/>
  <c r="C62" i="11"/>
  <c r="C78" i="11"/>
  <c r="C18" i="11"/>
  <c r="C82" i="11"/>
  <c r="C98" i="11"/>
  <c r="C34" i="11"/>
  <c r="C86" i="11"/>
  <c r="C50" i="11"/>
  <c r="C90" i="11"/>
  <c r="C66" i="11"/>
  <c r="C101" i="11"/>
  <c r="C97" i="11"/>
  <c r="C93" i="11"/>
  <c r="C89" i="11"/>
  <c r="C85" i="11"/>
  <c r="C81" i="11"/>
  <c r="C77" i="11"/>
  <c r="C73" i="11"/>
  <c r="C69" i="11"/>
  <c r="C65" i="11"/>
  <c r="C61" i="11"/>
  <c r="C57" i="11"/>
  <c r="C53" i="11"/>
  <c r="C49" i="11"/>
  <c r="C45" i="11"/>
  <c r="C41" i="11"/>
  <c r="C37" i="11"/>
  <c r="C33" i="11"/>
  <c r="C29" i="11"/>
  <c r="C25" i="11"/>
  <c r="C21" i="11"/>
  <c r="C17" i="11"/>
  <c r="C13" i="11"/>
  <c r="C9" i="11"/>
  <c r="C5" i="11"/>
  <c r="C100" i="11"/>
  <c r="C96" i="11"/>
  <c r="C92" i="11"/>
  <c r="C88" i="11"/>
  <c r="C84" i="11"/>
  <c r="C80" i="11"/>
  <c r="C76" i="11"/>
  <c r="C72" i="11"/>
  <c r="C68" i="11"/>
  <c r="C64" i="11"/>
  <c r="C60" i="11"/>
  <c r="C56" i="11"/>
  <c r="C52" i="11"/>
  <c r="C48" i="11"/>
  <c r="C44" i="11"/>
  <c r="C40" i="11"/>
  <c r="C36" i="11"/>
  <c r="C32" i="11"/>
  <c r="C28" i="11"/>
  <c r="C24" i="11"/>
  <c r="C20" i="11"/>
  <c r="C16" i="11"/>
  <c r="C12" i="11"/>
  <c r="C8" i="11"/>
  <c r="C4" i="11"/>
  <c r="C99" i="11"/>
  <c r="C95" i="11"/>
  <c r="C91" i="11"/>
  <c r="C87" i="11"/>
  <c r="C83" i="11"/>
  <c r="C79" i="11"/>
  <c r="C75" i="11"/>
  <c r="C71" i="11"/>
  <c r="C67" i="11"/>
  <c r="C63" i="11"/>
  <c r="C59" i="11"/>
  <c r="C55" i="11"/>
  <c r="C51" i="11"/>
  <c r="C47" i="11"/>
  <c r="C43" i="11"/>
  <c r="C39" i="11"/>
  <c r="C35" i="11"/>
  <c r="C31" i="11"/>
  <c r="C27" i="11"/>
  <c r="C23" i="11"/>
  <c r="C19" i="11"/>
  <c r="C15" i="11"/>
  <c r="C11" i="11"/>
  <c r="C7" i="11"/>
  <c r="C3" i="11"/>
  <c r="G6" i="10"/>
  <c r="F2" i="4" a="1"/>
  <c r="F2" i="4" s="1"/>
  <c r="P32" i="4"/>
  <c r="H2" i="4" a="1"/>
  <c r="K101" i="4" s="1"/>
  <c r="P9" i="4"/>
  <c r="P7" i="4"/>
  <c r="P298" i="4"/>
  <c r="P43" i="4"/>
  <c r="P30" i="4"/>
  <c r="P15" i="4"/>
  <c r="P300" i="4"/>
  <c r="P19" i="4"/>
  <c r="P302" i="4"/>
  <c r="P34" i="4"/>
  <c r="P281" i="4"/>
  <c r="P279" i="4"/>
  <c r="P277" i="4"/>
  <c r="P267" i="4"/>
  <c r="P265" i="4"/>
  <c r="P263" i="4"/>
  <c r="P261" i="4"/>
  <c r="P259" i="4"/>
  <c r="P255" i="4"/>
  <c r="P253" i="4"/>
  <c r="P251" i="4"/>
  <c r="P247" i="4"/>
  <c r="P245" i="4"/>
  <c r="P239" i="4"/>
  <c r="P237" i="4"/>
  <c r="P235" i="4"/>
  <c r="P225" i="4"/>
  <c r="P223" i="4"/>
  <c r="P221" i="4"/>
  <c r="P219" i="4"/>
  <c r="P215" i="4"/>
  <c r="P213" i="4"/>
  <c r="P211" i="4"/>
  <c r="P209" i="4"/>
  <c r="P205" i="4"/>
  <c r="P203" i="4"/>
  <c r="P197" i="4"/>
  <c r="P195" i="4"/>
  <c r="P193" i="4"/>
  <c r="P183" i="4"/>
  <c r="P181" i="4"/>
  <c r="P179" i="4"/>
  <c r="P175" i="4"/>
  <c r="P173" i="4"/>
  <c r="P171" i="4"/>
  <c r="P169" i="4"/>
  <c r="P167" i="4"/>
  <c r="P163" i="4"/>
  <c r="P161" i="4"/>
  <c r="P155" i="4"/>
  <c r="P153" i="4"/>
  <c r="P151" i="4"/>
  <c r="P141" i="4"/>
  <c r="P139" i="4"/>
  <c r="P135" i="4"/>
  <c r="P133" i="4"/>
  <c r="P131" i="4"/>
  <c r="P129" i="4"/>
  <c r="P127" i="4"/>
  <c r="P119" i="4"/>
  <c r="P115" i="4"/>
  <c r="P113" i="4"/>
  <c r="P38" i="4"/>
  <c r="P25" i="4"/>
  <c r="P285" i="4"/>
  <c r="P295" i="4"/>
  <c r="P299" i="4"/>
  <c r="P301" i="4"/>
  <c r="P303" i="4"/>
  <c r="P305" i="4"/>
  <c r="P307" i="4"/>
  <c r="P309" i="4"/>
  <c r="P311" i="4"/>
  <c r="P315" i="4"/>
  <c r="P317" i="4"/>
  <c r="G301" i="4"/>
  <c r="M301" i="4" s="1"/>
  <c r="E166" i="4"/>
  <c r="L166" i="4" s="1"/>
  <c r="G319" i="4"/>
  <c r="M319" i="4" s="1"/>
  <c r="E309" i="4"/>
  <c r="L309" i="4" s="1"/>
  <c r="E306" i="4"/>
  <c r="L306" i="4" s="1"/>
  <c r="E98" i="4"/>
  <c r="G122" i="4"/>
  <c r="M122" i="4" s="1"/>
  <c r="E11" i="4"/>
  <c r="G218" i="4"/>
  <c r="M218" i="4" s="1"/>
  <c r="E67" i="4"/>
  <c r="E132" i="4"/>
  <c r="L132" i="4" s="1"/>
  <c r="E109" i="4"/>
  <c r="L109" i="4" s="1"/>
  <c r="E27" i="4"/>
  <c r="G109" i="4"/>
  <c r="M109" i="4" s="1"/>
  <c r="E78" i="4"/>
  <c r="E101" i="4"/>
  <c r="E59" i="4"/>
  <c r="G197" i="4"/>
  <c r="M197" i="4" s="1"/>
  <c r="G273" i="4"/>
  <c r="M273" i="4" s="1"/>
  <c r="G306" i="4"/>
  <c r="M306" i="4" s="1"/>
  <c r="G298" i="4"/>
  <c r="M298" i="4" s="1"/>
  <c r="E169" i="4"/>
  <c r="L169" i="4" s="1"/>
  <c r="E56" i="4"/>
  <c r="G169" i="4"/>
  <c r="M169" i="4" s="1"/>
  <c r="E3" i="4"/>
  <c r="E48" i="4"/>
  <c r="E87" i="4"/>
  <c r="E156" i="4"/>
  <c r="L156" i="4" s="1"/>
  <c r="G138" i="4"/>
  <c r="M138" i="4" s="1"/>
  <c r="E242" i="4"/>
  <c r="L242" i="4" s="1"/>
  <c r="G153" i="4"/>
  <c r="M153" i="4" s="1"/>
  <c r="E234" i="4"/>
  <c r="L234" i="4" s="1"/>
  <c r="G242" i="4"/>
  <c r="M242" i="4" s="1"/>
  <c r="E22" i="4"/>
  <c r="G234" i="4"/>
  <c r="M234" i="4" s="1"/>
  <c r="G239" i="4"/>
  <c r="M239" i="4" s="1"/>
  <c r="G221" i="4"/>
  <c r="M221" i="4" s="1"/>
  <c r="E12" i="4"/>
  <c r="E122" i="4"/>
  <c r="L122" i="4" s="1"/>
  <c r="E16" i="4"/>
  <c r="E37" i="4"/>
  <c r="E47" i="4"/>
  <c r="E58" i="4"/>
  <c r="E121" i="4"/>
  <c r="L121" i="4" s="1"/>
  <c r="E129" i="4"/>
  <c r="L129" i="4" s="1"/>
  <c r="G137" i="4"/>
  <c r="M137" i="4" s="1"/>
  <c r="E194" i="4"/>
  <c r="L194" i="4" s="1"/>
  <c r="E202" i="4"/>
  <c r="L202" i="4" s="1"/>
  <c r="E249" i="4"/>
  <c r="L249" i="4" s="1"/>
  <c r="E86" i="4"/>
  <c r="E97" i="4"/>
  <c r="G129" i="4"/>
  <c r="M129" i="4" s="1"/>
  <c r="G194" i="4"/>
  <c r="M194" i="4" s="1"/>
  <c r="G202" i="4"/>
  <c r="M202" i="4" s="1"/>
  <c r="G249" i="4"/>
  <c r="M249" i="4" s="1"/>
  <c r="E282" i="4"/>
  <c r="L282" i="4" s="1"/>
  <c r="E34" i="4"/>
  <c r="E83" i="4"/>
  <c r="E94" i="4"/>
  <c r="G118" i="4"/>
  <c r="M118" i="4" s="1"/>
  <c r="G126" i="4"/>
  <c r="M126" i="4" s="1"/>
  <c r="G134" i="4"/>
  <c r="M134" i="4" s="1"/>
  <c r="G181" i="4"/>
  <c r="M181" i="4" s="1"/>
  <c r="G199" i="4"/>
  <c r="M199" i="4" s="1"/>
  <c r="G246" i="4"/>
  <c r="M246" i="4" s="1"/>
  <c r="G313" i="4"/>
  <c r="M313" i="4" s="1"/>
  <c r="E2" i="4"/>
  <c r="E8" i="4"/>
  <c r="E19" i="4"/>
  <c r="E64" i="4"/>
  <c r="G108" i="4"/>
  <c r="M108" i="4" s="1"/>
  <c r="G166" i="4"/>
  <c r="M166" i="4" s="1"/>
  <c r="E29" i="4"/>
  <c r="E246" i="4"/>
  <c r="L246" i="4" s="1"/>
  <c r="G321" i="4"/>
  <c r="M321" i="4" s="1"/>
  <c r="E44" i="4"/>
  <c r="E91" i="4"/>
  <c r="G318" i="4"/>
  <c r="M318" i="4" s="1"/>
  <c r="E23" i="4"/>
  <c r="E36" i="4"/>
  <c r="G154" i="4"/>
  <c r="M154" i="4" s="1"/>
  <c r="E162" i="4"/>
  <c r="L162" i="4" s="1"/>
  <c r="E209" i="4"/>
  <c r="L209" i="4" s="1"/>
  <c r="E289" i="4"/>
  <c r="L289" i="4" s="1"/>
  <c r="E26" i="4"/>
  <c r="E52" i="4"/>
  <c r="E66" i="4"/>
  <c r="G178" i="4"/>
  <c r="M178" i="4" s="1"/>
  <c r="E41" i="4"/>
  <c r="E33" i="4"/>
  <c r="E82" i="4"/>
  <c r="E93" i="4"/>
  <c r="G162" i="4"/>
  <c r="M162" i="4" s="1"/>
  <c r="G209" i="4"/>
  <c r="M209" i="4" s="1"/>
  <c r="E294" i="4"/>
  <c r="L294" i="4" s="1"/>
  <c r="E18" i="4"/>
  <c r="G102" i="4"/>
  <c r="M102" i="4" s="1"/>
  <c r="E74" i="4"/>
  <c r="L74" i="4" s="1"/>
  <c r="G261" i="4"/>
  <c r="M261" i="4" s="1"/>
  <c r="E4" i="4"/>
  <c r="E71" i="4"/>
  <c r="G82" i="4"/>
  <c r="M82" i="4" s="1"/>
  <c r="E104" i="4"/>
  <c r="L104" i="4" s="1"/>
  <c r="G112" i="4"/>
  <c r="M112" i="4" s="1"/>
  <c r="G141" i="4"/>
  <c r="M141" i="4" s="1"/>
  <c r="E206" i="4"/>
  <c r="L206" i="4" s="1"/>
  <c r="G237" i="4"/>
  <c r="M237" i="4" s="1"/>
  <c r="G258" i="4"/>
  <c r="M258" i="4" s="1"/>
  <c r="E286" i="4"/>
  <c r="L286" i="4" s="1"/>
  <c r="E63" i="4"/>
  <c r="E7" i="4"/>
  <c r="G157" i="4"/>
  <c r="M157" i="4" s="1"/>
  <c r="E43" i="4"/>
  <c r="E51" i="4"/>
  <c r="E62" i="4"/>
  <c r="E79" i="4"/>
  <c r="G159" i="4"/>
  <c r="M159" i="4" s="1"/>
  <c r="G206" i="4"/>
  <c r="M206" i="4" s="1"/>
  <c r="G286" i="4"/>
  <c r="M286" i="4" s="1"/>
  <c r="E102" i="4"/>
  <c r="L102" i="4" s="1"/>
  <c r="E106" i="4"/>
  <c r="L106" i="4" s="1"/>
  <c r="G113" i="4"/>
  <c r="M113" i="4" s="1"/>
  <c r="E126" i="4"/>
  <c r="L126" i="4" s="1"/>
  <c r="E154" i="4"/>
  <c r="L154" i="4" s="1"/>
  <c r="G179" i="4"/>
  <c r="M179" i="4" s="1"/>
  <c r="G182" i="4"/>
  <c r="M182" i="4" s="1"/>
  <c r="G219" i="4"/>
  <c r="M219" i="4" s="1"/>
  <c r="G222" i="4"/>
  <c r="M222" i="4" s="1"/>
  <c r="G259" i="4"/>
  <c r="M259" i="4" s="1"/>
  <c r="G262" i="4"/>
  <c r="M262" i="4" s="1"/>
  <c r="G274" i="4"/>
  <c r="M274" i="4" s="1"/>
  <c r="G277" i="4"/>
  <c r="M277" i="4" s="1"/>
  <c r="E108" i="4"/>
  <c r="L108" i="4" s="1"/>
  <c r="E134" i="4"/>
  <c r="L134" i="4" s="1"/>
  <c r="G193" i="4"/>
  <c r="M193" i="4" s="1"/>
  <c r="G233" i="4"/>
  <c r="M233" i="4" s="1"/>
  <c r="G279" i="4"/>
  <c r="M279" i="4" s="1"/>
  <c r="G282" i="4"/>
  <c r="M282" i="4" s="1"/>
  <c r="G294" i="4"/>
  <c r="M294" i="4" s="1"/>
  <c r="G297" i="4"/>
  <c r="M297" i="4" s="1"/>
  <c r="E89" i="4"/>
  <c r="G104" i="4"/>
  <c r="M104" i="4" s="1"/>
  <c r="E174" i="4"/>
  <c r="L174" i="4" s="1"/>
  <c r="E214" i="4"/>
  <c r="L214" i="4" s="1"/>
  <c r="E254" i="4"/>
  <c r="L254" i="4" s="1"/>
  <c r="E14" i="4"/>
  <c r="E32" i="4"/>
  <c r="E77" i="4"/>
  <c r="E146" i="4"/>
  <c r="L146" i="4" s="1"/>
  <c r="G174" i="4"/>
  <c r="M174" i="4" s="1"/>
  <c r="G177" i="4"/>
  <c r="M177" i="4" s="1"/>
  <c r="G214" i="4"/>
  <c r="M214" i="4" s="1"/>
  <c r="G217" i="4"/>
  <c r="M217" i="4" s="1"/>
  <c r="G254" i="4"/>
  <c r="M254" i="4" s="1"/>
  <c r="G257" i="4"/>
  <c r="M257" i="4" s="1"/>
  <c r="E54" i="4"/>
  <c r="E73" i="4"/>
  <c r="E81" i="4"/>
  <c r="E107" i="4"/>
  <c r="L107" i="4" s="1"/>
  <c r="E111" i="4"/>
  <c r="L111" i="4" s="1"/>
  <c r="G146" i="4"/>
  <c r="M146" i="4" s="1"/>
  <c r="E149" i="4"/>
  <c r="L149" i="4" s="1"/>
  <c r="E266" i="4"/>
  <c r="L266" i="4" s="1"/>
  <c r="G278" i="4"/>
  <c r="M278" i="4" s="1"/>
  <c r="E21" i="4"/>
  <c r="E28" i="4"/>
  <c r="E39" i="4"/>
  <c r="E92" i="4"/>
  <c r="E96" i="4"/>
  <c r="G107" i="4"/>
  <c r="M107" i="4" s="1"/>
  <c r="E114" i="4"/>
  <c r="L114" i="4" s="1"/>
  <c r="E117" i="4"/>
  <c r="L117" i="4" s="1"/>
  <c r="E124" i="4"/>
  <c r="L124" i="4" s="1"/>
  <c r="G149" i="4"/>
  <c r="M149" i="4" s="1"/>
  <c r="E152" i="4"/>
  <c r="L152" i="4" s="1"/>
  <c r="E186" i="4"/>
  <c r="L186" i="4" s="1"/>
  <c r="E226" i="4"/>
  <c r="L226" i="4" s="1"/>
  <c r="G266" i="4"/>
  <c r="M266" i="4" s="1"/>
  <c r="E269" i="4"/>
  <c r="L269" i="4" s="1"/>
  <c r="G281" i="4"/>
  <c r="M281" i="4" s="1"/>
  <c r="E318" i="4"/>
  <c r="L318" i="4" s="1"/>
  <c r="E313" i="4"/>
  <c r="L313" i="4" s="1"/>
  <c r="E308" i="4"/>
  <c r="L308" i="4" s="1"/>
  <c r="E303" i="4"/>
  <c r="L303" i="4" s="1"/>
  <c r="E298" i="4"/>
  <c r="L298" i="4" s="1"/>
  <c r="E293" i="4"/>
  <c r="L293" i="4" s="1"/>
  <c r="E288" i="4"/>
  <c r="L288" i="4" s="1"/>
  <c r="E283" i="4"/>
  <c r="L283" i="4" s="1"/>
  <c r="E278" i="4"/>
  <c r="L278" i="4" s="1"/>
  <c r="E273" i="4"/>
  <c r="L273" i="4" s="1"/>
  <c r="E268" i="4"/>
  <c r="L268" i="4" s="1"/>
  <c r="E263" i="4"/>
  <c r="L263" i="4" s="1"/>
  <c r="E258" i="4"/>
  <c r="L258" i="4" s="1"/>
  <c r="E253" i="4"/>
  <c r="L253" i="4" s="1"/>
  <c r="E248" i="4"/>
  <c r="L248" i="4" s="1"/>
  <c r="E243" i="4"/>
  <c r="L243" i="4" s="1"/>
  <c r="E238" i="4"/>
  <c r="L238" i="4" s="1"/>
  <c r="E233" i="4"/>
  <c r="L233" i="4" s="1"/>
  <c r="E228" i="4"/>
  <c r="L228" i="4" s="1"/>
  <c r="E223" i="4"/>
  <c r="L223" i="4" s="1"/>
  <c r="E218" i="4"/>
  <c r="L218" i="4" s="1"/>
  <c r="E213" i="4"/>
  <c r="L213" i="4" s="1"/>
  <c r="E208" i="4"/>
  <c r="L208" i="4" s="1"/>
  <c r="E203" i="4"/>
  <c r="L203" i="4" s="1"/>
  <c r="E198" i="4"/>
  <c r="L198" i="4" s="1"/>
  <c r="E193" i="4"/>
  <c r="L193" i="4" s="1"/>
  <c r="E188" i="4"/>
  <c r="L188" i="4" s="1"/>
  <c r="E183" i="4"/>
  <c r="L183" i="4" s="1"/>
  <c r="E178" i="4"/>
  <c r="L178" i="4" s="1"/>
  <c r="E173" i="4"/>
  <c r="L173" i="4" s="1"/>
  <c r="E168" i="4"/>
  <c r="L168" i="4" s="1"/>
  <c r="E163" i="4"/>
  <c r="L163" i="4" s="1"/>
  <c r="E158" i="4"/>
  <c r="L158" i="4" s="1"/>
  <c r="E153" i="4"/>
  <c r="L153" i="4" s="1"/>
  <c r="E148" i="4"/>
  <c r="L148" i="4" s="1"/>
  <c r="E143" i="4"/>
  <c r="L143" i="4" s="1"/>
  <c r="E138" i="4"/>
  <c r="L138" i="4" s="1"/>
  <c r="E133" i="4"/>
  <c r="L133" i="4" s="1"/>
  <c r="E128" i="4"/>
  <c r="L128" i="4" s="1"/>
  <c r="E123" i="4"/>
  <c r="L123" i="4" s="1"/>
  <c r="E118" i="4"/>
  <c r="L118" i="4" s="1"/>
  <c r="G320" i="4"/>
  <c r="M320" i="4" s="1"/>
  <c r="G315" i="4"/>
  <c r="M315" i="4" s="1"/>
  <c r="G310" i="4"/>
  <c r="M310" i="4" s="1"/>
  <c r="G305" i="4"/>
  <c r="M305" i="4" s="1"/>
  <c r="G300" i="4"/>
  <c r="M300" i="4" s="1"/>
  <c r="G295" i="4"/>
  <c r="M295" i="4" s="1"/>
  <c r="G290" i="4"/>
  <c r="M290" i="4" s="1"/>
  <c r="G285" i="4"/>
  <c r="M285" i="4" s="1"/>
  <c r="G280" i="4"/>
  <c r="M280" i="4" s="1"/>
  <c r="G275" i="4"/>
  <c r="M275" i="4" s="1"/>
  <c r="G270" i="4"/>
  <c r="M270" i="4" s="1"/>
  <c r="G265" i="4"/>
  <c r="M265" i="4" s="1"/>
  <c r="G260" i="4"/>
  <c r="M260" i="4" s="1"/>
  <c r="G255" i="4"/>
  <c r="M255" i="4" s="1"/>
  <c r="G250" i="4"/>
  <c r="M250" i="4" s="1"/>
  <c r="G245" i="4"/>
  <c r="M245" i="4" s="1"/>
  <c r="G240" i="4"/>
  <c r="M240" i="4" s="1"/>
  <c r="G235" i="4"/>
  <c r="M235" i="4" s="1"/>
  <c r="G230" i="4"/>
  <c r="M230" i="4" s="1"/>
  <c r="G225" i="4"/>
  <c r="M225" i="4" s="1"/>
  <c r="G220" i="4"/>
  <c r="M220" i="4" s="1"/>
  <c r="G215" i="4"/>
  <c r="M215" i="4" s="1"/>
  <c r="G210" i="4"/>
  <c r="M210" i="4" s="1"/>
  <c r="G205" i="4"/>
  <c r="M205" i="4" s="1"/>
  <c r="G200" i="4"/>
  <c r="M200" i="4" s="1"/>
  <c r="G195" i="4"/>
  <c r="M195" i="4" s="1"/>
  <c r="G190" i="4"/>
  <c r="M190" i="4" s="1"/>
  <c r="G185" i="4"/>
  <c r="M185" i="4" s="1"/>
  <c r="G180" i="4"/>
  <c r="M180" i="4" s="1"/>
  <c r="G175" i="4"/>
  <c r="M175" i="4" s="1"/>
  <c r="G170" i="4"/>
  <c r="M170" i="4" s="1"/>
  <c r="G165" i="4"/>
  <c r="M165" i="4" s="1"/>
  <c r="G160" i="4"/>
  <c r="M160" i="4" s="1"/>
  <c r="G155" i="4"/>
  <c r="M155" i="4" s="1"/>
  <c r="G150" i="4"/>
  <c r="M150" i="4" s="1"/>
  <c r="G145" i="4"/>
  <c r="M145" i="4" s="1"/>
  <c r="G140" i="4"/>
  <c r="M140" i="4" s="1"/>
  <c r="G135" i="4"/>
  <c r="M135" i="4" s="1"/>
  <c r="G130" i="4"/>
  <c r="M130" i="4" s="1"/>
  <c r="E320" i="4"/>
  <c r="L320" i="4" s="1"/>
  <c r="E315" i="4"/>
  <c r="L315" i="4" s="1"/>
  <c r="E310" i="4"/>
  <c r="L310" i="4" s="1"/>
  <c r="E305" i="4"/>
  <c r="L305" i="4" s="1"/>
  <c r="E300" i="4"/>
  <c r="L300" i="4" s="1"/>
  <c r="E295" i="4"/>
  <c r="L295" i="4" s="1"/>
  <c r="E290" i="4"/>
  <c r="L290" i="4" s="1"/>
  <c r="E285" i="4"/>
  <c r="L285" i="4" s="1"/>
  <c r="E280" i="4"/>
  <c r="L280" i="4" s="1"/>
  <c r="E275" i="4"/>
  <c r="L275" i="4" s="1"/>
  <c r="E270" i="4"/>
  <c r="L270" i="4" s="1"/>
  <c r="E265" i="4"/>
  <c r="L265" i="4" s="1"/>
  <c r="E260" i="4"/>
  <c r="L260" i="4" s="1"/>
  <c r="E255" i="4"/>
  <c r="L255" i="4" s="1"/>
  <c r="E250" i="4"/>
  <c r="L250" i="4" s="1"/>
  <c r="E245" i="4"/>
  <c r="L245" i="4" s="1"/>
  <c r="E240" i="4"/>
  <c r="L240" i="4" s="1"/>
  <c r="E235" i="4"/>
  <c r="L235" i="4" s="1"/>
  <c r="E230" i="4"/>
  <c r="L230" i="4" s="1"/>
  <c r="E225" i="4"/>
  <c r="L225" i="4" s="1"/>
  <c r="E220" i="4"/>
  <c r="L220" i="4" s="1"/>
  <c r="E215" i="4"/>
  <c r="L215" i="4" s="1"/>
  <c r="E210" i="4"/>
  <c r="L210" i="4" s="1"/>
  <c r="E205" i="4"/>
  <c r="L205" i="4" s="1"/>
  <c r="E200" i="4"/>
  <c r="L200" i="4" s="1"/>
  <c r="E195" i="4"/>
  <c r="L195" i="4" s="1"/>
  <c r="E190" i="4"/>
  <c r="L190" i="4" s="1"/>
  <c r="E185" i="4"/>
  <c r="L185" i="4" s="1"/>
  <c r="E180" i="4"/>
  <c r="L180" i="4" s="1"/>
  <c r="E175" i="4"/>
  <c r="L175" i="4" s="1"/>
  <c r="E170" i="4"/>
  <c r="L170" i="4" s="1"/>
  <c r="E165" i="4"/>
  <c r="L165" i="4" s="1"/>
  <c r="E160" i="4"/>
  <c r="L160" i="4" s="1"/>
  <c r="E155" i="4"/>
  <c r="L155" i="4" s="1"/>
  <c r="E150" i="4"/>
  <c r="L150" i="4" s="1"/>
  <c r="E145" i="4"/>
  <c r="L145" i="4" s="1"/>
  <c r="E140" i="4"/>
  <c r="L140" i="4" s="1"/>
  <c r="E135" i="4"/>
  <c r="L135" i="4" s="1"/>
  <c r="E130" i="4"/>
  <c r="L130" i="4" s="1"/>
  <c r="E125" i="4"/>
  <c r="L125" i="4" s="1"/>
  <c r="E120" i="4"/>
  <c r="L120" i="4" s="1"/>
  <c r="E115" i="4"/>
  <c r="L115" i="4" s="1"/>
  <c r="E319" i="4"/>
  <c r="L319" i="4" s="1"/>
  <c r="G311" i="4"/>
  <c r="M311" i="4" s="1"/>
  <c r="G307" i="4"/>
  <c r="M307" i="4" s="1"/>
  <c r="G303" i="4"/>
  <c r="M303" i="4" s="1"/>
  <c r="E299" i="4"/>
  <c r="L299" i="4" s="1"/>
  <c r="G291" i="4"/>
  <c r="M291" i="4" s="1"/>
  <c r="G287" i="4"/>
  <c r="M287" i="4" s="1"/>
  <c r="G283" i="4"/>
  <c r="M283" i="4" s="1"/>
  <c r="E279" i="4"/>
  <c r="L279" i="4" s="1"/>
  <c r="G271" i="4"/>
  <c r="M271" i="4" s="1"/>
  <c r="G267" i="4"/>
  <c r="M267" i="4" s="1"/>
  <c r="G263" i="4"/>
  <c r="M263" i="4" s="1"/>
  <c r="E259" i="4"/>
  <c r="L259" i="4" s="1"/>
  <c r="G251" i="4"/>
  <c r="M251" i="4" s="1"/>
  <c r="G247" i="4"/>
  <c r="M247" i="4" s="1"/>
  <c r="G243" i="4"/>
  <c r="M243" i="4" s="1"/>
  <c r="E239" i="4"/>
  <c r="L239" i="4" s="1"/>
  <c r="G231" i="4"/>
  <c r="M231" i="4" s="1"/>
  <c r="G227" i="4"/>
  <c r="M227" i="4" s="1"/>
  <c r="G223" i="4"/>
  <c r="M223" i="4" s="1"/>
  <c r="E219" i="4"/>
  <c r="L219" i="4" s="1"/>
  <c r="G211" i="4"/>
  <c r="M211" i="4" s="1"/>
  <c r="G207" i="4"/>
  <c r="M207" i="4" s="1"/>
  <c r="G203" i="4"/>
  <c r="M203" i="4" s="1"/>
  <c r="E199" i="4"/>
  <c r="L199" i="4" s="1"/>
  <c r="G191" i="4"/>
  <c r="M191" i="4" s="1"/>
  <c r="G187" i="4"/>
  <c r="M187" i="4" s="1"/>
  <c r="G183" i="4"/>
  <c r="M183" i="4" s="1"/>
  <c r="E179" i="4"/>
  <c r="L179" i="4" s="1"/>
  <c r="G171" i="4"/>
  <c r="M171" i="4" s="1"/>
  <c r="G167" i="4"/>
  <c r="M167" i="4" s="1"/>
  <c r="G163" i="4"/>
  <c r="M163" i="4" s="1"/>
  <c r="E159" i="4"/>
  <c r="L159" i="4" s="1"/>
  <c r="G151" i="4"/>
  <c r="M151" i="4" s="1"/>
  <c r="G147" i="4"/>
  <c r="M147" i="4" s="1"/>
  <c r="G143" i="4"/>
  <c r="M143" i="4" s="1"/>
  <c r="E139" i="4"/>
  <c r="L139" i="4" s="1"/>
  <c r="G131" i="4"/>
  <c r="M131" i="4" s="1"/>
  <c r="G127" i="4"/>
  <c r="M127" i="4" s="1"/>
  <c r="E311" i="4"/>
  <c r="L311" i="4" s="1"/>
  <c r="E307" i="4"/>
  <c r="L307" i="4" s="1"/>
  <c r="E291" i="4"/>
  <c r="L291" i="4" s="1"/>
  <c r="E287" i="4"/>
  <c r="L287" i="4" s="1"/>
  <c r="E271" i="4"/>
  <c r="L271" i="4" s="1"/>
  <c r="E267" i="4"/>
  <c r="L267" i="4" s="1"/>
  <c r="E251" i="4"/>
  <c r="L251" i="4" s="1"/>
  <c r="E247" i="4"/>
  <c r="L247" i="4" s="1"/>
  <c r="E231" i="4"/>
  <c r="L231" i="4" s="1"/>
  <c r="E227" i="4"/>
  <c r="L227" i="4" s="1"/>
  <c r="E211" i="4"/>
  <c r="L211" i="4" s="1"/>
  <c r="E207" i="4"/>
  <c r="L207" i="4" s="1"/>
  <c r="E191" i="4"/>
  <c r="L191" i="4" s="1"/>
  <c r="E187" i="4"/>
  <c r="L187" i="4" s="1"/>
  <c r="E171" i="4"/>
  <c r="L171" i="4" s="1"/>
  <c r="E167" i="4"/>
  <c r="L167" i="4" s="1"/>
  <c r="E151" i="4"/>
  <c r="L151" i="4" s="1"/>
  <c r="E147" i="4"/>
  <c r="L147" i="4" s="1"/>
  <c r="E131" i="4"/>
  <c r="L131" i="4" s="1"/>
  <c r="E127" i="4"/>
  <c r="L127" i="4" s="1"/>
  <c r="G123" i="4"/>
  <c r="M123" i="4" s="1"/>
  <c r="G119" i="4"/>
  <c r="M119" i="4" s="1"/>
  <c r="G110" i="4"/>
  <c r="M110" i="4" s="1"/>
  <c r="G105" i="4"/>
  <c r="M105" i="4" s="1"/>
  <c r="G95" i="4"/>
  <c r="M95" i="4" s="1"/>
  <c r="E119" i="4"/>
  <c r="L119" i="4" s="1"/>
  <c r="E110" i="4"/>
  <c r="L110" i="4" s="1"/>
  <c r="E105" i="4"/>
  <c r="L105" i="4" s="1"/>
  <c r="E100" i="4"/>
  <c r="E95" i="4"/>
  <c r="E90" i="4"/>
  <c r="E85" i="4"/>
  <c r="E80" i="4"/>
  <c r="E75" i="4"/>
  <c r="E70" i="4"/>
  <c r="E65" i="4"/>
  <c r="E60" i="4"/>
  <c r="E55" i="4"/>
  <c r="E50" i="4"/>
  <c r="E45" i="4"/>
  <c r="E40" i="4"/>
  <c r="E35" i="4"/>
  <c r="E30" i="4"/>
  <c r="E25" i="4"/>
  <c r="E20" i="4"/>
  <c r="E15" i="4"/>
  <c r="E10" i="4"/>
  <c r="E5" i="4"/>
  <c r="G115" i="4"/>
  <c r="M115" i="4" s="1"/>
  <c r="G304" i="4"/>
  <c r="M304" i="4" s="1"/>
  <c r="G284" i="4"/>
  <c r="M284" i="4" s="1"/>
  <c r="G264" i="4"/>
  <c r="M264" i="4" s="1"/>
  <c r="G244" i="4"/>
  <c r="M244" i="4" s="1"/>
  <c r="G224" i="4"/>
  <c r="M224" i="4" s="1"/>
  <c r="G204" i="4"/>
  <c r="M204" i="4" s="1"/>
  <c r="G184" i="4"/>
  <c r="M184" i="4" s="1"/>
  <c r="G164" i="4"/>
  <c r="M164" i="4" s="1"/>
  <c r="G144" i="4"/>
  <c r="M144" i="4" s="1"/>
  <c r="G316" i="4"/>
  <c r="M316" i="4" s="1"/>
  <c r="G312" i="4"/>
  <c r="M312" i="4" s="1"/>
  <c r="G308" i="4"/>
  <c r="M308" i="4" s="1"/>
  <c r="E304" i="4"/>
  <c r="L304" i="4" s="1"/>
  <c r="G296" i="4"/>
  <c r="M296" i="4" s="1"/>
  <c r="G292" i="4"/>
  <c r="M292" i="4" s="1"/>
  <c r="G288" i="4"/>
  <c r="M288" i="4" s="1"/>
  <c r="E284" i="4"/>
  <c r="L284" i="4" s="1"/>
  <c r="G276" i="4"/>
  <c r="M276" i="4" s="1"/>
  <c r="G272" i="4"/>
  <c r="M272" i="4" s="1"/>
  <c r="G268" i="4"/>
  <c r="M268" i="4" s="1"/>
  <c r="E264" i="4"/>
  <c r="L264" i="4" s="1"/>
  <c r="G256" i="4"/>
  <c r="M256" i="4" s="1"/>
  <c r="G252" i="4"/>
  <c r="M252" i="4" s="1"/>
  <c r="G248" i="4"/>
  <c r="M248" i="4" s="1"/>
  <c r="E244" i="4"/>
  <c r="L244" i="4" s="1"/>
  <c r="G236" i="4"/>
  <c r="M236" i="4" s="1"/>
  <c r="G232" i="4"/>
  <c r="M232" i="4" s="1"/>
  <c r="G228" i="4"/>
  <c r="M228" i="4" s="1"/>
  <c r="E224" i="4"/>
  <c r="L224" i="4" s="1"/>
  <c r="G216" i="4"/>
  <c r="M216" i="4" s="1"/>
  <c r="G212" i="4"/>
  <c r="M212" i="4" s="1"/>
  <c r="G208" i="4"/>
  <c r="M208" i="4" s="1"/>
  <c r="E204" i="4"/>
  <c r="L204" i="4" s="1"/>
  <c r="G196" i="4"/>
  <c r="M196" i="4" s="1"/>
  <c r="G192" i="4"/>
  <c r="M192" i="4" s="1"/>
  <c r="G188" i="4"/>
  <c r="M188" i="4" s="1"/>
  <c r="E184" i="4"/>
  <c r="L184" i="4" s="1"/>
  <c r="G176" i="4"/>
  <c r="M176" i="4" s="1"/>
  <c r="G172" i="4"/>
  <c r="M172" i="4" s="1"/>
  <c r="G168" i="4"/>
  <c r="M168" i="4" s="1"/>
  <c r="E164" i="4"/>
  <c r="L164" i="4" s="1"/>
  <c r="G156" i="4"/>
  <c r="M156" i="4" s="1"/>
  <c r="G152" i="4"/>
  <c r="M152" i="4" s="1"/>
  <c r="G148" i="4"/>
  <c r="M148" i="4" s="1"/>
  <c r="E144" i="4"/>
  <c r="L144" i="4" s="1"/>
  <c r="G136" i="4"/>
  <c r="M136" i="4" s="1"/>
  <c r="G132" i="4"/>
  <c r="M132" i="4" s="1"/>
  <c r="G128" i="4"/>
  <c r="M128" i="4" s="1"/>
  <c r="G124" i="4"/>
  <c r="M124" i="4" s="1"/>
  <c r="G111" i="4"/>
  <c r="M111" i="4" s="1"/>
  <c r="G106" i="4"/>
  <c r="M106" i="4" s="1"/>
  <c r="E316" i="4"/>
  <c r="L316" i="4" s="1"/>
  <c r="E312" i="4"/>
  <c r="L312" i="4" s="1"/>
  <c r="E296" i="4"/>
  <c r="L296" i="4" s="1"/>
  <c r="E292" i="4"/>
  <c r="L292" i="4" s="1"/>
  <c r="E276" i="4"/>
  <c r="L276" i="4" s="1"/>
  <c r="E272" i="4"/>
  <c r="L272" i="4" s="1"/>
  <c r="E256" i="4"/>
  <c r="L256" i="4" s="1"/>
  <c r="E252" i="4"/>
  <c r="L252" i="4" s="1"/>
  <c r="E236" i="4"/>
  <c r="L236" i="4" s="1"/>
  <c r="E232" i="4"/>
  <c r="L232" i="4" s="1"/>
  <c r="E216" i="4"/>
  <c r="L216" i="4" s="1"/>
  <c r="E212" i="4"/>
  <c r="L212" i="4" s="1"/>
  <c r="E196" i="4"/>
  <c r="L196" i="4" s="1"/>
  <c r="E192" i="4"/>
  <c r="L192" i="4" s="1"/>
  <c r="E176" i="4"/>
  <c r="L176" i="4" s="1"/>
  <c r="E172" i="4"/>
  <c r="L172" i="4" s="1"/>
  <c r="G120" i="4"/>
  <c r="M120" i="4" s="1"/>
  <c r="G116" i="4"/>
  <c r="M116" i="4" s="1"/>
  <c r="E116" i="4"/>
  <c r="L116" i="4" s="1"/>
  <c r="G309" i="4"/>
  <c r="M309" i="4" s="1"/>
  <c r="G289" i="4"/>
  <c r="M289" i="4" s="1"/>
  <c r="G269" i="4"/>
  <c r="M269" i="4" s="1"/>
  <c r="E321" i="4"/>
  <c r="L321" i="4" s="1"/>
  <c r="E317" i="4"/>
  <c r="L317" i="4" s="1"/>
  <c r="E301" i="4"/>
  <c r="L301" i="4" s="1"/>
  <c r="E297" i="4"/>
  <c r="L297" i="4" s="1"/>
  <c r="E281" i="4"/>
  <c r="L281" i="4" s="1"/>
  <c r="E277" i="4"/>
  <c r="L277" i="4" s="1"/>
  <c r="E261" i="4"/>
  <c r="L261" i="4" s="1"/>
  <c r="E257" i="4"/>
  <c r="L257" i="4" s="1"/>
  <c r="E241" i="4"/>
  <c r="L241" i="4" s="1"/>
  <c r="E237" i="4"/>
  <c r="L237" i="4" s="1"/>
  <c r="E221" i="4"/>
  <c r="L221" i="4" s="1"/>
  <c r="E217" i="4"/>
  <c r="L217" i="4" s="1"/>
  <c r="E201" i="4"/>
  <c r="L201" i="4" s="1"/>
  <c r="E197" i="4"/>
  <c r="L197" i="4" s="1"/>
  <c r="E181" i="4"/>
  <c r="L181" i="4" s="1"/>
  <c r="E177" i="4"/>
  <c r="L177" i="4" s="1"/>
  <c r="E161" i="4"/>
  <c r="L161" i="4" s="1"/>
  <c r="E157" i="4"/>
  <c r="L157" i="4" s="1"/>
  <c r="E141" i="4"/>
  <c r="L141" i="4" s="1"/>
  <c r="E137" i="4"/>
  <c r="L137" i="4" s="1"/>
  <c r="G125" i="4"/>
  <c r="M125" i="4" s="1"/>
  <c r="G121" i="4"/>
  <c r="M121" i="4" s="1"/>
  <c r="E112" i="4"/>
  <c r="L112" i="4" s="1"/>
  <c r="E46" i="4"/>
  <c r="E103" i="4"/>
  <c r="L103" i="4" s="1"/>
  <c r="E302" i="4"/>
  <c r="L302" i="4" s="1"/>
  <c r="E314" i="4"/>
  <c r="L314" i="4" s="1"/>
  <c r="E13" i="4"/>
  <c r="E42" i="4"/>
  <c r="E57" i="4"/>
  <c r="G88" i="4"/>
  <c r="M88" i="4" s="1"/>
  <c r="G103" i="4"/>
  <c r="M103" i="4" s="1"/>
  <c r="G161" i="4"/>
  <c r="M161" i="4" s="1"/>
  <c r="G189" i="4"/>
  <c r="M189" i="4" s="1"/>
  <c r="G201" i="4"/>
  <c r="M201" i="4" s="1"/>
  <c r="G229" i="4"/>
  <c r="M229" i="4" s="1"/>
  <c r="G241" i="4"/>
  <c r="M241" i="4" s="1"/>
  <c r="G299" i="4"/>
  <c r="M299" i="4" s="1"/>
  <c r="G302" i="4"/>
  <c r="M302" i="4" s="1"/>
  <c r="G314" i="4"/>
  <c r="M314" i="4" s="1"/>
  <c r="G317" i="4"/>
  <c r="M317" i="4" s="1"/>
  <c r="E17" i="4"/>
  <c r="E69" i="4"/>
  <c r="L69" i="4" s="1"/>
  <c r="E88" i="4"/>
  <c r="G114" i="4"/>
  <c r="M114" i="4" s="1"/>
  <c r="G117" i="4"/>
  <c r="M117" i="4" s="1"/>
  <c r="G133" i="4"/>
  <c r="M133" i="4" s="1"/>
  <c r="G158" i="4"/>
  <c r="M158" i="4" s="1"/>
  <c r="G186" i="4"/>
  <c r="M186" i="4" s="1"/>
  <c r="E189" i="4"/>
  <c r="L189" i="4" s="1"/>
  <c r="G198" i="4"/>
  <c r="M198" i="4" s="1"/>
  <c r="G226" i="4"/>
  <c r="M226" i="4" s="1"/>
  <c r="E229" i="4"/>
  <c r="L229" i="4" s="1"/>
  <c r="G238" i="4"/>
  <c r="M238" i="4" s="1"/>
  <c r="J2" i="4"/>
  <c r="E53" i="4"/>
  <c r="E61" i="4"/>
  <c r="E84" i="4"/>
  <c r="E99" i="4"/>
  <c r="E136" i="4"/>
  <c r="L136" i="4" s="1"/>
  <c r="E142" i="4"/>
  <c r="L142" i="4" s="1"/>
  <c r="E24" i="4"/>
  <c r="E72" i="4"/>
  <c r="G142" i="4"/>
  <c r="M142" i="4" s="1"/>
  <c r="G173" i="4"/>
  <c r="M173" i="4" s="1"/>
  <c r="G213" i="4"/>
  <c r="M213" i="4" s="1"/>
  <c r="G253" i="4"/>
  <c r="M253" i="4" s="1"/>
  <c r="E6" i="4"/>
  <c r="E38" i="4"/>
  <c r="E49" i="4"/>
  <c r="G99" i="4"/>
  <c r="M99" i="4" s="1"/>
  <c r="G139" i="4"/>
  <c r="M139" i="4" s="1"/>
  <c r="E9" i="4"/>
  <c r="E31" i="4"/>
  <c r="E68" i="4"/>
  <c r="L68" i="4" s="1"/>
  <c r="E76" i="4"/>
  <c r="E113" i="4"/>
  <c r="L113" i="4" s="1"/>
  <c r="E182" i="4"/>
  <c r="L182" i="4" s="1"/>
  <c r="E222" i="4"/>
  <c r="L222" i="4" s="1"/>
  <c r="E262" i="4"/>
  <c r="L262" i="4" s="1"/>
  <c r="E274" i="4"/>
  <c r="L274" i="4" s="1"/>
  <c r="G5" i="10"/>
  <c r="G9" i="10"/>
  <c r="G8" i="10"/>
  <c r="G58" i="4" l="1"/>
  <c r="M58" i="4" s="1"/>
  <c r="G97" i="4"/>
  <c r="M97" i="4" s="1"/>
  <c r="G66" i="4"/>
  <c r="M66" i="4" s="1"/>
  <c r="L61" i="4"/>
  <c r="G86" i="4"/>
  <c r="M86" i="4" s="1"/>
  <c r="G55" i="4"/>
  <c r="M55" i="4" s="1"/>
  <c r="G77" i="4"/>
  <c r="M77" i="4" s="1"/>
  <c r="L65" i="4"/>
  <c r="L85" i="4"/>
  <c r="G75" i="4"/>
  <c r="M75" i="4" s="1"/>
  <c r="G73" i="4"/>
  <c r="M73" i="4" s="1"/>
  <c r="L82" i="4"/>
  <c r="G63" i="4"/>
  <c r="M63" i="4" s="1"/>
  <c r="G74" i="4"/>
  <c r="M74" i="4" s="1"/>
  <c r="G94" i="4"/>
  <c r="M94" i="4" s="1"/>
  <c r="G68" i="4"/>
  <c r="M68" i="4" s="1"/>
  <c r="G84" i="4"/>
  <c r="M84" i="4" s="1"/>
  <c r="G57" i="4"/>
  <c r="M57" i="4" s="1"/>
  <c r="G69" i="4"/>
  <c r="M69" i="4" s="1"/>
  <c r="G71" i="4"/>
  <c r="M71" i="4" s="1"/>
  <c r="G91" i="4"/>
  <c r="M91" i="4" s="1"/>
  <c r="L50" i="4"/>
  <c r="L70" i="4"/>
  <c r="L90" i="4"/>
  <c r="G60" i="4"/>
  <c r="M60" i="4" s="1"/>
  <c r="G80" i="4"/>
  <c r="M80" i="4" s="1"/>
  <c r="G100" i="4"/>
  <c r="M100" i="4" s="1"/>
  <c r="G54" i="4"/>
  <c r="M54" i="4" s="1"/>
  <c r="L73" i="4"/>
  <c r="L79" i="4"/>
  <c r="L71" i="4"/>
  <c r="G52" i="4"/>
  <c r="M52" i="4" s="1"/>
  <c r="L66" i="4"/>
  <c r="L91" i="4"/>
  <c r="G67" i="4"/>
  <c r="M67" i="4" s="1"/>
  <c r="L94" i="4"/>
  <c r="L97" i="4"/>
  <c r="G64" i="4"/>
  <c r="M64" i="4" s="1"/>
  <c r="G51" i="4"/>
  <c r="M51" i="4" s="1"/>
  <c r="G78" i="4"/>
  <c r="M78" i="4" s="1"/>
  <c r="L67" i="4"/>
  <c r="L101" i="4"/>
  <c r="G87" i="4"/>
  <c r="M87" i="4" s="1"/>
  <c r="L99" i="4"/>
  <c r="L53" i="4"/>
  <c r="G92" i="4"/>
  <c r="M92" i="4" s="1"/>
  <c r="L57" i="4"/>
  <c r="G56" i="4"/>
  <c r="M56" i="4" s="1"/>
  <c r="G76" i="4"/>
  <c r="M76" i="4" s="1"/>
  <c r="G96" i="4"/>
  <c r="M96" i="4" s="1"/>
  <c r="L55" i="4"/>
  <c r="L75" i="4"/>
  <c r="L95" i="4"/>
  <c r="G65" i="4"/>
  <c r="M65" i="4" s="1"/>
  <c r="G85" i="4"/>
  <c r="M85" i="4" s="1"/>
  <c r="L96" i="4"/>
  <c r="L54" i="4"/>
  <c r="G89" i="4"/>
  <c r="M89" i="4" s="1"/>
  <c r="L62" i="4"/>
  <c r="L52" i="4"/>
  <c r="G83" i="4"/>
  <c r="M83" i="4" s="1"/>
  <c r="L64" i="4"/>
  <c r="L83" i="4"/>
  <c r="L86" i="4"/>
  <c r="L58" i="4"/>
  <c r="L78" i="4"/>
  <c r="G62" i="4"/>
  <c r="M62" i="4" s="1"/>
  <c r="G98" i="4"/>
  <c r="M98" i="4" s="1"/>
  <c r="L76" i="4"/>
  <c r="G53" i="4"/>
  <c r="M53" i="4" s="1"/>
  <c r="L72" i="4"/>
  <c r="G72" i="4"/>
  <c r="M72" i="4" s="1"/>
  <c r="L84" i="4"/>
  <c r="L88" i="4"/>
  <c r="G61" i="4"/>
  <c r="M61" i="4" s="1"/>
  <c r="G81" i="4"/>
  <c r="M81" i="4" s="1"/>
  <c r="G101" i="4"/>
  <c r="M101" i="4" s="1"/>
  <c r="L60" i="4"/>
  <c r="L80" i="4"/>
  <c r="L100" i="4"/>
  <c r="G50" i="4"/>
  <c r="M50" i="4" s="1"/>
  <c r="G70" i="4"/>
  <c r="M70" i="4" s="1"/>
  <c r="G90" i="4"/>
  <c r="M90" i="4" s="1"/>
  <c r="L92" i="4"/>
  <c r="L81" i="4"/>
  <c r="L77" i="4"/>
  <c r="L89" i="4"/>
  <c r="L51" i="4"/>
  <c r="L63" i="4"/>
  <c r="G93" i="4"/>
  <c r="M93" i="4" s="1"/>
  <c r="L93" i="4"/>
  <c r="G79" i="4"/>
  <c r="M79" i="4" s="1"/>
  <c r="L87" i="4"/>
  <c r="L56" i="4"/>
  <c r="G59" i="4"/>
  <c r="M59" i="4" s="1"/>
  <c r="L59" i="4"/>
  <c r="L98" i="4"/>
  <c r="K80" i="4"/>
  <c r="K64" i="4"/>
  <c r="K96" i="4"/>
  <c r="K92" i="4"/>
  <c r="K76" i="4"/>
  <c r="K60" i="4"/>
  <c r="K88" i="4"/>
  <c r="K72" i="4"/>
  <c r="K56" i="4"/>
  <c r="K100" i="4"/>
  <c r="K84" i="4"/>
  <c r="K68" i="4"/>
  <c r="K52" i="4"/>
  <c r="K99" i="4"/>
  <c r="K95" i="4"/>
  <c r="K91" i="4"/>
  <c r="K87" i="4"/>
  <c r="K83" i="4"/>
  <c r="K79" i="4"/>
  <c r="K75" i="4"/>
  <c r="K71" i="4"/>
  <c r="K67" i="4"/>
  <c r="K63" i="4"/>
  <c r="K59" i="4"/>
  <c r="K55" i="4"/>
  <c r="K51" i="4"/>
  <c r="K98" i="4"/>
  <c r="K94" i="4"/>
  <c r="K90" i="4"/>
  <c r="K86" i="4"/>
  <c r="K82" i="4"/>
  <c r="K78" i="4"/>
  <c r="K74" i="4"/>
  <c r="K70" i="4"/>
  <c r="K66" i="4"/>
  <c r="K62" i="4"/>
  <c r="K58" i="4"/>
  <c r="K54" i="4"/>
  <c r="K50" i="4"/>
  <c r="K97" i="4"/>
  <c r="K93" i="4"/>
  <c r="K89" i="4"/>
  <c r="K85" i="4"/>
  <c r="K81" i="4"/>
  <c r="K77" i="4"/>
  <c r="K73" i="4"/>
  <c r="K69" i="4"/>
  <c r="K65" i="4"/>
  <c r="K61" i="4"/>
  <c r="K57" i="4"/>
  <c r="K53" i="4"/>
  <c r="P313" i="4"/>
  <c r="P117" i="4"/>
  <c r="P165" i="4"/>
  <c r="P207" i="4"/>
  <c r="P249" i="4"/>
  <c r="P17" i="4"/>
  <c r="P293" i="4"/>
  <c r="P143" i="4"/>
  <c r="P185" i="4"/>
  <c r="P227" i="4"/>
  <c r="P269" i="4"/>
  <c r="P292" i="4"/>
  <c r="P291" i="4"/>
  <c r="P145" i="4"/>
  <c r="P187" i="4"/>
  <c r="P229" i="4"/>
  <c r="P271" i="4"/>
  <c r="P26" i="4"/>
  <c r="P289" i="4"/>
  <c r="P147" i="4"/>
  <c r="P189" i="4"/>
  <c r="P231" i="4"/>
  <c r="P273" i="4"/>
  <c r="P39" i="4"/>
  <c r="P287" i="4"/>
  <c r="P149" i="4"/>
  <c r="P191" i="4"/>
  <c r="P233" i="4"/>
  <c r="P275" i="4"/>
  <c r="P290" i="4"/>
  <c r="P308" i="4"/>
  <c r="P157" i="4"/>
  <c r="P199" i="4"/>
  <c r="P241" i="4"/>
  <c r="P283" i="4"/>
  <c r="P319" i="4"/>
  <c r="P111" i="4"/>
  <c r="P159" i="4"/>
  <c r="P201" i="4"/>
  <c r="P243" i="4"/>
  <c r="P304" i="4"/>
  <c r="K48" i="4"/>
  <c r="G3" i="4"/>
  <c r="M3" i="4" s="1"/>
  <c r="G44" i="4"/>
  <c r="M44" i="4" s="1"/>
  <c r="K3" i="4"/>
  <c r="K42" i="4"/>
  <c r="K37" i="4"/>
  <c r="K27" i="4"/>
  <c r="K40" i="4"/>
  <c r="K20" i="4"/>
  <c r="G24" i="4"/>
  <c r="M24" i="4" s="1"/>
  <c r="K5" i="4"/>
  <c r="K32" i="4"/>
  <c r="K45" i="4"/>
  <c r="K12" i="4"/>
  <c r="K6" i="4"/>
  <c r="G15" i="4"/>
  <c r="M15" i="4" s="1"/>
  <c r="K15" i="4"/>
  <c r="K10" i="4"/>
  <c r="K36" i="4"/>
  <c r="K47" i="4"/>
  <c r="K41" i="4"/>
  <c r="K31" i="4"/>
  <c r="G32" i="4"/>
  <c r="M32" i="4" s="1"/>
  <c r="L27" i="4"/>
  <c r="K46" i="4"/>
  <c r="G23" i="4"/>
  <c r="M23" i="4" s="1"/>
  <c r="L47" i="4"/>
  <c r="G48" i="4"/>
  <c r="M48" i="4" s="1"/>
  <c r="L3" i="4"/>
  <c r="L37" i="4"/>
  <c r="K21" i="4"/>
  <c r="G19" i="4"/>
  <c r="M19" i="4" s="1"/>
  <c r="L16" i="4"/>
  <c r="L28" i="4"/>
  <c r="L4" i="4"/>
  <c r="L12" i="4"/>
  <c r="L11" i="4"/>
  <c r="G13" i="4"/>
  <c r="M13" i="4" s="1"/>
  <c r="K7" i="4"/>
  <c r="K35" i="4"/>
  <c r="L30" i="4"/>
  <c r="G25" i="4"/>
  <c r="M25" i="4" s="1"/>
  <c r="G5" i="4"/>
  <c r="M5" i="4" s="1"/>
  <c r="L21" i="4"/>
  <c r="L26" i="4"/>
  <c r="G43" i="4"/>
  <c r="M43" i="4" s="1"/>
  <c r="L34" i="4"/>
  <c r="G39" i="4"/>
  <c r="M39" i="4" s="1"/>
  <c r="G29" i="4"/>
  <c r="M29" i="4" s="1"/>
  <c r="G17" i="4"/>
  <c r="M17" i="4" s="1"/>
  <c r="G42" i="4"/>
  <c r="M42" i="4" s="1"/>
  <c r="K30" i="4"/>
  <c r="L35" i="4"/>
  <c r="G30" i="4"/>
  <c r="M30" i="4" s="1"/>
  <c r="G10" i="4"/>
  <c r="M10" i="4" s="1"/>
  <c r="L43" i="4"/>
  <c r="G27" i="4"/>
  <c r="M27" i="4" s="1"/>
  <c r="L42" i="4"/>
  <c r="L33" i="4"/>
  <c r="G38" i="4"/>
  <c r="M38" i="4" s="1"/>
  <c r="G33" i="4"/>
  <c r="M33" i="4" s="1"/>
  <c r="G20" i="4"/>
  <c r="M20" i="4" s="1"/>
  <c r="K17" i="4"/>
  <c r="L40" i="4"/>
  <c r="G35" i="4"/>
  <c r="M35" i="4" s="1"/>
  <c r="G4" i="4"/>
  <c r="M4" i="4" s="1"/>
  <c r="G7" i="4"/>
  <c r="M7" i="4" s="1"/>
  <c r="L19" i="4"/>
  <c r="G46" i="4"/>
  <c r="M46" i="4" s="1"/>
  <c r="G14" i="4"/>
  <c r="M14" i="4" s="1"/>
  <c r="L44" i="4"/>
  <c r="G49" i="4"/>
  <c r="M49" i="4" s="1"/>
  <c r="L17" i="4"/>
  <c r="G6" i="4"/>
  <c r="M6" i="4" s="1"/>
  <c r="L45" i="4"/>
  <c r="G40" i="4"/>
  <c r="M40" i="4" s="1"/>
  <c r="G36" i="4"/>
  <c r="M36" i="4" s="1"/>
  <c r="G11" i="4"/>
  <c r="M11" i="4" s="1"/>
  <c r="L22" i="4"/>
  <c r="K26" i="4"/>
  <c r="G34" i="4"/>
  <c r="M34" i="4" s="1"/>
  <c r="K28" i="4"/>
  <c r="L29" i="4"/>
  <c r="G21" i="4"/>
  <c r="M21" i="4" s="1"/>
  <c r="K25" i="4"/>
  <c r="K22" i="4"/>
  <c r="G45" i="4"/>
  <c r="M45" i="4" s="1"/>
  <c r="L32" i="4"/>
  <c r="G18" i="4"/>
  <c r="M18" i="4" s="1"/>
  <c r="G31" i="4"/>
  <c r="M31" i="4" s="1"/>
  <c r="L8" i="4"/>
  <c r="G47" i="4"/>
  <c r="M47" i="4" s="1"/>
  <c r="K8" i="4"/>
  <c r="L24" i="4"/>
  <c r="K39" i="4"/>
  <c r="L41" i="4"/>
  <c r="L39" i="4"/>
  <c r="G28" i="4"/>
  <c r="M28" i="4" s="1"/>
  <c r="K29" i="4"/>
  <c r="L7" i="4"/>
  <c r="G26" i="4"/>
  <c r="M26" i="4" s="1"/>
  <c r="G16" i="4"/>
  <c r="M16" i="4" s="1"/>
  <c r="L5" i="4"/>
  <c r="L10" i="4"/>
  <c r="L15" i="4"/>
  <c r="L9" i="4"/>
  <c r="L25" i="4"/>
  <c r="L38" i="4"/>
  <c r="L14" i="4"/>
  <c r="L36" i="4"/>
  <c r="L48" i="4"/>
  <c r="L31" i="4"/>
  <c r="L13" i="4"/>
  <c r="L20" i="4"/>
  <c r="L49" i="4"/>
  <c r="L6" i="4"/>
  <c r="L46" i="4"/>
  <c r="L18" i="4"/>
  <c r="L23" i="4"/>
  <c r="K33" i="4"/>
  <c r="Q309" i="4"/>
  <c r="Q298" i="4"/>
  <c r="Q283" i="4"/>
  <c r="Q264" i="4"/>
  <c r="Q243" i="4"/>
  <c r="Q315" i="4"/>
  <c r="Q289" i="4"/>
  <c r="Q270" i="4"/>
  <c r="Q249" i="4"/>
  <c r="Q230" i="4"/>
  <c r="Q209" i="4"/>
  <c r="Q190" i="4"/>
  <c r="Q169" i="4"/>
  <c r="Q321" i="4"/>
  <c r="Q304" i="4"/>
  <c r="Q276" i="4"/>
  <c r="Q255" i="4"/>
  <c r="Q236" i="4"/>
  <c r="Q215" i="4"/>
  <c r="Q196" i="4"/>
  <c r="Q175" i="4"/>
  <c r="Q156" i="4"/>
  <c r="Q135" i="4"/>
  <c r="Q110" i="4"/>
  <c r="Q108" i="4"/>
  <c r="Q106" i="4"/>
  <c r="Q104" i="4"/>
  <c r="Q102" i="4"/>
  <c r="Q100" i="4"/>
  <c r="Q98" i="4"/>
  <c r="Q96" i="4"/>
  <c r="Q94" i="4"/>
  <c r="Q92" i="4"/>
  <c r="Q90" i="4"/>
  <c r="Q88" i="4"/>
  <c r="Q86" i="4"/>
  <c r="Q84" i="4"/>
  <c r="Q82" i="4"/>
  <c r="Q80" i="4"/>
  <c r="Q78" i="4"/>
  <c r="Q76" i="4"/>
  <c r="Q74" i="4"/>
  <c r="Q72" i="4"/>
  <c r="Q70" i="4"/>
  <c r="Q68" i="4"/>
  <c r="Q66" i="4"/>
  <c r="Q64" i="4"/>
  <c r="Q62" i="4"/>
  <c r="Q60" i="4"/>
  <c r="Q306" i="4"/>
  <c r="Q293" i="4"/>
  <c r="Q278" i="4"/>
  <c r="Q257" i="4"/>
  <c r="Q238" i="4"/>
  <c r="Q217" i="4"/>
  <c r="Q198" i="4"/>
  <c r="Q177" i="4"/>
  <c r="Q158" i="4"/>
  <c r="Q137" i="4"/>
  <c r="Q112" i="4"/>
  <c r="Q295" i="4"/>
  <c r="Q280" i="4"/>
  <c r="Q259" i="4"/>
  <c r="Q240" i="4"/>
  <c r="Q219" i="4"/>
  <c r="Q200" i="4"/>
  <c r="Q179" i="4"/>
  <c r="Q160" i="4"/>
  <c r="Q139" i="4"/>
  <c r="Q114" i="4"/>
  <c r="Q320" i="4"/>
  <c r="Q299" i="4"/>
  <c r="Q220" i="4"/>
  <c r="Q182" i="4"/>
  <c r="Q151" i="4"/>
  <c r="Q105" i="4"/>
  <c r="Q319" i="4"/>
  <c r="Q269" i="4"/>
  <c r="Q254" i="4"/>
  <c r="Q247" i="4"/>
  <c r="Q201" i="4"/>
  <c r="Q189" i="4"/>
  <c r="Q170" i="4"/>
  <c r="Q163" i="4"/>
  <c r="Q153" i="4"/>
  <c r="Q44" i="4"/>
  <c r="Q35" i="4"/>
  <c r="Q26" i="4"/>
  <c r="Q15" i="4"/>
  <c r="Q2" i="4"/>
  <c r="Q227" i="4"/>
  <c r="Q208" i="4"/>
  <c r="Q128" i="4"/>
  <c r="Q107" i="4"/>
  <c r="Q87" i="4"/>
  <c r="Q67" i="4"/>
  <c r="Q4" i="4"/>
  <c r="Q314" i="4"/>
  <c r="Q296" i="4"/>
  <c r="Q291" i="4"/>
  <c r="Q286" i="4"/>
  <c r="Q281" i="4"/>
  <c r="Q261" i="4"/>
  <c r="Q244" i="4"/>
  <c r="Q234" i="4"/>
  <c r="Q191" i="4"/>
  <c r="Q172" i="4"/>
  <c r="Q144" i="4"/>
  <c r="Q119" i="4"/>
  <c r="Q37" i="4"/>
  <c r="Q28" i="4"/>
  <c r="Q17" i="4"/>
  <c r="Q316" i="4"/>
  <c r="Q288" i="4"/>
  <c r="Q273" i="4"/>
  <c r="Q251" i="4"/>
  <c r="Q212" i="4"/>
  <c r="Q186" i="4"/>
  <c r="Q181" i="4"/>
  <c r="Q162" i="4"/>
  <c r="Q123" i="4"/>
  <c r="Q111" i="4"/>
  <c r="Q23" i="4"/>
  <c r="Q10" i="4"/>
  <c r="Q311" i="4"/>
  <c r="Q263" i="4"/>
  <c r="Q258" i="4"/>
  <c r="Q246" i="4"/>
  <c r="Q241" i="4"/>
  <c r="Q224" i="4"/>
  <c r="Q195" i="4"/>
  <c r="Q176" i="4"/>
  <c r="Q167" i="4"/>
  <c r="Q157" i="4"/>
  <c r="Q148" i="4"/>
  <c r="Q136" i="4"/>
  <c r="Q93" i="4"/>
  <c r="Q73" i="4"/>
  <c r="Q41" i="4"/>
  <c r="Q308" i="4"/>
  <c r="Q303" i="4"/>
  <c r="Q313" i="4"/>
  <c r="Q290" i="4"/>
  <c r="Q285" i="4"/>
  <c r="Q260" i="4"/>
  <c r="Q305" i="4"/>
  <c r="Q300" i="4"/>
  <c r="Q282" i="4"/>
  <c r="Q265" i="4"/>
  <c r="Q310" i="4"/>
  <c r="Q297" i="4"/>
  <c r="Q277" i="4"/>
  <c r="Q272" i="4"/>
  <c r="Q228" i="4"/>
  <c r="Q173" i="4"/>
  <c r="Q145" i="4"/>
  <c r="Q129" i="4"/>
  <c r="Q99" i="4"/>
  <c r="Q79" i="4"/>
  <c r="Q38" i="4"/>
  <c r="Q29" i="4"/>
  <c r="Q292" i="4"/>
  <c r="Q166" i="4"/>
  <c r="Q154" i="4"/>
  <c r="Q149" i="4"/>
  <c r="Q143" i="4"/>
  <c r="Q40" i="4"/>
  <c r="Q271" i="4"/>
  <c r="Q268" i="4"/>
  <c r="Q213" i="4"/>
  <c r="Q210" i="4"/>
  <c r="Q204" i="4"/>
  <c r="Q115" i="4"/>
  <c r="Q58" i="4"/>
  <c r="Q48" i="4"/>
  <c r="Q7" i="4"/>
  <c r="Q45" i="4"/>
  <c r="Q239" i="4"/>
  <c r="Q207" i="4"/>
  <c r="Q192" i="4"/>
  <c r="Q183" i="4"/>
  <c r="Q146" i="4"/>
  <c r="Q126" i="4"/>
  <c r="Q103" i="4"/>
  <c r="Q95" i="4"/>
  <c r="Q63" i="4"/>
  <c r="Q53" i="4"/>
  <c r="Q34" i="4"/>
  <c r="Q242" i="4"/>
  <c r="Q180" i="4"/>
  <c r="Q174" i="4"/>
  <c r="Q140" i="4"/>
  <c r="Q71" i="4"/>
  <c r="Q12" i="4"/>
  <c r="Q302" i="4"/>
  <c r="Q284" i="4"/>
  <c r="Q248" i="4"/>
  <c r="Q245" i="4"/>
  <c r="Q233" i="4"/>
  <c r="Q221" i="4"/>
  <c r="Q267" i="4"/>
  <c r="Q197" i="4"/>
  <c r="Q165" i="4"/>
  <c r="Q97" i="4"/>
  <c r="Q39" i="4"/>
  <c r="Q25" i="4"/>
  <c r="Q9" i="4"/>
  <c r="Q3" i="4"/>
  <c r="Q253" i="4"/>
  <c r="Q19" i="4"/>
  <c r="Q16" i="4"/>
  <c r="Q287" i="4"/>
  <c r="Q203" i="4"/>
  <c r="Q194" i="4"/>
  <c r="Q159" i="4"/>
  <c r="Q131" i="4"/>
  <c r="Q81" i="4"/>
  <c r="Q65" i="4"/>
  <c r="Q36" i="4"/>
  <c r="Q250" i="4"/>
  <c r="Q185" i="4"/>
  <c r="Q57" i="4"/>
  <c r="Q33" i="4"/>
  <c r="Q133" i="4"/>
  <c r="Q27" i="4"/>
  <c r="Q301" i="4"/>
  <c r="Q294" i="4"/>
  <c r="Q256" i="4"/>
  <c r="Q206" i="4"/>
  <c r="Q188" i="4"/>
  <c r="Q142" i="4"/>
  <c r="Q125" i="4"/>
  <c r="Q52" i="4"/>
  <c r="Q47" i="4"/>
  <c r="Q150" i="4"/>
  <c r="Q22" i="4"/>
  <c r="Q11" i="4"/>
  <c r="Q232" i="4"/>
  <c r="Q226" i="4"/>
  <c r="Q122" i="4"/>
  <c r="Q91" i="4"/>
  <c r="Q54" i="4"/>
  <c r="Q312" i="4"/>
  <c r="Q235" i="4"/>
  <c r="Q229" i="4"/>
  <c r="Q223" i="4"/>
  <c r="Q214" i="4"/>
  <c r="Q155" i="4"/>
  <c r="Q116" i="4"/>
  <c r="Q113" i="4"/>
  <c r="Q83" i="4"/>
  <c r="Q75" i="4"/>
  <c r="Q30" i="4"/>
  <c r="Q130" i="4"/>
  <c r="Q266" i="4"/>
  <c r="Q164" i="4"/>
  <c r="Q279" i="4"/>
  <c r="Q202" i="4"/>
  <c r="Q193" i="4"/>
  <c r="Q161" i="4"/>
  <c r="Q152" i="4"/>
  <c r="Q59" i="4"/>
  <c r="Q49" i="4"/>
  <c r="Q24" i="4"/>
  <c r="Q8" i="4"/>
  <c r="Q199" i="4"/>
  <c r="Q262" i="4"/>
  <c r="Q211" i="4"/>
  <c r="Q184" i="4"/>
  <c r="Q147" i="4"/>
  <c r="Q141" i="4"/>
  <c r="Q138" i="4"/>
  <c r="Q127" i="4"/>
  <c r="Q205" i="4"/>
  <c r="Q178" i="4"/>
  <c r="Q118" i="4"/>
  <c r="Q69" i="4"/>
  <c r="Q13" i="4"/>
  <c r="Q89" i="4"/>
  <c r="Q85" i="4"/>
  <c r="Q14" i="4"/>
  <c r="Q6" i="4"/>
  <c r="Q101" i="4"/>
  <c r="Q120" i="4"/>
  <c r="Q61" i="4"/>
  <c r="Q132" i="4"/>
  <c r="Q225" i="4"/>
  <c r="Q307" i="4"/>
  <c r="Q231" i="4"/>
  <c r="Q5" i="4"/>
  <c r="Q56" i="4"/>
  <c r="Q55" i="4"/>
  <c r="Q77" i="4"/>
  <c r="Q21" i="4"/>
  <c r="Q51" i="4"/>
  <c r="Q32" i="4"/>
  <c r="Q317" i="4"/>
  <c r="Q275" i="4"/>
  <c r="Q187" i="4"/>
  <c r="Q43" i="4"/>
  <c r="Q168" i="4"/>
  <c r="Q274" i="4"/>
  <c r="Q218" i="4"/>
  <c r="Q20" i="4"/>
  <c r="Q42" i="4"/>
  <c r="Q18" i="4"/>
  <c r="Q222" i="4"/>
  <c r="Q121" i="4"/>
  <c r="Q252" i="4"/>
  <c r="Q134" i="4"/>
  <c r="Q216" i="4"/>
  <c r="Q50" i="4"/>
  <c r="Q318" i="4"/>
  <c r="Q171" i="4"/>
  <c r="Q31" i="4"/>
  <c r="Q117" i="4"/>
  <c r="Q109" i="4"/>
  <c r="Q46" i="4"/>
  <c r="Q237" i="4"/>
  <c r="Q124" i="4"/>
  <c r="K13" i="4"/>
  <c r="G9" i="4"/>
  <c r="M9" i="4" s="1"/>
  <c r="K44" i="4"/>
  <c r="R311" i="4"/>
  <c r="R285" i="4"/>
  <c r="R266" i="4"/>
  <c r="R245" i="4"/>
  <c r="R317" i="4"/>
  <c r="R302" i="4"/>
  <c r="R272" i="4"/>
  <c r="R251" i="4"/>
  <c r="R232" i="4"/>
  <c r="R211" i="4"/>
  <c r="R192" i="4"/>
  <c r="R171" i="4"/>
  <c r="R306" i="4"/>
  <c r="R293" i="4"/>
  <c r="R278" i="4"/>
  <c r="R257" i="4"/>
  <c r="R238" i="4"/>
  <c r="R217" i="4"/>
  <c r="R198" i="4"/>
  <c r="R177" i="4"/>
  <c r="R158" i="4"/>
  <c r="R137" i="4"/>
  <c r="R112" i="4"/>
  <c r="R295" i="4"/>
  <c r="R280" i="4"/>
  <c r="R259" i="4"/>
  <c r="R240" i="4"/>
  <c r="R219" i="4"/>
  <c r="R200" i="4"/>
  <c r="R179" i="4"/>
  <c r="R160" i="4"/>
  <c r="R139" i="4"/>
  <c r="R114" i="4"/>
  <c r="R308" i="4"/>
  <c r="R297" i="4"/>
  <c r="R282" i="4"/>
  <c r="R261" i="4"/>
  <c r="R242" i="4"/>
  <c r="R221" i="4"/>
  <c r="R202" i="4"/>
  <c r="R181" i="4"/>
  <c r="R162" i="4"/>
  <c r="R141" i="4"/>
  <c r="R116" i="4"/>
  <c r="R319" i="4"/>
  <c r="R304" i="4"/>
  <c r="R269" i="4"/>
  <c r="R254" i="4"/>
  <c r="R247" i="4"/>
  <c r="R215" i="4"/>
  <c r="R201" i="4"/>
  <c r="R189" i="4"/>
  <c r="R170" i="4"/>
  <c r="R163" i="4"/>
  <c r="R153" i="4"/>
  <c r="R276" i="4"/>
  <c r="R264" i="4"/>
  <c r="R227" i="4"/>
  <c r="R208" i="4"/>
  <c r="R128" i="4"/>
  <c r="R107" i="4"/>
  <c r="R96" i="4"/>
  <c r="R87" i="4"/>
  <c r="R76" i="4"/>
  <c r="R67" i="4"/>
  <c r="R4" i="4"/>
  <c r="R301" i="4"/>
  <c r="R314" i="4"/>
  <c r="R296" i="4"/>
  <c r="R291" i="4"/>
  <c r="R286" i="4"/>
  <c r="R281" i="4"/>
  <c r="R244" i="4"/>
  <c r="R234" i="4"/>
  <c r="R191" i="4"/>
  <c r="R172" i="4"/>
  <c r="R144" i="4"/>
  <c r="R119" i="4"/>
  <c r="R37" i="4"/>
  <c r="R28" i="4"/>
  <c r="R17" i="4"/>
  <c r="R321" i="4"/>
  <c r="R309" i="4"/>
  <c r="R271" i="4"/>
  <c r="R256" i="4"/>
  <c r="R239" i="4"/>
  <c r="R222" i="4"/>
  <c r="R184" i="4"/>
  <c r="R155" i="4"/>
  <c r="R130" i="4"/>
  <c r="R109" i="4"/>
  <c r="R98" i="4"/>
  <c r="R89" i="4"/>
  <c r="R78" i="4"/>
  <c r="R69" i="4"/>
  <c r="R46" i="4"/>
  <c r="R19" i="4"/>
  <c r="R6" i="4"/>
  <c r="R283" i="4"/>
  <c r="R263" i="4"/>
  <c r="R258" i="4"/>
  <c r="R246" i="4"/>
  <c r="R241" i="4"/>
  <c r="R224" i="4"/>
  <c r="R195" i="4"/>
  <c r="R176" i="4"/>
  <c r="R167" i="4"/>
  <c r="R157" i="4"/>
  <c r="R148" i="4"/>
  <c r="R136" i="4"/>
  <c r="R102" i="4"/>
  <c r="R93" i="4"/>
  <c r="R82" i="4"/>
  <c r="R73" i="4"/>
  <c r="R62" i="4"/>
  <c r="R41" i="4"/>
  <c r="R10" i="4"/>
  <c r="R14" i="4"/>
  <c r="R303" i="4"/>
  <c r="R298" i="4"/>
  <c r="R268" i="4"/>
  <c r="R231" i="4"/>
  <c r="R214" i="4"/>
  <c r="R205" i="4"/>
  <c r="R150" i="4"/>
  <c r="R125" i="4"/>
  <c r="R118" i="4"/>
  <c r="R32" i="4"/>
  <c r="R25" i="4"/>
  <c r="R12" i="4"/>
  <c r="R318" i="4"/>
  <c r="R320" i="4"/>
  <c r="R305" i="4"/>
  <c r="R300" i="4"/>
  <c r="R265" i="4"/>
  <c r="R310" i="4"/>
  <c r="R277" i="4"/>
  <c r="R292" i="4"/>
  <c r="R235" i="4"/>
  <c r="R223" i="4"/>
  <c r="R209" i="4"/>
  <c r="R204" i="4"/>
  <c r="R185" i="4"/>
  <c r="R166" i="4"/>
  <c r="R140" i="4"/>
  <c r="R131" i="4"/>
  <c r="R122" i="4"/>
  <c r="R115" i="4"/>
  <c r="R59" i="4"/>
  <c r="R57" i="4"/>
  <c r="R55" i="4"/>
  <c r="R53" i="4"/>
  <c r="R51" i="4"/>
  <c r="R49" i="4"/>
  <c r="R47" i="4"/>
  <c r="R20" i="4"/>
  <c r="R315" i="4"/>
  <c r="R287" i="4"/>
  <c r="R250" i="4"/>
  <c r="R213" i="4"/>
  <c r="R210" i="4"/>
  <c r="R106" i="4"/>
  <c r="R90" i="4"/>
  <c r="R58" i="4"/>
  <c r="R48" i="4"/>
  <c r="R15" i="4"/>
  <c r="R7" i="4"/>
  <c r="R34" i="4"/>
  <c r="R299" i="4"/>
  <c r="R207" i="4"/>
  <c r="R183" i="4"/>
  <c r="R146" i="4"/>
  <c r="R126" i="4"/>
  <c r="R103" i="4"/>
  <c r="R95" i="4"/>
  <c r="R74" i="4"/>
  <c r="R63" i="4"/>
  <c r="R26" i="4"/>
  <c r="R180" i="4"/>
  <c r="R174" i="4"/>
  <c r="R129" i="4"/>
  <c r="R71" i="4"/>
  <c r="R23" i="4"/>
  <c r="R288" i="4"/>
  <c r="R284" i="4"/>
  <c r="R248" i="4"/>
  <c r="R233" i="4"/>
  <c r="R151" i="4"/>
  <c r="R79" i="4"/>
  <c r="R45" i="4"/>
  <c r="R274" i="4"/>
  <c r="R236" i="4"/>
  <c r="R230" i="4"/>
  <c r="R218" i="4"/>
  <c r="R186" i="4"/>
  <c r="R134" i="4"/>
  <c r="R84" i="4"/>
  <c r="R50" i="4"/>
  <c r="R42" i="4"/>
  <c r="R203" i="4"/>
  <c r="R194" i="4"/>
  <c r="R159" i="4"/>
  <c r="R156" i="4"/>
  <c r="R108" i="4"/>
  <c r="R81" i="4"/>
  <c r="R65" i="4"/>
  <c r="R36" i="4"/>
  <c r="R22" i="4"/>
  <c r="R30" i="4"/>
  <c r="R294" i="4"/>
  <c r="R270" i="4"/>
  <c r="R212" i="4"/>
  <c r="R206" i="4"/>
  <c r="R188" i="4"/>
  <c r="R145" i="4"/>
  <c r="R142" i="4"/>
  <c r="R105" i="4"/>
  <c r="R52" i="4"/>
  <c r="R3" i="4"/>
  <c r="R226" i="4"/>
  <c r="R70" i="4"/>
  <c r="R44" i="4"/>
  <c r="R253" i="4"/>
  <c r="R86" i="4"/>
  <c r="R182" i="4"/>
  <c r="R16" i="4"/>
  <c r="R11" i="4"/>
  <c r="R113" i="4"/>
  <c r="R75" i="4"/>
  <c r="R110" i="4"/>
  <c r="R290" i="4"/>
  <c r="R33" i="4"/>
  <c r="R316" i="4"/>
  <c r="R312" i="4"/>
  <c r="R229" i="4"/>
  <c r="R173" i="4"/>
  <c r="R94" i="4"/>
  <c r="R83" i="4"/>
  <c r="R273" i="4"/>
  <c r="R220" i="4"/>
  <c r="R164" i="4"/>
  <c r="R133" i="4"/>
  <c r="R91" i="4"/>
  <c r="R54" i="4"/>
  <c r="R27" i="4"/>
  <c r="R279" i="4"/>
  <c r="R193" i="4"/>
  <c r="R161" i="4"/>
  <c r="R152" i="4"/>
  <c r="R99" i="4"/>
  <c r="R262" i="4"/>
  <c r="R199" i="4"/>
  <c r="R196" i="4"/>
  <c r="R190" i="4"/>
  <c r="R147" i="4"/>
  <c r="R138" i="4"/>
  <c r="R127" i="4"/>
  <c r="R104" i="4"/>
  <c r="R64" i="4"/>
  <c r="R38" i="4"/>
  <c r="R5" i="4"/>
  <c r="R178" i="4"/>
  <c r="R307" i="4"/>
  <c r="R249" i="4"/>
  <c r="R237" i="4"/>
  <c r="R187" i="4"/>
  <c r="R124" i="4"/>
  <c r="R77" i="4"/>
  <c r="R72" i="4"/>
  <c r="R56" i="4"/>
  <c r="R43" i="4"/>
  <c r="R35" i="4"/>
  <c r="R21" i="4"/>
  <c r="R120" i="4"/>
  <c r="R61" i="4"/>
  <c r="R289" i="4"/>
  <c r="R132" i="4"/>
  <c r="R40" i="4"/>
  <c r="R267" i="4"/>
  <c r="R97" i="4"/>
  <c r="R197" i="4"/>
  <c r="R165" i="4"/>
  <c r="R13" i="4"/>
  <c r="R275" i="4"/>
  <c r="R39" i="4"/>
  <c r="R9" i="4"/>
  <c r="R117" i="4"/>
  <c r="R149" i="4"/>
  <c r="R123" i="4"/>
  <c r="R100" i="4"/>
  <c r="R92" i="4"/>
  <c r="R68" i="4"/>
  <c r="R169" i="4"/>
  <c r="R88" i="4"/>
  <c r="R80" i="4"/>
  <c r="R225" i="4"/>
  <c r="R18" i="4"/>
  <c r="R154" i="4"/>
  <c r="R121" i="4"/>
  <c r="R260" i="4"/>
  <c r="R66" i="4"/>
  <c r="R216" i="4"/>
  <c r="R31" i="4"/>
  <c r="R135" i="4"/>
  <c r="R111" i="4"/>
  <c r="R60" i="4"/>
  <c r="R24" i="4"/>
  <c r="R228" i="4"/>
  <c r="R29" i="4"/>
  <c r="R252" i="4"/>
  <c r="R243" i="4"/>
  <c r="R2" i="4"/>
  <c r="R168" i="4"/>
  <c r="R8" i="4"/>
  <c r="R143" i="4"/>
  <c r="R255" i="4"/>
  <c r="R85" i="4"/>
  <c r="R313" i="4"/>
  <c r="R175" i="4"/>
  <c r="R101" i="4"/>
  <c r="S313" i="4"/>
  <c r="S300" i="4"/>
  <c r="S287" i="4"/>
  <c r="S268" i="4"/>
  <c r="S247" i="4"/>
  <c r="S228" i="4"/>
  <c r="S319" i="4"/>
  <c r="S291" i="4"/>
  <c r="S274" i="4"/>
  <c r="S253" i="4"/>
  <c r="S234" i="4"/>
  <c r="S213" i="4"/>
  <c r="S194" i="4"/>
  <c r="S173" i="4"/>
  <c r="S154" i="4"/>
  <c r="S295" i="4"/>
  <c r="S280" i="4"/>
  <c r="S259" i="4"/>
  <c r="S240" i="4"/>
  <c r="S219" i="4"/>
  <c r="S200" i="4"/>
  <c r="S179" i="4"/>
  <c r="S160" i="4"/>
  <c r="S139" i="4"/>
  <c r="S114" i="4"/>
  <c r="S308" i="4"/>
  <c r="S297" i="4"/>
  <c r="S282" i="4"/>
  <c r="S261" i="4"/>
  <c r="S242" i="4"/>
  <c r="S221" i="4"/>
  <c r="S202" i="4"/>
  <c r="S181" i="4"/>
  <c r="S162" i="4"/>
  <c r="S141" i="4"/>
  <c r="S116" i="4"/>
  <c r="S310" i="4"/>
  <c r="S284" i="4"/>
  <c r="S263" i="4"/>
  <c r="S244" i="4"/>
  <c r="S223" i="4"/>
  <c r="S204" i="4"/>
  <c r="S183" i="4"/>
  <c r="S164" i="4"/>
  <c r="S143" i="4"/>
  <c r="S118" i="4"/>
  <c r="S276" i="4"/>
  <c r="S264" i="4"/>
  <c r="S227" i="4"/>
  <c r="S208" i="4"/>
  <c r="S128" i="4"/>
  <c r="S107" i="4"/>
  <c r="S314" i="4"/>
  <c r="S296" i="4"/>
  <c r="S286" i="4"/>
  <c r="S281" i="4"/>
  <c r="S191" i="4"/>
  <c r="S172" i="4"/>
  <c r="S144" i="4"/>
  <c r="S119" i="4"/>
  <c r="S37" i="4"/>
  <c r="S28" i="4"/>
  <c r="S17" i="4"/>
  <c r="S306" i="4"/>
  <c r="S309" i="4"/>
  <c r="S271" i="4"/>
  <c r="S256" i="4"/>
  <c r="S239" i="4"/>
  <c r="S222" i="4"/>
  <c r="S184" i="4"/>
  <c r="S155" i="4"/>
  <c r="S130" i="4"/>
  <c r="S109" i="4"/>
  <c r="S98" i="4"/>
  <c r="S89" i="4"/>
  <c r="S78" i="4"/>
  <c r="S69" i="4"/>
  <c r="S46" i="4"/>
  <c r="S19" i="4"/>
  <c r="S6" i="4"/>
  <c r="S321" i="4"/>
  <c r="S301" i="4"/>
  <c r="S249" i="4"/>
  <c r="S217" i="4"/>
  <c r="S210" i="4"/>
  <c r="S203" i="4"/>
  <c r="S198" i="4"/>
  <c r="S193" i="4"/>
  <c r="S174" i="4"/>
  <c r="S165" i="4"/>
  <c r="S132" i="4"/>
  <c r="S121" i="4"/>
  <c r="S58" i="4"/>
  <c r="S56" i="4"/>
  <c r="S54" i="4"/>
  <c r="S52" i="4"/>
  <c r="S50" i="4"/>
  <c r="S48" i="4"/>
  <c r="S311" i="4"/>
  <c r="S303" i="4"/>
  <c r="S298" i="4"/>
  <c r="S231" i="4"/>
  <c r="S214" i="4"/>
  <c r="S205" i="4"/>
  <c r="S150" i="4"/>
  <c r="S125" i="4"/>
  <c r="S32" i="4"/>
  <c r="S25" i="4"/>
  <c r="S14" i="4"/>
  <c r="S12" i="4"/>
  <c r="S318" i="4"/>
  <c r="S275" i="4"/>
  <c r="S188" i="4"/>
  <c r="S152" i="4"/>
  <c r="S104" i="4"/>
  <c r="S95" i="4"/>
  <c r="S84" i="4"/>
  <c r="S75" i="4"/>
  <c r="S64" i="4"/>
  <c r="S34" i="4"/>
  <c r="S277" i="4"/>
  <c r="S292" i="4"/>
  <c r="S272" i="4"/>
  <c r="S315" i="4"/>
  <c r="S250" i="4"/>
  <c r="S218" i="4"/>
  <c r="S180" i="4"/>
  <c r="S156" i="4"/>
  <c r="S133" i="4"/>
  <c r="S110" i="4"/>
  <c r="S101" i="4"/>
  <c r="S90" i="4"/>
  <c r="S81" i="4"/>
  <c r="S70" i="4"/>
  <c r="S61" i="4"/>
  <c r="S7" i="4"/>
  <c r="S302" i="4"/>
  <c r="S267" i="4"/>
  <c r="S262" i="4"/>
  <c r="S257" i="4"/>
  <c r="S299" i="4"/>
  <c r="S278" i="4"/>
  <c r="S207" i="4"/>
  <c r="S146" i="4"/>
  <c r="S126" i="4"/>
  <c r="S115" i="4"/>
  <c r="S103" i="4"/>
  <c r="S82" i="4"/>
  <c r="S74" i="4"/>
  <c r="S63" i="4"/>
  <c r="S26" i="4"/>
  <c r="S23" i="4"/>
  <c r="S195" i="4"/>
  <c r="S192" i="4"/>
  <c r="S163" i="4"/>
  <c r="S157" i="4"/>
  <c r="S129" i="4"/>
  <c r="S71" i="4"/>
  <c r="S53" i="4"/>
  <c r="S4" i="4"/>
  <c r="S288" i="4"/>
  <c r="S248" i="4"/>
  <c r="S233" i="4"/>
  <c r="S201" i="4"/>
  <c r="S189" i="4"/>
  <c r="S151" i="4"/>
  <c r="S140" i="4"/>
  <c r="S87" i="4"/>
  <c r="S79" i="4"/>
  <c r="S45" i="4"/>
  <c r="S317" i="4"/>
  <c r="S123" i="4"/>
  <c r="S245" i="4"/>
  <c r="S236" i="4"/>
  <c r="S230" i="4"/>
  <c r="S186" i="4"/>
  <c r="S177" i="4"/>
  <c r="S137" i="4"/>
  <c r="S134" i="4"/>
  <c r="S42" i="4"/>
  <c r="S31" i="4"/>
  <c r="S20" i="4"/>
  <c r="S254" i="4"/>
  <c r="S251" i="4"/>
  <c r="S171" i="4"/>
  <c r="S168" i="4"/>
  <c r="S120" i="4"/>
  <c r="S117" i="4"/>
  <c r="S100" i="4"/>
  <c r="S68" i="4"/>
  <c r="S60" i="4"/>
  <c r="S305" i="4"/>
  <c r="S294" i="4"/>
  <c r="S270" i="4"/>
  <c r="S212" i="4"/>
  <c r="S206" i="4"/>
  <c r="S153" i="4"/>
  <c r="S148" i="4"/>
  <c r="S145" i="4"/>
  <c r="S142" i="4"/>
  <c r="S131" i="4"/>
  <c r="S105" i="4"/>
  <c r="S3" i="4"/>
  <c r="S316" i="4"/>
  <c r="S229" i="4"/>
  <c r="S122" i="4"/>
  <c r="S113" i="4"/>
  <c r="S102" i="4"/>
  <c r="S94" i="4"/>
  <c r="S83" i="4"/>
  <c r="S62" i="4"/>
  <c r="S44" i="4"/>
  <c r="S30" i="4"/>
  <c r="S127" i="4"/>
  <c r="S38" i="4"/>
  <c r="S238" i="4"/>
  <c r="S86" i="4"/>
  <c r="S73" i="4"/>
  <c r="S47" i="4"/>
  <c r="S22" i="4"/>
  <c r="S33" i="4"/>
  <c r="S16" i="4"/>
  <c r="S59" i="4"/>
  <c r="S49" i="4"/>
  <c r="S290" i="4"/>
  <c r="S226" i="4"/>
  <c r="S209" i="4"/>
  <c r="S185" i="4"/>
  <c r="S182" i="4"/>
  <c r="S57" i="4"/>
  <c r="S11" i="4"/>
  <c r="S312" i="4"/>
  <c r="S176" i="4"/>
  <c r="S138" i="4"/>
  <c r="S232" i="4"/>
  <c r="S136" i="4"/>
  <c r="S27" i="4"/>
  <c r="S283" i="4"/>
  <c r="S273" i="4"/>
  <c r="S241" i="4"/>
  <c r="S235" i="4"/>
  <c r="S220" i="4"/>
  <c r="S91" i="4"/>
  <c r="S279" i="4"/>
  <c r="S266" i="4"/>
  <c r="S170" i="4"/>
  <c r="S161" i="4"/>
  <c r="S99" i="4"/>
  <c r="S67" i="4"/>
  <c r="S41" i="4"/>
  <c r="S24" i="4"/>
  <c r="S8" i="4"/>
  <c r="S304" i="4"/>
  <c r="S199" i="4"/>
  <c r="S196" i="4"/>
  <c r="S190" i="4"/>
  <c r="S147" i="4"/>
  <c r="S211" i="4"/>
  <c r="S178" i="4"/>
  <c r="S167" i="4"/>
  <c r="S158" i="4"/>
  <c r="S88" i="4"/>
  <c r="S80" i="4"/>
  <c r="S13" i="4"/>
  <c r="S96" i="4"/>
  <c r="S307" i="4"/>
  <c r="S293" i="4"/>
  <c r="S269" i="4"/>
  <c r="S237" i="4"/>
  <c r="S187" i="4"/>
  <c r="S124" i="4"/>
  <c r="S289" i="4"/>
  <c r="S255" i="4"/>
  <c r="S252" i="4"/>
  <c r="S246" i="4"/>
  <c r="S243" i="4"/>
  <c r="S216" i="4"/>
  <c r="S175" i="4"/>
  <c r="S85" i="4"/>
  <c r="S2" i="4"/>
  <c r="S224" i="4"/>
  <c r="S166" i="4"/>
  <c r="S40" i="4"/>
  <c r="S10" i="4"/>
  <c r="S112" i="4"/>
  <c r="S65" i="4"/>
  <c r="S197" i="4"/>
  <c r="S149" i="4"/>
  <c r="S108" i="4"/>
  <c r="S92" i="4"/>
  <c r="S35" i="4"/>
  <c r="S21" i="4"/>
  <c r="S258" i="4"/>
  <c r="S215" i="4"/>
  <c r="S76" i="4"/>
  <c r="S72" i="4"/>
  <c r="S135" i="4"/>
  <c r="S111" i="4"/>
  <c r="S43" i="4"/>
  <c r="S320" i="4"/>
  <c r="S169" i="4"/>
  <c r="S5" i="4"/>
  <c r="S39" i="4"/>
  <c r="S9" i="4"/>
  <c r="S66" i="4"/>
  <c r="S36" i="4"/>
  <c r="S97" i="4"/>
  <c r="S29" i="4"/>
  <c r="S265" i="4"/>
  <c r="S159" i="4"/>
  <c r="S225" i="4"/>
  <c r="S106" i="4"/>
  <c r="S55" i="4"/>
  <c r="S51" i="4"/>
  <c r="S15" i="4"/>
  <c r="S77" i="4"/>
  <c r="S285" i="4"/>
  <c r="S260" i="4"/>
  <c r="S93" i="4"/>
  <c r="S18" i="4"/>
  <c r="G8" i="4"/>
  <c r="M8" i="4" s="1"/>
  <c r="G12" i="4"/>
  <c r="M12" i="4" s="1"/>
  <c r="K18" i="4"/>
  <c r="H2" i="4"/>
  <c r="K4" i="4"/>
  <c r="K34" i="4"/>
  <c r="K23" i="4"/>
  <c r="K14" i="4"/>
  <c r="K9" i="4"/>
  <c r="K19" i="4"/>
  <c r="K49" i="4"/>
  <c r="K24" i="4"/>
  <c r="K11" i="4"/>
  <c r="K16" i="4"/>
  <c r="K38" i="4"/>
  <c r="P321" i="4"/>
  <c r="P262" i="4"/>
  <c r="P268" i="4"/>
  <c r="P228" i="4"/>
  <c r="P188" i="4"/>
  <c r="P274" i="4"/>
  <c r="P234" i="4"/>
  <c r="P194" i="4"/>
  <c r="P154" i="4"/>
  <c r="P276" i="4"/>
  <c r="P236" i="4"/>
  <c r="P196" i="4"/>
  <c r="P156" i="4"/>
  <c r="P110" i="4"/>
  <c r="P108" i="4"/>
  <c r="P106" i="4"/>
  <c r="P104" i="4"/>
  <c r="P102" i="4"/>
  <c r="P100" i="4"/>
  <c r="P98" i="4"/>
  <c r="P96" i="4"/>
  <c r="P94" i="4"/>
  <c r="P92" i="4"/>
  <c r="P90" i="4"/>
  <c r="P88" i="4"/>
  <c r="P86" i="4"/>
  <c r="P84" i="4"/>
  <c r="P82" i="4"/>
  <c r="P80" i="4"/>
  <c r="P78" i="4"/>
  <c r="P76" i="4"/>
  <c r="P74" i="4"/>
  <c r="P72" i="4"/>
  <c r="P70" i="4"/>
  <c r="P68" i="4"/>
  <c r="P66" i="4"/>
  <c r="P64" i="4"/>
  <c r="P62" i="4"/>
  <c r="P306" i="4"/>
  <c r="P278" i="4"/>
  <c r="P238" i="4"/>
  <c r="P198" i="4"/>
  <c r="P158" i="4"/>
  <c r="P112" i="4"/>
  <c r="P312" i="4"/>
  <c r="P294" i="4"/>
  <c r="P252" i="4"/>
  <c r="P232" i="4"/>
  <c r="P206" i="4"/>
  <c r="P142" i="4"/>
  <c r="P126" i="4"/>
  <c r="P220" i="4"/>
  <c r="P182" i="4"/>
  <c r="P105" i="4"/>
  <c r="P85" i="4"/>
  <c r="P65" i="4"/>
  <c r="P314" i="4"/>
  <c r="P296" i="4"/>
  <c r="P264" i="4"/>
  <c r="P254" i="4"/>
  <c r="P170" i="4"/>
  <c r="P114" i="4"/>
  <c r="P44" i="4"/>
  <c r="P35" i="4"/>
  <c r="P2" i="4"/>
  <c r="P286" i="4"/>
  <c r="P208" i="4"/>
  <c r="P128" i="4"/>
  <c r="P107" i="4"/>
  <c r="P87" i="4"/>
  <c r="P67" i="4"/>
  <c r="P4" i="4"/>
  <c r="P146" i="4"/>
  <c r="P134" i="4"/>
  <c r="P91" i="4"/>
  <c r="P71" i="4"/>
  <c r="P21" i="4"/>
  <c r="P8" i="4"/>
  <c r="P316" i="4"/>
  <c r="P288" i="4"/>
  <c r="P212" i="4"/>
  <c r="P200" i="4"/>
  <c r="P186" i="4"/>
  <c r="P162" i="4"/>
  <c r="P123" i="4"/>
  <c r="P23" i="4"/>
  <c r="P270" i="4"/>
  <c r="P320" i="4"/>
  <c r="P260" i="4"/>
  <c r="P282" i="4"/>
  <c r="P192" i="4"/>
  <c r="P120" i="4"/>
  <c r="P18" i="4"/>
  <c r="P5" i="4"/>
  <c r="P310" i="4"/>
  <c r="P272" i="4"/>
  <c r="P258" i="4"/>
  <c r="P132" i="4"/>
  <c r="P29" i="4"/>
  <c r="P10" i="4"/>
  <c r="P40" i="4"/>
  <c r="P79" i="4"/>
  <c r="P166" i="4"/>
  <c r="P37" i="4"/>
  <c r="P210" i="4"/>
  <c r="P204" i="4"/>
  <c r="P58" i="4"/>
  <c r="P48" i="4"/>
  <c r="P103" i="4"/>
  <c r="P95" i="4"/>
  <c r="P63" i="4"/>
  <c r="P53" i="4"/>
  <c r="P242" i="4"/>
  <c r="P180" i="4"/>
  <c r="P174" i="4"/>
  <c r="P140" i="4"/>
  <c r="P224" i="4"/>
  <c r="P168" i="4"/>
  <c r="P89" i="4"/>
  <c r="P55" i="4"/>
  <c r="P14" i="4"/>
  <c r="P6" i="4"/>
  <c r="P148" i="4"/>
  <c r="P97" i="4"/>
  <c r="P22" i="4"/>
  <c r="P116" i="4"/>
  <c r="P83" i="4"/>
  <c r="P244" i="4"/>
  <c r="P81" i="4"/>
  <c r="P73" i="4"/>
  <c r="P36" i="4"/>
  <c r="P125" i="4"/>
  <c r="P52" i="4"/>
  <c r="P3" i="4"/>
  <c r="P256" i="4"/>
  <c r="P47" i="4"/>
  <c r="P41" i="4"/>
  <c r="P250" i="4"/>
  <c r="P176" i="4"/>
  <c r="P150" i="4"/>
  <c r="P136" i="4"/>
  <c r="P57" i="4"/>
  <c r="P226" i="4"/>
  <c r="P122" i="4"/>
  <c r="P33" i="4"/>
  <c r="P16" i="4"/>
  <c r="P11" i="4"/>
  <c r="P214" i="4"/>
  <c r="P75" i="4"/>
  <c r="P266" i="4"/>
  <c r="P164" i="4"/>
  <c r="P144" i="4"/>
  <c r="P130" i="4"/>
  <c r="P99" i="4"/>
  <c r="P54" i="4"/>
  <c r="P27" i="4"/>
  <c r="P202" i="4"/>
  <c r="P190" i="4"/>
  <c r="P152" i="4"/>
  <c r="P184" i="4"/>
  <c r="P138" i="4"/>
  <c r="P46" i="4"/>
  <c r="P216" i="4"/>
  <c r="P77" i="4"/>
  <c r="P50" i="4"/>
  <c r="P31" i="4"/>
  <c r="P101" i="4"/>
  <c r="P280" i="4"/>
  <c r="P61" i="4"/>
  <c r="P13" i="4"/>
  <c r="P284" i="4"/>
  <c r="P240" i="4"/>
  <c r="P178" i="4"/>
  <c r="P49" i="4"/>
  <c r="P56" i="4"/>
  <c r="P20" i="4"/>
  <c r="P230" i="4"/>
  <c r="P160" i="4"/>
  <c r="P60" i="4"/>
  <c r="P42" i="4"/>
  <c r="P28" i="4"/>
  <c r="P248" i="4"/>
  <c r="P218" i="4"/>
  <c r="P59" i="4"/>
  <c r="P51" i="4"/>
  <c r="P124" i="4"/>
  <c r="P222" i="4"/>
  <c r="P172" i="4"/>
  <c r="P118" i="4"/>
  <c r="P12" i="4"/>
  <c r="P24" i="4"/>
  <c r="P318" i="4"/>
  <c r="P121" i="4"/>
  <c r="P93" i="4"/>
  <c r="P69" i="4"/>
  <c r="P109" i="4"/>
  <c r="P246" i="4"/>
  <c r="G41" i="4"/>
  <c r="M41" i="4" s="1"/>
  <c r="G37" i="4"/>
  <c r="M37" i="4" s="1"/>
  <c r="G22" i="4"/>
  <c r="M22" i="4" s="1"/>
  <c r="P297" i="4"/>
  <c r="P137" i="4"/>
  <c r="P177" i="4"/>
  <c r="P217" i="4"/>
  <c r="P257" i="4"/>
  <c r="P45" i="4"/>
  <c r="K43" i="4"/>
  <c r="O43" i="4"/>
  <c r="O34" i="4"/>
  <c r="O6" i="4"/>
  <c r="O7" i="4"/>
  <c r="O287" i="4"/>
  <c r="O272" i="4"/>
  <c r="O247" i="4"/>
  <c r="O237" i="4"/>
  <c r="O232" i="4"/>
  <c r="O157" i="4"/>
  <c r="O147" i="4"/>
  <c r="O25" i="4"/>
  <c r="O18" i="4"/>
  <c r="O23" i="4"/>
  <c r="O76" i="4"/>
  <c r="O35" i="4"/>
  <c r="O19" i="4"/>
  <c r="O302" i="4"/>
  <c r="O277" i="4"/>
  <c r="O257" i="4"/>
  <c r="O227" i="4"/>
  <c r="O217" i="4"/>
  <c r="O172" i="4"/>
  <c r="O162" i="4"/>
  <c r="O132" i="4"/>
  <c r="O41" i="4"/>
  <c r="O11" i="4"/>
  <c r="O4" i="4"/>
  <c r="O39" i="4"/>
  <c r="O212" i="4"/>
  <c r="O318" i="4"/>
  <c r="O313" i="4"/>
  <c r="O308" i="4"/>
  <c r="O303" i="4"/>
  <c r="O298" i="4"/>
  <c r="O293" i="4"/>
  <c r="O288" i="4"/>
  <c r="O283" i="4"/>
  <c r="O278" i="4"/>
  <c r="O273" i="4"/>
  <c r="O268" i="4"/>
  <c r="O263" i="4"/>
  <c r="O258" i="4"/>
  <c r="O253" i="4"/>
  <c r="O248" i="4"/>
  <c r="O243" i="4"/>
  <c r="O238" i="4"/>
  <c r="O233" i="4"/>
  <c r="O228" i="4"/>
  <c r="O223" i="4"/>
  <c r="O218" i="4"/>
  <c r="O213" i="4"/>
  <c r="O208" i="4"/>
  <c r="O203" i="4"/>
  <c r="O198" i="4"/>
  <c r="O193" i="4"/>
  <c r="O188" i="4"/>
  <c r="O183" i="4"/>
  <c r="O178" i="4"/>
  <c r="O173" i="4"/>
  <c r="O168" i="4"/>
  <c r="O163" i="4"/>
  <c r="O158" i="4"/>
  <c r="O153" i="4"/>
  <c r="O148" i="4"/>
  <c r="O143" i="4"/>
  <c r="O138" i="4"/>
  <c r="O133" i="4"/>
  <c r="O128" i="4"/>
  <c r="O123" i="4"/>
  <c r="O118" i="4"/>
  <c r="O113" i="4"/>
  <c r="O108" i="4"/>
  <c r="O103" i="4"/>
  <c r="O98" i="4"/>
  <c r="O93" i="4"/>
  <c r="O88" i="4"/>
  <c r="O83" i="4"/>
  <c r="O78" i="4"/>
  <c r="O73" i="4"/>
  <c r="O68" i="4"/>
  <c r="O63" i="4"/>
  <c r="O58" i="4"/>
  <c r="O53" i="4"/>
  <c r="O48" i="4"/>
  <c r="O16" i="4"/>
  <c r="O81" i="4"/>
  <c r="O297" i="4"/>
  <c r="O282" i="4"/>
  <c r="O267" i="4"/>
  <c r="O252" i="4"/>
  <c r="O242" i="4"/>
  <c r="O202" i="4"/>
  <c r="O177" i="4"/>
  <c r="O167" i="4"/>
  <c r="O142" i="4"/>
  <c r="O137" i="4"/>
  <c r="O122" i="4"/>
  <c r="O32" i="4"/>
  <c r="O71" i="4"/>
  <c r="O9" i="4"/>
  <c r="O2" i="4"/>
  <c r="O61" i="4"/>
  <c r="O14" i="4"/>
  <c r="O28" i="4"/>
  <c r="O307" i="4"/>
  <c r="O46" i="4"/>
  <c r="O30" i="4"/>
  <c r="O121" i="4"/>
  <c r="O66" i="4"/>
  <c r="O51" i="4"/>
  <c r="O37" i="4"/>
  <c r="O44" i="4"/>
  <c r="O26" i="4"/>
  <c r="O317" i="4"/>
  <c r="O292" i="4"/>
  <c r="O262" i="4"/>
  <c r="O222" i="4"/>
  <c r="O192" i="4"/>
  <c r="O182" i="4"/>
  <c r="O152" i="4"/>
  <c r="O127" i="4"/>
  <c r="O321" i="4"/>
  <c r="O316" i="4"/>
  <c r="O311" i="4"/>
  <c r="O306" i="4"/>
  <c r="O301" i="4"/>
  <c r="O296" i="4"/>
  <c r="O291" i="4"/>
  <c r="O286" i="4"/>
  <c r="O281" i="4"/>
  <c r="O276" i="4"/>
  <c r="O271" i="4"/>
  <c r="O266" i="4"/>
  <c r="O261" i="4"/>
  <c r="O256" i="4"/>
  <c r="O251" i="4"/>
  <c r="O246" i="4"/>
  <c r="O241" i="4"/>
  <c r="O236" i="4"/>
  <c r="O231" i="4"/>
  <c r="O226" i="4"/>
  <c r="O221" i="4"/>
  <c r="O216" i="4"/>
  <c r="O211" i="4"/>
  <c r="O206" i="4"/>
  <c r="O201" i="4"/>
  <c r="O196" i="4"/>
  <c r="O191" i="4"/>
  <c r="O186" i="4"/>
  <c r="O181" i="4"/>
  <c r="O176" i="4"/>
  <c r="O171" i="4"/>
  <c r="O166" i="4"/>
  <c r="O161" i="4"/>
  <c r="O156" i="4"/>
  <c r="O151" i="4"/>
  <c r="O146" i="4"/>
  <c r="O141" i="4"/>
  <c r="O136" i="4"/>
  <c r="O131" i="4"/>
  <c r="O126" i="4"/>
  <c r="O116" i="4"/>
  <c r="O111" i="4"/>
  <c r="O106" i="4"/>
  <c r="O101" i="4"/>
  <c r="O96" i="4"/>
  <c r="O91" i="4"/>
  <c r="O86" i="4"/>
  <c r="O56" i="4"/>
  <c r="O21" i="4"/>
  <c r="O319" i="4"/>
  <c r="O314" i="4"/>
  <c r="O309" i="4"/>
  <c r="O304" i="4"/>
  <c r="O299" i="4"/>
  <c r="O294" i="4"/>
  <c r="O289" i="4"/>
  <c r="O284" i="4"/>
  <c r="O279" i="4"/>
  <c r="O274" i="4"/>
  <c r="O269" i="4"/>
  <c r="O264" i="4"/>
  <c r="O259" i="4"/>
  <c r="O254" i="4"/>
  <c r="O249" i="4"/>
  <c r="O244" i="4"/>
  <c r="O239" i="4"/>
  <c r="O234" i="4"/>
  <c r="O229" i="4"/>
  <c r="O224" i="4"/>
  <c r="O219" i="4"/>
  <c r="O214" i="4"/>
  <c r="O209" i="4"/>
  <c r="O204" i="4"/>
  <c r="O199" i="4"/>
  <c r="O194" i="4"/>
  <c r="O189" i="4"/>
  <c r="O184" i="4"/>
  <c r="O179" i="4"/>
  <c r="O174" i="4"/>
  <c r="O169" i="4"/>
  <c r="O164" i="4"/>
  <c r="O159" i="4"/>
  <c r="O154" i="4"/>
  <c r="O149" i="4"/>
  <c r="O144" i="4"/>
  <c r="O139" i="4"/>
  <c r="O134" i="4"/>
  <c r="O129" i="4"/>
  <c r="O124" i="4"/>
  <c r="O119" i="4"/>
  <c r="O114" i="4"/>
  <c r="O109" i="4"/>
  <c r="O104" i="4"/>
  <c r="O99" i="4"/>
  <c r="O94" i="4"/>
  <c r="O89" i="4"/>
  <c r="O84" i="4"/>
  <c r="O79" i="4"/>
  <c r="O74" i="4"/>
  <c r="O69" i="4"/>
  <c r="O64" i="4"/>
  <c r="O59" i="4"/>
  <c r="O54" i="4"/>
  <c r="O49" i="4"/>
  <c r="O42" i="4"/>
  <c r="O12" i="4"/>
  <c r="O5" i="4"/>
  <c r="O33" i="4"/>
  <c r="O10" i="4"/>
  <c r="O3" i="4"/>
  <c r="O312" i="4"/>
  <c r="O24" i="4"/>
  <c r="O40" i="4"/>
  <c r="O17" i="4"/>
  <c r="O207" i="4"/>
  <c r="O67" i="4"/>
  <c r="O47" i="4"/>
  <c r="O205" i="4"/>
  <c r="O310" i="4"/>
  <c r="O285" i="4"/>
  <c r="O260" i="4"/>
  <c r="O235" i="4"/>
  <c r="O210" i="4"/>
  <c r="O187" i="4"/>
  <c r="O82" i="4"/>
  <c r="O50" i="4"/>
  <c r="O13" i="4"/>
  <c r="O55" i="4"/>
  <c r="O60" i="4"/>
  <c r="O97" i="4"/>
  <c r="O65" i="4"/>
  <c r="O27" i="4"/>
  <c r="O102" i="4"/>
  <c r="O185" i="4"/>
  <c r="O160" i="4"/>
  <c r="O135" i="4"/>
  <c r="O112" i="4"/>
  <c r="O80" i="4"/>
  <c r="O255" i="4"/>
  <c r="O130" i="4"/>
  <c r="O92" i="4"/>
  <c r="O95" i="4"/>
  <c r="O31" i="4"/>
  <c r="O300" i="4"/>
  <c r="O275" i="4"/>
  <c r="O250" i="4"/>
  <c r="O225" i="4"/>
  <c r="O200" i="4"/>
  <c r="O110" i="4"/>
  <c r="O57" i="4"/>
  <c r="O15" i="4"/>
  <c r="O175" i="4"/>
  <c r="O150" i="4"/>
  <c r="O125" i="4"/>
  <c r="O72" i="4"/>
  <c r="O62" i="4"/>
  <c r="O77" i="4"/>
  <c r="O180" i="4"/>
  <c r="O155" i="4"/>
  <c r="O87" i="4"/>
  <c r="O29" i="4"/>
  <c r="O315" i="4"/>
  <c r="O290" i="4"/>
  <c r="O265" i="4"/>
  <c r="O240" i="4"/>
  <c r="O215" i="4"/>
  <c r="O70" i="4"/>
  <c r="O280" i="4"/>
  <c r="O230" i="4"/>
  <c r="O190" i="4"/>
  <c r="O117" i="4"/>
  <c r="O85" i="4"/>
  <c r="O115" i="4"/>
  <c r="O45" i="4"/>
  <c r="O165" i="4"/>
  <c r="O140" i="4"/>
  <c r="O100" i="4"/>
  <c r="O305" i="4"/>
  <c r="O197" i="4"/>
  <c r="O107" i="4"/>
  <c r="O75" i="4"/>
  <c r="O22" i="4"/>
  <c r="O20" i="4"/>
  <c r="O320" i="4"/>
  <c r="O295" i="4"/>
  <c r="O270" i="4"/>
  <c r="O245" i="4"/>
  <c r="O220" i="4"/>
  <c r="O90" i="4"/>
  <c r="O8" i="4"/>
  <c r="O195" i="4"/>
  <c r="O105" i="4"/>
  <c r="O38" i="4"/>
  <c r="O170" i="4"/>
  <c r="O145" i="4"/>
  <c r="O120" i="4"/>
  <c r="O52" i="4"/>
  <c r="O36" i="4"/>
  <c r="G2" i="4" l="1"/>
  <c r="M2" i="4" s="1"/>
  <c r="L2" i="4"/>
  <c r="K2" i="4"/>
  <c r="G4" i="10"/>
  <c r="G10" i="10"/>
  <c r="G11" i="10"/>
  <c r="A3" i="17" l="1" a="1"/>
  <c r="A3" i="17" s="1"/>
  <c r="A3" i="16" a="1"/>
  <c r="A3" i="16" s="1"/>
  <c r="A3" i="18" a="1"/>
  <c r="A3" i="18" s="1"/>
  <c r="U317" i="4"/>
  <c r="U302" i="4"/>
  <c r="U272" i="4"/>
  <c r="U251" i="4"/>
  <c r="U232" i="4"/>
  <c r="U306" i="4"/>
  <c r="U293" i="4"/>
  <c r="U278" i="4"/>
  <c r="U257" i="4"/>
  <c r="U238" i="4"/>
  <c r="U217" i="4"/>
  <c r="U198" i="4"/>
  <c r="U177" i="4"/>
  <c r="U158" i="4"/>
  <c r="U310" i="4"/>
  <c r="U284" i="4"/>
  <c r="U263" i="4"/>
  <c r="U244" i="4"/>
  <c r="U223" i="4"/>
  <c r="U204" i="4"/>
  <c r="U183" i="4"/>
  <c r="U164" i="4"/>
  <c r="U143" i="4"/>
  <c r="U118" i="4"/>
  <c r="U312" i="4"/>
  <c r="U299" i="4"/>
  <c r="U286" i="4"/>
  <c r="U265" i="4"/>
  <c r="U246" i="4"/>
  <c r="U225" i="4"/>
  <c r="U206" i="4"/>
  <c r="U185" i="4"/>
  <c r="U166" i="4"/>
  <c r="U145" i="4"/>
  <c r="U126" i="4"/>
  <c r="U124" i="4"/>
  <c r="U122" i="4"/>
  <c r="U120" i="4"/>
  <c r="U314" i="4"/>
  <c r="U288" i="4"/>
  <c r="U267" i="4"/>
  <c r="U248" i="4"/>
  <c r="U227" i="4"/>
  <c r="U208" i="4"/>
  <c r="U187" i="4"/>
  <c r="U168" i="4"/>
  <c r="U147" i="4"/>
  <c r="U128" i="4"/>
  <c r="U309" i="4"/>
  <c r="U291" i="4"/>
  <c r="U271" i="4"/>
  <c r="U256" i="4"/>
  <c r="U239" i="4"/>
  <c r="U234" i="4"/>
  <c r="U222" i="4"/>
  <c r="U184" i="4"/>
  <c r="U155" i="4"/>
  <c r="U130" i="4"/>
  <c r="U114" i="4"/>
  <c r="U109" i="4"/>
  <c r="U301" i="4"/>
  <c r="U210" i="4"/>
  <c r="U203" i="4"/>
  <c r="U193" i="4"/>
  <c r="U174" i="4"/>
  <c r="U165" i="4"/>
  <c r="U139" i="4"/>
  <c r="U132" i="4"/>
  <c r="U121" i="4"/>
  <c r="U58" i="4"/>
  <c r="U56" i="4"/>
  <c r="U54" i="4"/>
  <c r="U52" i="4"/>
  <c r="U50" i="4"/>
  <c r="U48" i="4"/>
  <c r="U283" i="4"/>
  <c r="U321" i="4"/>
  <c r="U266" i="4"/>
  <c r="U261" i="4"/>
  <c r="U249" i="4"/>
  <c r="U229" i="4"/>
  <c r="U179" i="4"/>
  <c r="U160" i="4"/>
  <c r="U146" i="4"/>
  <c r="U134" i="4"/>
  <c r="U100" i="4"/>
  <c r="U91" i="4"/>
  <c r="U80" i="4"/>
  <c r="U71" i="4"/>
  <c r="U60" i="4"/>
  <c r="U39" i="4"/>
  <c r="U30" i="4"/>
  <c r="U21" i="4"/>
  <c r="U8" i="4"/>
  <c r="U316" i="4"/>
  <c r="U273" i="4"/>
  <c r="U212" i="4"/>
  <c r="U186" i="4"/>
  <c r="U123" i="4"/>
  <c r="U111" i="4"/>
  <c r="U23" i="4"/>
  <c r="U253" i="4"/>
  <c r="U226" i="4"/>
  <c r="U169" i="4"/>
  <c r="U138" i="4"/>
  <c r="U113" i="4"/>
  <c r="U43" i="4"/>
  <c r="U16" i="4"/>
  <c r="U27" i="4"/>
  <c r="U3" i="4"/>
  <c r="U320" i="4"/>
  <c r="U305" i="4"/>
  <c r="U295" i="4"/>
  <c r="U308" i="4"/>
  <c r="U290" i="4"/>
  <c r="U280" i="4"/>
  <c r="U260" i="4"/>
  <c r="U233" i="4"/>
  <c r="U216" i="4"/>
  <c r="U207" i="4"/>
  <c r="U197" i="4"/>
  <c r="U190" i="4"/>
  <c r="U178" i="4"/>
  <c r="U127" i="4"/>
  <c r="U106" i="4"/>
  <c r="U97" i="4"/>
  <c r="U86" i="4"/>
  <c r="U77" i="4"/>
  <c r="U66" i="4"/>
  <c r="U36" i="4"/>
  <c r="U313" i="4"/>
  <c r="U285" i="4"/>
  <c r="U282" i="4"/>
  <c r="U315" i="4"/>
  <c r="U297" i="4"/>
  <c r="U287" i="4"/>
  <c r="U262" i="4"/>
  <c r="U307" i="4"/>
  <c r="U245" i="4"/>
  <c r="U230" i="4"/>
  <c r="U175" i="4"/>
  <c r="U135" i="4"/>
  <c r="U103" i="4"/>
  <c r="U92" i="4"/>
  <c r="U83" i="4"/>
  <c r="U72" i="4"/>
  <c r="U63" i="4"/>
  <c r="U11" i="4"/>
  <c r="U294" i="4"/>
  <c r="U279" i="4"/>
  <c r="U274" i="4"/>
  <c r="U252" i="4"/>
  <c r="U292" i="4"/>
  <c r="U281" i="4"/>
  <c r="U268" i="4"/>
  <c r="U201" i="4"/>
  <c r="U189" i="4"/>
  <c r="U180" i="4"/>
  <c r="U151" i="4"/>
  <c r="U140" i="4"/>
  <c r="U95" i="4"/>
  <c r="U87" i="4"/>
  <c r="U79" i="4"/>
  <c r="U45" i="4"/>
  <c r="U34" i="4"/>
  <c r="U159" i="4"/>
  <c r="U137" i="4"/>
  <c r="U42" i="4"/>
  <c r="U20" i="4"/>
  <c r="U12" i="4"/>
  <c r="U254" i="4"/>
  <c r="U242" i="4"/>
  <c r="U236" i="4"/>
  <c r="U218" i="4"/>
  <c r="U171" i="4"/>
  <c r="U117" i="4"/>
  <c r="U68" i="4"/>
  <c r="U31" i="4"/>
  <c r="U221" i="4"/>
  <c r="U84" i="4"/>
  <c r="U76" i="4"/>
  <c r="U55" i="4"/>
  <c r="U264" i="4"/>
  <c r="U224" i="4"/>
  <c r="U215" i="4"/>
  <c r="U108" i="4"/>
  <c r="U65" i="4"/>
  <c r="U209" i="4"/>
  <c r="U200" i="4"/>
  <c r="U191" i="4"/>
  <c r="U188" i="4"/>
  <c r="U182" i="4"/>
  <c r="U125" i="4"/>
  <c r="U57" i="4"/>
  <c r="U33" i="4"/>
  <c r="U22" i="4"/>
  <c r="U19" i="4"/>
  <c r="U49" i="4"/>
  <c r="U38" i="4"/>
  <c r="U176" i="4"/>
  <c r="U150" i="4"/>
  <c r="U136" i="4"/>
  <c r="U102" i="4"/>
  <c r="U94" i="4"/>
  <c r="U70" i="4"/>
  <c r="U62" i="4"/>
  <c r="U44" i="4"/>
  <c r="U319" i="4"/>
  <c r="U133" i="4"/>
  <c r="U119" i="4"/>
  <c r="U59" i="4"/>
  <c r="U250" i="4"/>
  <c r="U241" i="4"/>
  <c r="U235" i="4"/>
  <c r="U220" i="4"/>
  <c r="U173" i="4"/>
  <c r="U78" i="4"/>
  <c r="U247" i="4"/>
  <c r="U214" i="4"/>
  <c r="U170" i="4"/>
  <c r="U67" i="4"/>
  <c r="U41" i="4"/>
  <c r="U96" i="4"/>
  <c r="U64" i="4"/>
  <c r="U99" i="4"/>
  <c r="U75" i="4"/>
  <c r="U116" i="4"/>
  <c r="U104" i="4"/>
  <c r="U276" i="4"/>
  <c r="U259" i="4"/>
  <c r="U161" i="4"/>
  <c r="U110" i="4"/>
  <c r="U24" i="4"/>
  <c r="U5" i="4"/>
  <c r="U35" i="4"/>
  <c r="U304" i="4"/>
  <c r="U199" i="4"/>
  <c r="U196" i="4"/>
  <c r="U167" i="4"/>
  <c r="U152" i="4"/>
  <c r="U107" i="4"/>
  <c r="U88" i="4"/>
  <c r="U13" i="4"/>
  <c r="U202" i="4"/>
  <c r="U269" i="4"/>
  <c r="U237" i="4"/>
  <c r="U211" i="4"/>
  <c r="U144" i="4"/>
  <c r="U300" i="4"/>
  <c r="U243" i="4"/>
  <c r="U205" i="4"/>
  <c r="U141" i="4"/>
  <c r="U85" i="4"/>
  <c r="U46" i="4"/>
  <c r="U2" i="4"/>
  <c r="U289" i="4"/>
  <c r="U255" i="4"/>
  <c r="U181" i="4"/>
  <c r="U101" i="4"/>
  <c r="U318" i="4"/>
  <c r="U296" i="4"/>
  <c r="U275" i="4"/>
  <c r="U240" i="4"/>
  <c r="U231" i="4"/>
  <c r="U172" i="4"/>
  <c r="U149" i="4"/>
  <c r="U93" i="4"/>
  <c r="U32" i="4"/>
  <c r="U29" i="4"/>
  <c r="U73" i="4"/>
  <c r="U213" i="4"/>
  <c r="U7" i="4"/>
  <c r="U303" i="4"/>
  <c r="U28" i="4"/>
  <c r="U53" i="4"/>
  <c r="U26" i="4"/>
  <c r="U69" i="4"/>
  <c r="U298" i="4"/>
  <c r="U258" i="4"/>
  <c r="U219" i="4"/>
  <c r="U157" i="4"/>
  <c r="U17" i="4"/>
  <c r="U115" i="4"/>
  <c r="U192" i="4"/>
  <c r="U15" i="4"/>
  <c r="U14" i="4"/>
  <c r="U153" i="4"/>
  <c r="U9" i="4"/>
  <c r="U311" i="4"/>
  <c r="U98" i="4"/>
  <c r="U82" i="4"/>
  <c r="U163" i="4"/>
  <c r="U10" i="4"/>
  <c r="U131" i="4"/>
  <c r="U25" i="4"/>
  <c r="U51" i="4"/>
  <c r="U195" i="4"/>
  <c r="U47" i="4"/>
  <c r="U90" i="4"/>
  <c r="U37" i="4"/>
  <c r="U40" i="4"/>
  <c r="U156" i="4"/>
  <c r="U4" i="4"/>
  <c r="U74" i="4"/>
  <c r="U89" i="4"/>
  <c r="U270" i="4"/>
  <c r="U148" i="4"/>
  <c r="U6" i="4"/>
  <c r="U81" i="4"/>
  <c r="U162" i="4"/>
  <c r="U105" i="4"/>
  <c r="U112" i="4"/>
  <c r="U277" i="4"/>
  <c r="U142" i="4"/>
  <c r="U18" i="4"/>
  <c r="U228" i="4"/>
  <c r="U194" i="4"/>
  <c r="U154" i="4"/>
  <c r="U129" i="4"/>
  <c r="U61" i="4"/>
  <c r="T315" i="4"/>
  <c r="T289" i="4"/>
  <c r="T270" i="4"/>
  <c r="T249" i="4"/>
  <c r="T230" i="4"/>
  <c r="T321" i="4"/>
  <c r="T304" i="4"/>
  <c r="T276" i="4"/>
  <c r="T255" i="4"/>
  <c r="T236" i="4"/>
  <c r="T215" i="4"/>
  <c r="T196" i="4"/>
  <c r="T175" i="4"/>
  <c r="T156" i="4"/>
  <c r="T308" i="4"/>
  <c r="T297" i="4"/>
  <c r="T282" i="4"/>
  <c r="T261" i="4"/>
  <c r="T242" i="4"/>
  <c r="T221" i="4"/>
  <c r="T202" i="4"/>
  <c r="T181" i="4"/>
  <c r="T162" i="4"/>
  <c r="T141" i="4"/>
  <c r="T116" i="4"/>
  <c r="T310" i="4"/>
  <c r="T284" i="4"/>
  <c r="T263" i="4"/>
  <c r="T244" i="4"/>
  <c r="T223" i="4"/>
  <c r="T204" i="4"/>
  <c r="T183" i="4"/>
  <c r="T164" i="4"/>
  <c r="T143" i="4"/>
  <c r="T118" i="4"/>
  <c r="T312" i="4"/>
  <c r="T299" i="4"/>
  <c r="T286" i="4"/>
  <c r="T265" i="4"/>
  <c r="T246" i="4"/>
  <c r="T225" i="4"/>
  <c r="T206" i="4"/>
  <c r="T185" i="4"/>
  <c r="T166" i="4"/>
  <c r="T145" i="4"/>
  <c r="T126" i="4"/>
  <c r="T124" i="4"/>
  <c r="T122" i="4"/>
  <c r="T120" i="4"/>
  <c r="T314" i="4"/>
  <c r="T296" i="4"/>
  <c r="T281" i="4"/>
  <c r="T191" i="4"/>
  <c r="T172" i="4"/>
  <c r="T144" i="4"/>
  <c r="T119" i="4"/>
  <c r="T309" i="4"/>
  <c r="T291" i="4"/>
  <c r="T271" i="4"/>
  <c r="T256" i="4"/>
  <c r="T239" i="4"/>
  <c r="T234" i="4"/>
  <c r="T222" i="4"/>
  <c r="T184" i="4"/>
  <c r="T155" i="4"/>
  <c r="T130" i="4"/>
  <c r="T114" i="4"/>
  <c r="T109" i="4"/>
  <c r="T98" i="4"/>
  <c r="T89" i="4"/>
  <c r="T78" i="4"/>
  <c r="T69" i="4"/>
  <c r="T46" i="4"/>
  <c r="T19" i="4"/>
  <c r="T6" i="4"/>
  <c r="T316" i="4"/>
  <c r="T288" i="4"/>
  <c r="T301" i="4"/>
  <c r="T217" i="4"/>
  <c r="T210" i="4"/>
  <c r="T203" i="4"/>
  <c r="T198" i="4"/>
  <c r="T193" i="4"/>
  <c r="T174" i="4"/>
  <c r="T165" i="4"/>
  <c r="T139" i="4"/>
  <c r="T132" i="4"/>
  <c r="T121" i="4"/>
  <c r="T58" i="4"/>
  <c r="T56" i="4"/>
  <c r="T54" i="4"/>
  <c r="T52" i="4"/>
  <c r="T50" i="4"/>
  <c r="T48" i="4"/>
  <c r="T306" i="4"/>
  <c r="T266" i="4"/>
  <c r="T229" i="4"/>
  <c r="T179" i="4"/>
  <c r="T160" i="4"/>
  <c r="T146" i="4"/>
  <c r="T134" i="4"/>
  <c r="T100" i="4"/>
  <c r="T91" i="4"/>
  <c r="T80" i="4"/>
  <c r="T71" i="4"/>
  <c r="T60" i="4"/>
  <c r="T39" i="4"/>
  <c r="T30" i="4"/>
  <c r="T21" i="4"/>
  <c r="T8" i="4"/>
  <c r="T318" i="4"/>
  <c r="T275" i="4"/>
  <c r="T268" i="4"/>
  <c r="T219" i="4"/>
  <c r="T200" i="4"/>
  <c r="T188" i="4"/>
  <c r="T152" i="4"/>
  <c r="T104" i="4"/>
  <c r="T95" i="4"/>
  <c r="T84" i="4"/>
  <c r="T75" i="4"/>
  <c r="T64" i="4"/>
  <c r="T34" i="4"/>
  <c r="T290" i="4"/>
  <c r="T253" i="4"/>
  <c r="T226" i="4"/>
  <c r="T169" i="4"/>
  <c r="T138" i="4"/>
  <c r="T113" i="4"/>
  <c r="T43" i="4"/>
  <c r="T16" i="4"/>
  <c r="T292" i="4"/>
  <c r="T272" i="4"/>
  <c r="T250" i="4"/>
  <c r="T302" i="4"/>
  <c r="T287" i="4"/>
  <c r="T267" i="4"/>
  <c r="T262" i="4"/>
  <c r="T257" i="4"/>
  <c r="T240" i="4"/>
  <c r="T211" i="4"/>
  <c r="T199" i="4"/>
  <c r="T194" i="4"/>
  <c r="T161" i="4"/>
  <c r="T147" i="4"/>
  <c r="T40" i="4"/>
  <c r="T31" i="4"/>
  <c r="T24" i="4"/>
  <c r="T22" i="4"/>
  <c r="T9" i="4"/>
  <c r="T307" i="4"/>
  <c r="T195" i="4"/>
  <c r="T192" i="4"/>
  <c r="T163" i="4"/>
  <c r="T157" i="4"/>
  <c r="T129" i="4"/>
  <c r="T53" i="4"/>
  <c r="T37" i="4"/>
  <c r="T23" i="4"/>
  <c r="T4" i="4"/>
  <c r="T295" i="4"/>
  <c r="T248" i="4"/>
  <c r="T233" i="4"/>
  <c r="T201" i="4"/>
  <c r="T189" i="4"/>
  <c r="T180" i="4"/>
  <c r="T151" i="4"/>
  <c r="T140" i="4"/>
  <c r="T87" i="4"/>
  <c r="T79" i="4"/>
  <c r="T45" i="4"/>
  <c r="T111" i="4"/>
  <c r="T245" i="4"/>
  <c r="T186" i="4"/>
  <c r="T177" i="4"/>
  <c r="T137" i="4"/>
  <c r="T42" i="4"/>
  <c r="T20" i="4"/>
  <c r="T12" i="4"/>
  <c r="T317" i="4"/>
  <c r="T274" i="4"/>
  <c r="T254" i="4"/>
  <c r="T251" i="4"/>
  <c r="T218" i="4"/>
  <c r="T171" i="4"/>
  <c r="T168" i="4"/>
  <c r="T123" i="4"/>
  <c r="T117" i="4"/>
  <c r="T68" i="4"/>
  <c r="T320" i="4"/>
  <c r="T313" i="4"/>
  <c r="T260" i="4"/>
  <c r="T227" i="4"/>
  <c r="T197" i="4"/>
  <c r="T97" i="4"/>
  <c r="T92" i="4"/>
  <c r="T76" i="4"/>
  <c r="T55" i="4"/>
  <c r="T298" i="4"/>
  <c r="T238" i="4"/>
  <c r="T128" i="4"/>
  <c r="T86" i="4"/>
  <c r="T73" i="4"/>
  <c r="T47" i="4"/>
  <c r="T178" i="4"/>
  <c r="T107" i="4"/>
  <c r="T209" i="4"/>
  <c r="T182" i="4"/>
  <c r="T125" i="4"/>
  <c r="T57" i="4"/>
  <c r="T33" i="4"/>
  <c r="T11" i="4"/>
  <c r="T232" i="4"/>
  <c r="T176" i="4"/>
  <c r="T150" i="4"/>
  <c r="T136" i="4"/>
  <c r="T102" i="4"/>
  <c r="T94" i="4"/>
  <c r="T83" i="4"/>
  <c r="T70" i="4"/>
  <c r="T62" i="4"/>
  <c r="T44" i="4"/>
  <c r="T27" i="4"/>
  <c r="T283" i="4"/>
  <c r="T273" i="4"/>
  <c r="T241" i="4"/>
  <c r="T235" i="4"/>
  <c r="T220" i="4"/>
  <c r="T173" i="4"/>
  <c r="T41" i="4"/>
  <c r="T319" i="4"/>
  <c r="T279" i="4"/>
  <c r="T247" i="4"/>
  <c r="T214" i="4"/>
  <c r="T170" i="4"/>
  <c r="T133" i="4"/>
  <c r="T99" i="4"/>
  <c r="T67" i="4"/>
  <c r="T167" i="4"/>
  <c r="T259" i="4"/>
  <c r="T190" i="4"/>
  <c r="T127" i="4"/>
  <c r="T110" i="4"/>
  <c r="T59" i="4"/>
  <c r="T49" i="4"/>
  <c r="T38" i="4"/>
  <c r="T5" i="4"/>
  <c r="T88" i="4"/>
  <c r="T158" i="4"/>
  <c r="T293" i="4"/>
  <c r="T269" i="4"/>
  <c r="T237" i="4"/>
  <c r="T208" i="4"/>
  <c r="T187" i="4"/>
  <c r="T96" i="4"/>
  <c r="T77" i="4"/>
  <c r="T72" i="4"/>
  <c r="T35" i="4"/>
  <c r="T300" i="4"/>
  <c r="T252" i="4"/>
  <c r="T243" i="4"/>
  <c r="T216" i="4"/>
  <c r="T205" i="4"/>
  <c r="T135" i="4"/>
  <c r="T101" i="4"/>
  <c r="T61" i="4"/>
  <c r="T51" i="4"/>
  <c r="T18" i="4"/>
  <c r="T294" i="4"/>
  <c r="T212" i="4"/>
  <c r="T112" i="4"/>
  <c r="T81" i="4"/>
  <c r="T65" i="4"/>
  <c r="T159" i="4"/>
  <c r="T3" i="4"/>
  <c r="T14" i="4"/>
  <c r="T280" i="4"/>
  <c r="T207" i="4"/>
  <c r="T224" i="4"/>
  <c r="T303" i="4"/>
  <c r="T231" i="4"/>
  <c r="T149" i="4"/>
  <c r="T108" i="4"/>
  <c r="T10" i="4"/>
  <c r="T26" i="4"/>
  <c r="T153" i="4"/>
  <c r="T311" i="4"/>
  <c r="T115" i="4"/>
  <c r="T28" i="4"/>
  <c r="T258" i="4"/>
  <c r="T17" i="4"/>
  <c r="T13" i="4"/>
  <c r="T90" i="4"/>
  <c r="T154" i="4"/>
  <c r="T105" i="4"/>
  <c r="T32" i="4"/>
  <c r="T29" i="4"/>
  <c r="T106" i="4"/>
  <c r="T15" i="4"/>
  <c r="T85" i="4"/>
  <c r="T131" i="4"/>
  <c r="T103" i="4"/>
  <c r="T25" i="4"/>
  <c r="T278" i="4"/>
  <c r="T7" i="4"/>
  <c r="T148" i="4"/>
  <c r="T63" i="4"/>
  <c r="T305" i="4"/>
  <c r="T66" i="4"/>
  <c r="T82" i="4"/>
  <c r="T285" i="4"/>
  <c r="T213" i="4"/>
  <c r="T36" i="4"/>
  <c r="T74" i="4"/>
  <c r="T264" i="4"/>
  <c r="T93" i="4"/>
  <c r="T277" i="4"/>
  <c r="T142" i="4"/>
  <c r="T2" i="4"/>
  <c r="T228" i="4"/>
  <c r="N320" i="4"/>
  <c r="N315" i="4"/>
  <c r="N310" i="4"/>
  <c r="N305" i="4"/>
  <c r="N300" i="4"/>
  <c r="N295" i="4"/>
  <c r="N290" i="4"/>
  <c r="N285" i="4"/>
  <c r="N280" i="4"/>
  <c r="N275" i="4"/>
  <c r="N270" i="4"/>
  <c r="N265" i="4"/>
  <c r="N260" i="4"/>
  <c r="N255" i="4"/>
  <c r="N250" i="4"/>
  <c r="N245" i="4"/>
  <c r="N240" i="4"/>
  <c r="N235" i="4"/>
  <c r="N230" i="4"/>
  <c r="N225" i="4"/>
  <c r="N220" i="4"/>
  <c r="N215" i="4"/>
  <c r="N210" i="4"/>
  <c r="N205" i="4"/>
  <c r="N200" i="4"/>
  <c r="N195" i="4"/>
  <c r="N190" i="4"/>
  <c r="N185" i="4"/>
  <c r="N180" i="4"/>
  <c r="N175" i="4"/>
  <c r="N170" i="4"/>
  <c r="N165" i="4"/>
  <c r="N160" i="4"/>
  <c r="N155" i="4"/>
  <c r="N150" i="4"/>
  <c r="N145" i="4"/>
  <c r="N140" i="4"/>
  <c r="N135" i="4"/>
  <c r="N130" i="4"/>
  <c r="N125" i="4"/>
  <c r="N120" i="4"/>
  <c r="N115" i="4"/>
  <c r="N110" i="4"/>
  <c r="N105" i="4"/>
  <c r="N100" i="4"/>
  <c r="N95" i="4"/>
  <c r="N90" i="4"/>
  <c r="N85" i="4"/>
  <c r="N80" i="4"/>
  <c r="N75" i="4"/>
  <c r="N70" i="4"/>
  <c r="N65" i="4"/>
  <c r="N60" i="4"/>
  <c r="N55" i="4"/>
  <c r="N50" i="4"/>
  <c r="N27" i="4"/>
  <c r="N13" i="4"/>
  <c r="N171" i="4"/>
  <c r="N81" i="4"/>
  <c r="N21" i="4"/>
  <c r="N7" i="4"/>
  <c r="N43" i="4"/>
  <c r="N34" i="4"/>
  <c r="N6" i="4"/>
  <c r="N301" i="4"/>
  <c r="N276" i="4"/>
  <c r="N266" i="4"/>
  <c r="N246" i="4"/>
  <c r="N236" i="4"/>
  <c r="N181" i="4"/>
  <c r="N176" i="4"/>
  <c r="N156" i="4"/>
  <c r="N146" i="4"/>
  <c r="N71" i="4"/>
  <c r="N37" i="4"/>
  <c r="N25" i="4"/>
  <c r="N18" i="4"/>
  <c r="N58" i="4"/>
  <c r="N30" i="4"/>
  <c r="N306" i="4"/>
  <c r="N251" i="4"/>
  <c r="N191" i="4"/>
  <c r="N161" i="4"/>
  <c r="N131" i="4"/>
  <c r="N41" i="4"/>
  <c r="N11" i="4"/>
  <c r="N4" i="4"/>
  <c r="N48" i="4"/>
  <c r="N281" i="4"/>
  <c r="N271" i="4"/>
  <c r="N261" i="4"/>
  <c r="N231" i="4"/>
  <c r="N201" i="4"/>
  <c r="N116" i="4"/>
  <c r="N101" i="4"/>
  <c r="N96" i="4"/>
  <c r="N86" i="4"/>
  <c r="N51" i="4"/>
  <c r="N44" i="4"/>
  <c r="N28" i="4"/>
  <c r="N35" i="4"/>
  <c r="N318" i="4"/>
  <c r="N313" i="4"/>
  <c r="N308" i="4"/>
  <c r="N303" i="4"/>
  <c r="N298" i="4"/>
  <c r="N293" i="4"/>
  <c r="N288" i="4"/>
  <c r="N283" i="4"/>
  <c r="N278" i="4"/>
  <c r="N273" i="4"/>
  <c r="N268" i="4"/>
  <c r="N263" i="4"/>
  <c r="N258" i="4"/>
  <c r="N253" i="4"/>
  <c r="N248" i="4"/>
  <c r="N243" i="4"/>
  <c r="N238" i="4"/>
  <c r="N233" i="4"/>
  <c r="N228" i="4"/>
  <c r="N223" i="4"/>
  <c r="N218" i="4"/>
  <c r="N213" i="4"/>
  <c r="N208" i="4"/>
  <c r="N203" i="4"/>
  <c r="N198" i="4"/>
  <c r="N193" i="4"/>
  <c r="N188" i="4"/>
  <c r="N183" i="4"/>
  <c r="N178" i="4"/>
  <c r="N173" i="4"/>
  <c r="N168" i="4"/>
  <c r="N163" i="4"/>
  <c r="N158" i="4"/>
  <c r="N153" i="4"/>
  <c r="N148" i="4"/>
  <c r="N143" i="4"/>
  <c r="N138" i="4"/>
  <c r="N133" i="4"/>
  <c r="N128" i="4"/>
  <c r="N123" i="4"/>
  <c r="N118" i="4"/>
  <c r="N113" i="4"/>
  <c r="N108" i="4"/>
  <c r="N103" i="4"/>
  <c r="N98" i="4"/>
  <c r="N93" i="4"/>
  <c r="N88" i="4"/>
  <c r="N83" i="4"/>
  <c r="N78" i="4"/>
  <c r="N73" i="4"/>
  <c r="N68" i="4"/>
  <c r="N63" i="4"/>
  <c r="N53" i="4"/>
  <c r="N296" i="4"/>
  <c r="N216" i="4"/>
  <c r="N186" i="4"/>
  <c r="N151" i="4"/>
  <c r="N136" i="4"/>
  <c r="N121" i="4"/>
  <c r="N106" i="4"/>
  <c r="N76" i="4"/>
  <c r="N14" i="4"/>
  <c r="N39" i="4"/>
  <c r="N32" i="4"/>
  <c r="N23" i="4"/>
  <c r="N16" i="4"/>
  <c r="N316" i="4"/>
  <c r="N291" i="4"/>
  <c r="N256" i="4"/>
  <c r="N226" i="4"/>
  <c r="N211" i="4"/>
  <c r="N166" i="4"/>
  <c r="N91" i="4"/>
  <c r="N9" i="4"/>
  <c r="N2" i="4"/>
  <c r="N321" i="4"/>
  <c r="N286" i="4"/>
  <c r="N241" i="4"/>
  <c r="N221" i="4"/>
  <c r="N206" i="4"/>
  <c r="N196" i="4"/>
  <c r="N141" i="4"/>
  <c r="N126" i="4"/>
  <c r="N111" i="4"/>
  <c r="N66" i="4"/>
  <c r="N61" i="4"/>
  <c r="N56" i="4"/>
  <c r="N19" i="4"/>
  <c r="N46" i="4"/>
  <c r="N311" i="4"/>
  <c r="N26" i="4"/>
  <c r="N224" i="4"/>
  <c r="N139" i="4"/>
  <c r="N134" i="4"/>
  <c r="N129" i="4"/>
  <c r="N124" i="4"/>
  <c r="N114" i="4"/>
  <c r="N99" i="4"/>
  <c r="N79" i="4"/>
  <c r="N74" i="4"/>
  <c r="N69" i="4"/>
  <c r="N59" i="4"/>
  <c r="N49" i="4"/>
  <c r="N42" i="4"/>
  <c r="N12" i="4"/>
  <c r="N5" i="4"/>
  <c r="N33" i="4"/>
  <c r="N24" i="4"/>
  <c r="N319" i="4"/>
  <c r="N314" i="4"/>
  <c r="N309" i="4"/>
  <c r="N304" i="4"/>
  <c r="N299" i="4"/>
  <c r="N294" i="4"/>
  <c r="N289" i="4"/>
  <c r="N284" i="4"/>
  <c r="N279" i="4"/>
  <c r="N274" i="4"/>
  <c r="N269" i="4"/>
  <c r="N264" i="4"/>
  <c r="N259" i="4"/>
  <c r="N254" i="4"/>
  <c r="N249" i="4"/>
  <c r="N244" i="4"/>
  <c r="N239" i="4"/>
  <c r="N234" i="4"/>
  <c r="N229" i="4"/>
  <c r="N219" i="4"/>
  <c r="N214" i="4"/>
  <c r="N209" i="4"/>
  <c r="N204" i="4"/>
  <c r="N199" i="4"/>
  <c r="N194" i="4"/>
  <c r="N189" i="4"/>
  <c r="N184" i="4"/>
  <c r="N179" i="4"/>
  <c r="N174" i="4"/>
  <c r="N169" i="4"/>
  <c r="N164" i="4"/>
  <c r="N159" i="4"/>
  <c r="N154" i="4"/>
  <c r="N149" i="4"/>
  <c r="N144" i="4"/>
  <c r="N119" i="4"/>
  <c r="N109" i="4"/>
  <c r="N104" i="4"/>
  <c r="N94" i="4"/>
  <c r="N89" i="4"/>
  <c r="N84" i="4"/>
  <c r="N64" i="4"/>
  <c r="N54" i="4"/>
  <c r="N17" i="4"/>
  <c r="N40" i="4"/>
  <c r="N312" i="4"/>
  <c r="N287" i="4"/>
  <c r="N262" i="4"/>
  <c r="N237" i="4"/>
  <c r="N212" i="4"/>
  <c r="N52" i="4"/>
  <c r="N36" i="4"/>
  <c r="N29" i="4"/>
  <c r="N47" i="4"/>
  <c r="N67" i="4"/>
  <c r="N182" i="4"/>
  <c r="N187" i="4"/>
  <c r="N162" i="4"/>
  <c r="N137" i="4"/>
  <c r="N82" i="4"/>
  <c r="N62" i="4"/>
  <c r="N97" i="4"/>
  <c r="N157" i="4"/>
  <c r="N132" i="4"/>
  <c r="N302" i="4"/>
  <c r="N277" i="4"/>
  <c r="N252" i="4"/>
  <c r="N227" i="4"/>
  <c r="N202" i="4"/>
  <c r="N112" i="4"/>
  <c r="N31" i="4"/>
  <c r="N177" i="4"/>
  <c r="N152" i="4"/>
  <c r="N127" i="4"/>
  <c r="N3" i="4"/>
  <c r="N15" i="4"/>
  <c r="N57" i="4"/>
  <c r="N45" i="4"/>
  <c r="N317" i="4"/>
  <c r="N292" i="4"/>
  <c r="N267" i="4"/>
  <c r="N242" i="4"/>
  <c r="N217" i="4"/>
  <c r="N72" i="4"/>
  <c r="N192" i="4"/>
  <c r="N87" i="4"/>
  <c r="N77" i="4"/>
  <c r="N167" i="4"/>
  <c r="N142" i="4"/>
  <c r="N102" i="4"/>
  <c r="N282" i="4"/>
  <c r="N232" i="4"/>
  <c r="N207" i="4"/>
  <c r="N117" i="4"/>
  <c r="N307" i="4"/>
  <c r="N257" i="4"/>
  <c r="N297" i="4"/>
  <c r="N272" i="4"/>
  <c r="N247" i="4"/>
  <c r="N222" i="4"/>
  <c r="N92" i="4"/>
  <c r="N197" i="4"/>
  <c r="N107" i="4"/>
  <c r="N22" i="4"/>
  <c r="N20" i="4"/>
  <c r="N10" i="4"/>
  <c r="N172" i="4"/>
  <c r="N147" i="4"/>
  <c r="N122" i="4"/>
  <c r="N8" i="4"/>
  <c r="N38" i="4"/>
  <c r="J7" i="10"/>
  <c r="J4" i="10"/>
  <c r="J5" i="10"/>
  <c r="J10" i="10"/>
  <c r="J8" i="10"/>
  <c r="J11" i="10"/>
  <c r="J9" i="10"/>
  <c r="J6" i="10"/>
  <c r="A2" i="7" l="1" a="1"/>
  <c r="C3" i="7" l="1"/>
  <c r="C7" i="7"/>
  <c r="C11" i="7"/>
  <c r="C15" i="7"/>
  <c r="C4" i="7"/>
  <c r="C8" i="7"/>
  <c r="C12" i="7"/>
  <c r="C16" i="7"/>
  <c r="C20" i="7"/>
  <c r="C24" i="7"/>
  <c r="C28" i="7"/>
  <c r="C32" i="7"/>
  <c r="C36" i="7"/>
  <c r="C40" i="7"/>
  <c r="C44" i="7"/>
  <c r="C48" i="7"/>
  <c r="C52" i="7"/>
  <c r="C56" i="7"/>
  <c r="C60" i="7"/>
  <c r="C64" i="7"/>
  <c r="C68" i="7"/>
  <c r="C72" i="7"/>
  <c r="C76" i="7"/>
  <c r="C80" i="7"/>
  <c r="C84" i="7"/>
  <c r="C88" i="7"/>
  <c r="C92" i="7"/>
  <c r="C96" i="7"/>
  <c r="C100" i="7"/>
  <c r="C104" i="7"/>
  <c r="C108" i="7"/>
  <c r="C112" i="7"/>
  <c r="C116" i="7"/>
  <c r="C120" i="7"/>
  <c r="C124" i="7"/>
  <c r="C128" i="7"/>
  <c r="C132" i="7"/>
  <c r="C136" i="7"/>
  <c r="C140" i="7"/>
  <c r="C144" i="7"/>
  <c r="C148" i="7"/>
  <c r="C152" i="7"/>
  <c r="C156" i="7"/>
  <c r="C160" i="7"/>
  <c r="C164" i="7"/>
  <c r="C168" i="7"/>
  <c r="C172" i="7"/>
  <c r="C176" i="7"/>
  <c r="C180" i="7"/>
  <c r="C184" i="7"/>
  <c r="C188" i="7"/>
  <c r="C192" i="7"/>
  <c r="C196" i="7"/>
  <c r="C200" i="7"/>
  <c r="C204" i="7"/>
  <c r="C208" i="7"/>
  <c r="C212" i="7"/>
  <c r="C216" i="7"/>
  <c r="C220" i="7"/>
  <c r="C224" i="7"/>
  <c r="C228" i="7"/>
  <c r="C232" i="7"/>
  <c r="C236" i="7"/>
  <c r="C240" i="7"/>
  <c r="C244" i="7"/>
  <c r="C248" i="7"/>
  <c r="C252" i="7"/>
  <c r="C256" i="7"/>
  <c r="C260" i="7"/>
  <c r="C264" i="7"/>
  <c r="C268" i="7"/>
  <c r="C272" i="7"/>
  <c r="C276" i="7"/>
  <c r="C280" i="7"/>
  <c r="C284" i="7"/>
  <c r="C288" i="7"/>
  <c r="C292" i="7"/>
  <c r="C296" i="7"/>
  <c r="C300" i="7"/>
  <c r="C304" i="7"/>
  <c r="C308" i="7"/>
  <c r="C312" i="7"/>
  <c r="C316" i="7"/>
  <c r="C320" i="7"/>
  <c r="C324" i="7"/>
  <c r="C328" i="7"/>
  <c r="C332" i="7"/>
  <c r="C336" i="7"/>
  <c r="C340" i="7"/>
  <c r="C5" i="7"/>
  <c r="C13" i="7"/>
  <c r="C19" i="7"/>
  <c r="C25" i="7"/>
  <c r="C30" i="7"/>
  <c r="C35" i="7"/>
  <c r="C41" i="7"/>
  <c r="C46" i="7"/>
  <c r="C51" i="7"/>
  <c r="C57" i="7"/>
  <c r="C62" i="7"/>
  <c r="C67" i="7"/>
  <c r="C73" i="7"/>
  <c r="C78" i="7"/>
  <c r="C83" i="7"/>
  <c r="C89" i="7"/>
  <c r="C94" i="7"/>
  <c r="C99" i="7"/>
  <c r="C105" i="7"/>
  <c r="C110" i="7"/>
  <c r="C115" i="7"/>
  <c r="C121" i="7"/>
  <c r="C126" i="7"/>
  <c r="C131" i="7"/>
  <c r="C137" i="7"/>
  <c r="C142" i="7"/>
  <c r="C147" i="7"/>
  <c r="C153" i="7"/>
  <c r="C158" i="7"/>
  <c r="C163" i="7"/>
  <c r="C169" i="7"/>
  <c r="C174" i="7"/>
  <c r="C179" i="7"/>
  <c r="C185" i="7"/>
  <c r="C190" i="7"/>
  <c r="C195" i="7"/>
  <c r="C201" i="7"/>
  <c r="C206" i="7"/>
  <c r="C211" i="7"/>
  <c r="C217" i="7"/>
  <c r="C222" i="7"/>
  <c r="C227" i="7"/>
  <c r="C233" i="7"/>
  <c r="C238" i="7"/>
  <c r="C243" i="7"/>
  <c r="C249" i="7"/>
  <c r="C254" i="7"/>
  <c r="C259" i="7"/>
  <c r="C265" i="7"/>
  <c r="C270" i="7"/>
  <c r="C275" i="7"/>
  <c r="C281" i="7"/>
  <c r="C286" i="7"/>
  <c r="C291" i="7"/>
  <c r="C297" i="7"/>
  <c r="C302" i="7"/>
  <c r="C307" i="7"/>
  <c r="C313" i="7"/>
  <c r="C318" i="7"/>
  <c r="C323" i="7"/>
  <c r="C329" i="7"/>
  <c r="C334" i="7"/>
  <c r="C339" i="7"/>
  <c r="C344" i="7"/>
  <c r="C348" i="7"/>
  <c r="C352" i="7"/>
  <c r="C356" i="7"/>
  <c r="C360" i="7"/>
  <c r="C364" i="7"/>
  <c r="C368" i="7"/>
  <c r="C372" i="7"/>
  <c r="C376" i="7"/>
  <c r="C380" i="7"/>
  <c r="C384" i="7"/>
  <c r="C388" i="7"/>
  <c r="C392" i="7"/>
  <c r="C396" i="7"/>
  <c r="C6" i="7"/>
  <c r="C14" i="7"/>
  <c r="C21" i="7"/>
  <c r="C26" i="7"/>
  <c r="C31" i="7"/>
  <c r="C37" i="7"/>
  <c r="C42" i="7"/>
  <c r="C47" i="7"/>
  <c r="C53" i="7"/>
  <c r="C58" i="7"/>
  <c r="C63" i="7"/>
  <c r="C69" i="7"/>
  <c r="C74" i="7"/>
  <c r="C79" i="7"/>
  <c r="C85" i="7"/>
  <c r="C90" i="7"/>
  <c r="C95" i="7"/>
  <c r="C101" i="7"/>
  <c r="C106" i="7"/>
  <c r="C111" i="7"/>
  <c r="C117" i="7"/>
  <c r="C122" i="7"/>
  <c r="C127" i="7"/>
  <c r="C133" i="7"/>
  <c r="C138" i="7"/>
  <c r="C143" i="7"/>
  <c r="C149" i="7"/>
  <c r="C154" i="7"/>
  <c r="C159" i="7"/>
  <c r="C165" i="7"/>
  <c r="C170" i="7"/>
  <c r="C175" i="7"/>
  <c r="C181" i="7"/>
  <c r="C186" i="7"/>
  <c r="C191" i="7"/>
  <c r="C197" i="7"/>
  <c r="C202" i="7"/>
  <c r="C207" i="7"/>
  <c r="C213" i="7"/>
  <c r="C218" i="7"/>
  <c r="C223" i="7"/>
  <c r="C229" i="7"/>
  <c r="C234" i="7"/>
  <c r="C239" i="7"/>
  <c r="C245" i="7"/>
  <c r="C250" i="7"/>
  <c r="C255" i="7"/>
  <c r="C261" i="7"/>
  <c r="C266" i="7"/>
  <c r="C271" i="7"/>
  <c r="C277" i="7"/>
  <c r="C282" i="7"/>
  <c r="C287" i="7"/>
  <c r="C293" i="7"/>
  <c r="C298" i="7"/>
  <c r="C303" i="7"/>
  <c r="C309" i="7"/>
  <c r="C314" i="7"/>
  <c r="C319" i="7"/>
  <c r="C325" i="7"/>
  <c r="C330" i="7"/>
  <c r="C335" i="7"/>
  <c r="C341" i="7"/>
  <c r="C345" i="7"/>
  <c r="C349" i="7"/>
  <c r="C353" i="7"/>
  <c r="C357" i="7"/>
  <c r="C9" i="7"/>
  <c r="C17" i="7"/>
  <c r="C22" i="7"/>
  <c r="C27" i="7"/>
  <c r="C10" i="7"/>
  <c r="C18" i="7"/>
  <c r="C23" i="7"/>
  <c r="C29" i="7"/>
  <c r="C34" i="7"/>
  <c r="C39" i="7"/>
  <c r="C45" i="7"/>
  <c r="C50" i="7"/>
  <c r="C55" i="7"/>
  <c r="C61" i="7"/>
  <c r="C66" i="7"/>
  <c r="C71" i="7"/>
  <c r="C77" i="7"/>
  <c r="C82" i="7"/>
  <c r="C87" i="7"/>
  <c r="C93" i="7"/>
  <c r="C98" i="7"/>
  <c r="C103" i="7"/>
  <c r="C109" i="7"/>
  <c r="C114" i="7"/>
  <c r="C119" i="7"/>
  <c r="C125" i="7"/>
  <c r="C130" i="7"/>
  <c r="C135" i="7"/>
  <c r="C141" i="7"/>
  <c r="C146" i="7"/>
  <c r="C151" i="7"/>
  <c r="C157" i="7"/>
  <c r="C162" i="7"/>
  <c r="C167" i="7"/>
  <c r="C173" i="7"/>
  <c r="C178" i="7"/>
  <c r="C183" i="7"/>
  <c r="C189" i="7"/>
  <c r="C194" i="7"/>
  <c r="C199" i="7"/>
  <c r="C205" i="7"/>
  <c r="C210" i="7"/>
  <c r="C215" i="7"/>
  <c r="C221" i="7"/>
  <c r="C226" i="7"/>
  <c r="C231" i="7"/>
  <c r="C237" i="7"/>
  <c r="C242" i="7"/>
  <c r="C247" i="7"/>
  <c r="C253" i="7"/>
  <c r="C258" i="7"/>
  <c r="C263" i="7"/>
  <c r="C269" i="7"/>
  <c r="C274" i="7"/>
  <c r="C279" i="7"/>
  <c r="C285" i="7"/>
  <c r="C290" i="7"/>
  <c r="C295" i="7"/>
  <c r="C301" i="7"/>
  <c r="C306" i="7"/>
  <c r="C311" i="7"/>
  <c r="C317" i="7"/>
  <c r="C322" i="7"/>
  <c r="C327" i="7"/>
  <c r="C333" i="7"/>
  <c r="C338" i="7"/>
  <c r="C343" i="7"/>
  <c r="C347" i="7"/>
  <c r="C351" i="7"/>
  <c r="C355" i="7"/>
  <c r="C359" i="7"/>
  <c r="C363" i="7"/>
  <c r="C367" i="7"/>
  <c r="C371" i="7"/>
  <c r="C375" i="7"/>
  <c r="C379" i="7"/>
  <c r="C383" i="7"/>
  <c r="C387" i="7"/>
  <c r="C391" i="7"/>
  <c r="C395" i="7"/>
  <c r="C399" i="7"/>
  <c r="C403" i="7"/>
  <c r="C407" i="7"/>
  <c r="C411" i="7"/>
  <c r="C415" i="7"/>
  <c r="C419" i="7"/>
  <c r="C423" i="7"/>
  <c r="C427" i="7"/>
  <c r="C431" i="7"/>
  <c r="C33" i="7"/>
  <c r="C54" i="7"/>
  <c r="C75" i="7"/>
  <c r="C97" i="7"/>
  <c r="C118" i="7"/>
  <c r="C139" i="7"/>
  <c r="C161" i="7"/>
  <c r="C182" i="7"/>
  <c r="C203" i="7"/>
  <c r="C225" i="7"/>
  <c r="C246" i="7"/>
  <c r="C267" i="7"/>
  <c r="C289" i="7"/>
  <c r="C310" i="7"/>
  <c r="C331" i="7"/>
  <c r="C350" i="7"/>
  <c r="C362" i="7"/>
  <c r="C370" i="7"/>
  <c r="C378" i="7"/>
  <c r="C386" i="7"/>
  <c r="C394" i="7"/>
  <c r="C401" i="7"/>
  <c r="C406" i="7"/>
  <c r="C412" i="7"/>
  <c r="C417" i="7"/>
  <c r="C422" i="7"/>
  <c r="C428" i="7"/>
  <c r="C433" i="7"/>
  <c r="C437" i="7"/>
  <c r="C441" i="7"/>
  <c r="C445" i="7"/>
  <c r="C449" i="7"/>
  <c r="C453" i="7"/>
  <c r="C457" i="7"/>
  <c r="C461" i="7"/>
  <c r="C465" i="7"/>
  <c r="C469" i="7"/>
  <c r="C473" i="7"/>
  <c r="C477" i="7"/>
  <c r="C481" i="7"/>
  <c r="C485" i="7"/>
  <c r="C489" i="7"/>
  <c r="C493" i="7"/>
  <c r="C497" i="7"/>
  <c r="C501" i="7"/>
  <c r="C38" i="7"/>
  <c r="C59" i="7"/>
  <c r="C81" i="7"/>
  <c r="C102" i="7"/>
  <c r="C123" i="7"/>
  <c r="C145" i="7"/>
  <c r="C166" i="7"/>
  <c r="C187" i="7"/>
  <c r="C209" i="7"/>
  <c r="C230" i="7"/>
  <c r="C251" i="7"/>
  <c r="C273" i="7"/>
  <c r="C294" i="7"/>
  <c r="C315" i="7"/>
  <c r="C337" i="7"/>
  <c r="C354" i="7"/>
  <c r="C365" i="7"/>
  <c r="C373" i="7"/>
  <c r="C381" i="7"/>
  <c r="C389" i="7"/>
  <c r="C397" i="7"/>
  <c r="C402" i="7"/>
  <c r="C408" i="7"/>
  <c r="C413" i="7"/>
  <c r="C418" i="7"/>
  <c r="C424" i="7"/>
  <c r="C429" i="7"/>
  <c r="C434" i="7"/>
  <c r="C438" i="7"/>
  <c r="C442" i="7"/>
  <c r="C446" i="7"/>
  <c r="C450" i="7"/>
  <c r="C454" i="7"/>
  <c r="C458" i="7"/>
  <c r="C462" i="7"/>
  <c r="C466" i="7"/>
  <c r="C470" i="7"/>
  <c r="C474" i="7"/>
  <c r="C478" i="7"/>
  <c r="C482" i="7"/>
  <c r="C486" i="7"/>
  <c r="C490" i="7"/>
  <c r="C494" i="7"/>
  <c r="C498" i="7"/>
  <c r="C43" i="7"/>
  <c r="C65" i="7"/>
  <c r="C86" i="7"/>
  <c r="C107" i="7"/>
  <c r="C129" i="7"/>
  <c r="C150" i="7"/>
  <c r="C171" i="7"/>
  <c r="C193" i="7"/>
  <c r="C214" i="7"/>
  <c r="C235" i="7"/>
  <c r="C257" i="7"/>
  <c r="C278" i="7"/>
  <c r="C299" i="7"/>
  <c r="C321" i="7"/>
  <c r="C342" i="7"/>
  <c r="C358" i="7"/>
  <c r="C366" i="7"/>
  <c r="C374" i="7"/>
  <c r="C382" i="7"/>
  <c r="C390" i="7"/>
  <c r="C398" i="7"/>
  <c r="C404" i="7"/>
  <c r="C409" i="7"/>
  <c r="C414" i="7"/>
  <c r="C420" i="7"/>
  <c r="C425" i="7"/>
  <c r="C430" i="7"/>
  <c r="C435" i="7"/>
  <c r="C439" i="7"/>
  <c r="C443" i="7"/>
  <c r="C447" i="7"/>
  <c r="C451" i="7"/>
  <c r="C455" i="7"/>
  <c r="C459" i="7"/>
  <c r="C463" i="7"/>
  <c r="C467" i="7"/>
  <c r="C471" i="7"/>
  <c r="C475" i="7"/>
  <c r="C479" i="7"/>
  <c r="C483" i="7"/>
  <c r="C487" i="7"/>
  <c r="C491" i="7"/>
  <c r="C495" i="7"/>
  <c r="C499" i="7"/>
  <c r="C49" i="7"/>
  <c r="C70" i="7"/>
  <c r="C91" i="7"/>
  <c r="C113" i="7"/>
  <c r="C134" i="7"/>
  <c r="C155" i="7"/>
  <c r="C177" i="7"/>
  <c r="C198" i="7"/>
  <c r="C219" i="7"/>
  <c r="C241" i="7"/>
  <c r="C262" i="7"/>
  <c r="C283" i="7"/>
  <c r="C305" i="7"/>
  <c r="C326" i="7"/>
  <c r="C346" i="7"/>
  <c r="C361" i="7"/>
  <c r="C369" i="7"/>
  <c r="C377" i="7"/>
  <c r="C385" i="7"/>
  <c r="C393" i="7"/>
  <c r="C400" i="7"/>
  <c r="C405" i="7"/>
  <c r="C410" i="7"/>
  <c r="C416" i="7"/>
  <c r="C421" i="7"/>
  <c r="C426" i="7"/>
  <c r="C432" i="7"/>
  <c r="C436" i="7"/>
  <c r="C440" i="7"/>
  <c r="C444" i="7"/>
  <c r="C448" i="7"/>
  <c r="C452" i="7"/>
  <c r="C456" i="7"/>
  <c r="C460" i="7"/>
  <c r="C464" i="7"/>
  <c r="C468" i="7"/>
  <c r="C472" i="7"/>
  <c r="C476" i="7"/>
  <c r="C480" i="7"/>
  <c r="C484" i="7"/>
  <c r="C488" i="7"/>
  <c r="C492" i="7"/>
  <c r="C496" i="7"/>
  <c r="C500" i="7"/>
  <c r="A2" i="7"/>
  <c r="C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<sst xmlns="http://schemas.openxmlformats.org/spreadsheetml/2006/main" count="114" uniqueCount="96">
  <si>
    <t>Project</t>
  </si>
  <si>
    <t>Site</t>
  </si>
  <si>
    <t>Study</t>
  </si>
  <si>
    <t>Sample Type</t>
  </si>
  <si>
    <t>Start Date</t>
  </si>
  <si>
    <t>Sample ID (with Bottle #)</t>
  </si>
  <si>
    <t>Sample ID (with Time)</t>
  </si>
  <si>
    <t>Samples per Site</t>
  </si>
  <si>
    <t>Sample Start Date</t>
  </si>
  <si>
    <t>ISCO Bottle #</t>
  </si>
  <si>
    <t>Start Bottle Number</t>
  </si>
  <si>
    <t>For ISCO Samples only</t>
  </si>
  <si>
    <t>ISCO Bottle ID</t>
  </si>
  <si>
    <t>Collect Time</t>
  </si>
  <si>
    <t xml:space="preserve">DIRECTIONS </t>
  </si>
  <si>
    <r>
      <t>Project (</t>
    </r>
    <r>
      <rPr>
        <b/>
        <i/>
        <sz val="11"/>
        <color theme="1"/>
        <rFont val="Calibri"/>
        <family val="2"/>
        <scheme val="minor"/>
      </rPr>
      <t>e.g., WWS, NIFA</t>
    </r>
    <r>
      <rPr>
        <b/>
        <sz val="11"/>
        <color theme="1"/>
        <rFont val="Calibri"/>
        <family val="2"/>
        <scheme val="minor"/>
      </rPr>
      <t>)</t>
    </r>
  </si>
  <si>
    <r>
      <t>Study Code (</t>
    </r>
    <r>
      <rPr>
        <b/>
        <i/>
        <sz val="11"/>
        <color theme="1"/>
        <rFont val="Calibri"/>
        <family val="2"/>
        <scheme val="minor"/>
      </rPr>
      <t>e.g., SONDE, BDRK, SSFLAT</t>
    </r>
    <r>
      <rPr>
        <b/>
        <sz val="11"/>
        <color theme="1"/>
        <rFont val="Calibri"/>
        <family val="2"/>
        <scheme val="minor"/>
      </rPr>
      <t>)</t>
    </r>
  </si>
  <si>
    <r>
      <t>Time Interval (</t>
    </r>
    <r>
      <rPr>
        <b/>
        <i/>
        <sz val="11"/>
        <color theme="1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>)</t>
    </r>
  </si>
  <si>
    <r>
      <t>Number of Sites (</t>
    </r>
    <r>
      <rPr>
        <b/>
        <i/>
        <sz val="11"/>
        <color theme="1"/>
        <rFont val="Calibri"/>
        <family val="2"/>
        <scheme val="minor"/>
      </rPr>
      <t>autofilled</t>
    </r>
    <r>
      <rPr>
        <b/>
        <sz val="11"/>
        <color theme="1"/>
        <rFont val="Calibri"/>
        <family val="2"/>
        <scheme val="minor"/>
      </rPr>
      <t>)</t>
    </r>
  </si>
  <si>
    <t>Grab</t>
  </si>
  <si>
    <r>
      <t>Sample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</si>
  <si>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ISCO</t>
  </si>
  <si>
    <t>Bottle Calculator</t>
  </si>
  <si>
    <t>Aqualog</t>
  </si>
  <si>
    <t>Shimadzu</t>
  </si>
  <si>
    <t>Levoglucosan</t>
  </si>
  <si>
    <t>CCAL</t>
  </si>
  <si>
    <t>Excess</t>
  </si>
  <si>
    <t># Samples</t>
  </si>
  <si>
    <t>20 mL Glass</t>
  </si>
  <si>
    <t>30 mL</t>
  </si>
  <si>
    <t>125 mL</t>
  </si>
  <si>
    <t>500 mL</t>
  </si>
  <si>
    <t>125 mL (no 30 mL)</t>
  </si>
  <si>
    <t>Bottles Needed</t>
  </si>
  <si>
    <t>*edit if needed</t>
  </si>
  <si>
    <t>1. Fill out the information above to auto populate the sample IDs and specify how many samples are being collected for each analysis.</t>
  </si>
  <si>
    <t>Aqualog (DOM)</t>
  </si>
  <si>
    <t>Shimadzu (DOC/TN)</t>
  </si>
  <si>
    <t>CCAL (Nutrients)</t>
  </si>
  <si>
    <t>Excess (Node 3)</t>
  </si>
  <si>
    <t>Analysis</t>
  </si>
  <si>
    <t>Bottle Sample ID</t>
  </si>
  <si>
    <t>250 mL</t>
  </si>
  <si>
    <r>
      <rPr>
        <b/>
        <u/>
        <sz val="11"/>
        <color theme="1"/>
        <rFont val="Calibri"/>
        <family val="2"/>
        <scheme val="minor"/>
      </rPr>
      <t>Lab</t>
    </r>
    <r>
      <rPr>
        <b/>
        <sz val="11"/>
        <color theme="1"/>
        <rFont val="Calibri"/>
        <family val="2"/>
        <scheme val="minor"/>
      </rPr>
      <t xml:space="preserve"> Sample ID Type (choose one)</t>
    </r>
  </si>
  <si>
    <r>
      <rPr>
        <b/>
        <u/>
        <sz val="11"/>
        <color theme="1"/>
        <rFont val="Calibri"/>
        <family val="2"/>
        <scheme val="minor"/>
      </rPr>
      <t>Field</t>
    </r>
    <r>
      <rPr>
        <b/>
        <sz val="11"/>
        <color theme="1"/>
        <rFont val="Calibri"/>
        <family val="2"/>
        <scheme val="minor"/>
      </rPr>
      <t xml:space="preserve"> Sample ID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</si>
  <si>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Collect Date</t>
  </si>
  <si>
    <t>BPCA</t>
  </si>
  <si>
    <t>Two 1L</t>
  </si>
  <si>
    <t>Site 1 Sample Start Time</t>
  </si>
  <si>
    <t>Site 2 Sample Start Time</t>
  </si>
  <si>
    <t>ISCO Bottle Order</t>
  </si>
  <si>
    <t>Site Names</t>
  </si>
  <si>
    <t xml:space="preserve"> (1 per row)</t>
  </si>
  <si>
    <t>2. Make sure B7, "Sample Type" is correctly specified. It determines which labels are printed.</t>
  </si>
  <si>
    <t>3. If collecting grab samples, print lables with blank times. File in times manually after the field to fully populate datasheets after collection.</t>
  </si>
  <si>
    <t>4. Indicate which samples (if a subset) are being analyzed for what by setting columns L-R to T/F.</t>
  </si>
  <si>
    <t>5. **Directions on label creator in word from Emily**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</si>
  <si>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</si>
  <si>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</si>
  <si>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</si>
  <si>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</si>
  <si>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</si>
  <si>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</si>
  <si>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</si>
  <si>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</si>
  <si>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</si>
  <si>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</si>
  <si>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</si>
  <si>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</si>
  <si>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</si>
  <si>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</si>
  <si>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</si>
  <si>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</si>
  <si>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</si>
  <si>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r>
      <t xml:space="preserve">3. Print out the Bottle Number data sheet in </t>
    </r>
    <r>
      <rPr>
        <b/>
        <sz val="11"/>
        <color theme="1"/>
        <rFont val="Calibri"/>
        <family val="2"/>
        <scheme val="minor"/>
      </rPr>
      <t>landscape</t>
    </r>
    <r>
      <rPr>
        <sz val="11"/>
        <color theme="1"/>
        <rFont val="Calibri"/>
        <family val="2"/>
        <scheme val="minor"/>
      </rPr>
      <t xml:space="preserve"> using "fit all columns on one page".</t>
    </r>
  </si>
  <si>
    <r>
      <t xml:space="preserve">3. Print out the ISCO Bottle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</si>
  <si>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r>
      <t xml:space="preserve">4. Print out the Filter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</si>
  <si>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t>Fill out the highlighted info to autofill labels and datasheets</t>
  </si>
  <si>
    <t>STA</t>
  </si>
  <si>
    <t>Sample Date/Time</t>
  </si>
  <si>
    <t>SSEMG</t>
  </si>
  <si>
    <t>CN</t>
  </si>
  <si>
    <t>LV</t>
  </si>
  <si>
    <t>NU</t>
  </si>
  <si>
    <t>AQ</t>
  </si>
  <si>
    <t>EX</t>
  </si>
  <si>
    <t>GB</t>
  </si>
  <si>
    <t>IS</t>
  </si>
  <si>
    <t>Analysis code</t>
  </si>
  <si>
    <t>Type</t>
  </si>
  <si>
    <t>Bottle order (ISCO)</t>
  </si>
  <si>
    <t xml:space="preserve">Generator </t>
  </si>
  <si>
    <t xml:space="preserve">Copy paste values only here </t>
  </si>
  <si>
    <t>Starting sequence for random number IDs</t>
  </si>
  <si>
    <t>Random number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</si>
</sst>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"/>
    <numFmt numFmtId="165" formatCode="h:mm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b/>
      <strike/>
      <sz val="11"/>
      <color theme="1"/>
      <name val="Calibri"/>
      <family val="2"/>
      <scheme val="minor"/>
    </font>
    <font>
      <b/>
      <strike/>
      <sz val="10"/>
      <color rgb="FF000000"/>
      <name val="Arial"/>
      <family val="2"/>
    </font>
    <font>
      <b/>
      <strike/>
      <sz val="10"/>
      <color theme="0"/>
      <name val="Arial"/>
      <family val="2"/>
    </font>
    <font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5" borderId="0" xfId="0" applyFont="1" applyFill="1" applyAlignment="1">
      <alignment horizontal="left"/>
    </xf>
    <xf numFmtId="0" fontId="0" fillId="3" borderId="0" xfId="0" applyFill="1"/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/>
    </xf>
    <xf numFmtId="20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5" borderId="2" xfId="0" applyFont="1" applyFill="1" applyBorder="1"/>
    <xf numFmtId="0" fontId="1" fillId="12" borderId="3" xfId="0" applyFont="1" applyFill="1" applyBorder="1" applyAlignment="1">
      <alignment horizontal="center" vertical="center"/>
    </xf>
    <xf numFmtId="0" fontId="0" fillId="0" borderId="3" xfId="0" applyBorder="1"/>
    <xf numFmtId="0" fontId="0" fillId="9" borderId="5" xfId="0" applyFill="1" applyBorder="1"/>
    <xf numFmtId="0" fontId="0" fillId="13" borderId="6" xfId="0" applyFill="1" applyBorder="1"/>
    <xf numFmtId="0" fontId="0" fillId="7" borderId="5" xfId="0" applyFill="1" applyBorder="1"/>
    <xf numFmtId="0" fontId="0" fillId="8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0" borderId="7" xfId="0" applyBorder="1"/>
    <xf numFmtId="0" fontId="7" fillId="0" borderId="8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14" borderId="5" xfId="0" applyFill="1" applyBorder="1"/>
    <xf numFmtId="0" fontId="1" fillId="3" borderId="0" xfId="0" applyFont="1" applyFill="1"/>
    <xf numFmtId="0" fontId="9" fillId="0" borderId="0" xfId="0" applyFont="1" applyAlignment="1">
      <alignment horizontal="right"/>
    </xf>
    <xf numFmtId="0" fontId="1" fillId="14" borderId="0" xfId="0" applyFont="1" applyFill="1"/>
    <xf numFmtId="0" fontId="1" fillId="9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5" borderId="0" xfId="0" applyFont="1" applyFill="1"/>
    <xf numFmtId="0" fontId="1" fillId="16" borderId="0" xfId="0" applyFont="1" applyFill="1"/>
    <xf numFmtId="0" fontId="0" fillId="16" borderId="5" xfId="0" applyFill="1" applyBorder="1"/>
    <xf numFmtId="0" fontId="0" fillId="15" borderId="5" xfId="0" applyFill="1" applyBorder="1"/>
    <xf numFmtId="0" fontId="9" fillId="13" borderId="6" xfId="0" applyFont="1" applyFill="1" applyBorder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wrapText="1"/>
    </xf>
    <xf numFmtId="0" fontId="0" fillId="6" borderId="0" xfId="0" applyFill="1"/>
    <xf numFmtId="0" fontId="10" fillId="17" borderId="10" xfId="0" applyFont="1" applyFill="1" applyBorder="1"/>
    <xf numFmtId="0" fontId="11" fillId="0" borderId="11" xfId="0" applyFont="1" applyBorder="1"/>
    <xf numFmtId="0" fontId="10" fillId="0" borderId="13" xfId="0" applyFont="1" applyBorder="1"/>
    <xf numFmtId="0" fontId="12" fillId="0" borderId="10" xfId="0" applyFont="1" applyBorder="1"/>
    <xf numFmtId="0" fontId="12" fillId="0" borderId="10" xfId="0" applyFont="1" applyBorder="1" applyAlignment="1">
      <alignment horizontal="center"/>
    </xf>
    <xf numFmtId="0" fontId="13" fillId="18" borderId="10" xfId="0" applyFont="1" applyFill="1" applyBorder="1"/>
    <xf numFmtId="0" fontId="14" fillId="0" borderId="10" xfId="0" applyFont="1" applyBorder="1"/>
    <xf numFmtId="0" fontId="14" fillId="13" borderId="10" xfId="0" applyFont="1" applyFill="1" applyBorder="1"/>
    <xf numFmtId="0" fontId="10" fillId="19" borderId="10" xfId="0" applyFont="1" applyFill="1" applyBorder="1"/>
    <xf numFmtId="0" fontId="11" fillId="0" borderId="10" xfId="0" applyFont="1" applyBorder="1" applyAlignment="1">
      <alignment horizontal="center" vertical="center" wrapText="1"/>
    </xf>
    <xf numFmtId="0" fontId="10" fillId="20" borderId="10" xfId="0" applyFont="1" applyFill="1" applyBorder="1"/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49" fontId="16" fillId="0" borderId="0" xfId="0" applyNumberFormat="1" applyFont="1" applyAlignment="1">
      <alignment horizontal="left"/>
    </xf>
    <xf numFmtId="49" fontId="0" fillId="0" borderId="0" xfId="0" applyNumberFormat="1"/>
    <xf numFmtId="14" fontId="0" fillId="0" borderId="0" xfId="0" applyNumberFormat="1"/>
    <xf numFmtId="164" fontId="17" fillId="5" borderId="0" xfId="0" applyNumberFormat="1" applyFont="1" applyFill="1" applyAlignment="1">
      <alignment horizontal="left"/>
    </xf>
    <xf numFmtId="0" fontId="18" fillId="0" borderId="0" xfId="0" applyFont="1"/>
    <xf numFmtId="0" fontId="0" fillId="2" borderId="0" xfId="0" applyFill="1"/>
    <xf numFmtId="0" fontId="1" fillId="3" borderId="0" xfId="0" applyFont="1" applyFill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</cellXfs>
  <cellStyles count="1">
    <cellStyle name="Normal" xfId="0" builtinId="0"/>
  </cellStyles>
  <dxfs count="28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27"/>
    </tableStyle>
    <tableStyle name="Table Style 3" pivot="0" count="1" xr9:uid="{F9D3F327-B512-4800-BA10-4EF09FA55AB3}">
      <tableStyleElement type="firstRowStripe" dxfId="26"/>
    </tableStyle>
    <tableStyle name="Table Style 4" pivot="0" count="1" xr9:uid="{11ADBC6B-8780-4B34-9129-079F70219539}">
      <tableStyleElement type="firstRowStripe" dxfId="25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9695-5A30-40FE-911B-6B150930ACA1}">
  <dimension ref="A1:A9"/>
  <sheetViews>
    <sheetView workbookViewId="0">
      <selection activeCell="A20" sqref="A20"/>
    </sheetView>
  </sheetViews>
  <sheetFormatPr defaultRowHeight="15" x14ac:dyDescent="0.25"/>
  <cols>
    <col min="1" max="1" width="127.42578125" customWidth="1"/>
  </cols>
  <sheetData>
    <row r="1" spans="1:1" x14ac:dyDescent="0.25">
      <c r="A1" s="12" t="s">
        <v>14</v>
      </c>
    </row>
    <row r="2" spans="1:1" ht="14.45" customHeight="1" x14ac:dyDescent="0.25">
      <c r="A2" s="47" t="s">
        <v>36</v>
      </c>
    </row>
    <row r="3" spans="1:1" ht="14.45" customHeight="1" x14ac:dyDescent="0.25">
      <c r="A3" s="47" t="s">
        <v>54</v>
      </c>
    </row>
    <row r="4" spans="1:1" ht="14.45" customHeight="1" x14ac:dyDescent="0.25">
      <c r="A4" s="48" t="s">
        <v>55</v>
      </c>
    </row>
    <row r="5" spans="1:1" ht="14.45" customHeight="1" x14ac:dyDescent="0.25">
      <c r="A5" s="48" t="s">
        <v>56</v>
      </c>
    </row>
    <row r="6" spans="1:1" x14ac:dyDescent="0.25">
      <c r="A6" s="49" t="s">
        <v>57</v>
      </c>
    </row>
    <row r="7" spans="1:1" x14ac:dyDescent="0.25">
      <c r="A7" s="49" t="s">
        <v>75</v>
      </c>
    </row>
    <row r="8" spans="1:1" x14ac:dyDescent="0.25">
      <c r="A8" s="49" t="s">
        <v>76</v>
      </c>
    </row>
    <row r="9" spans="1:1" x14ac:dyDescent="0.25">
      <c r="A9" s="49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E421-CB14-43E0-8DEF-1EDAC63A74D0}">
  <dimension ref="A1:J71"/>
  <sheetViews>
    <sheetView tabSelected="1" zoomScale="85" zoomScaleNormal="85" workbookViewId="0">
      <selection activeCell="H19" sqref="H19"/>
    </sheetView>
  </sheetViews>
  <sheetFormatPr defaultRowHeight="15" x14ac:dyDescent="0.25"/>
  <cols>
    <col min="1" max="1" width="39.7109375" customWidth="1"/>
    <col min="2" max="2" width="20.42578125" customWidth="1"/>
    <col min="3" max="3" width="3.7109375" customWidth="1"/>
    <col min="4" max="4" width="20.42578125" customWidth="1"/>
    <col min="5" max="5" width="12.28515625" customWidth="1"/>
    <col min="6" max="6" width="22.85546875" customWidth="1"/>
    <col min="7" max="7" width="13.7109375" customWidth="1"/>
    <col min="8" max="8" width="10.28515625" customWidth="1"/>
    <col min="9" max="9" width="18.7109375" customWidth="1"/>
  </cols>
  <sheetData>
    <row r="1" spans="1:10" x14ac:dyDescent="0.25">
      <c r="A1" s="75" t="s">
        <v>78</v>
      </c>
      <c r="B1" s="75"/>
      <c r="C1" s="75"/>
      <c r="D1" s="75"/>
    </row>
    <row r="2" spans="1:10" ht="14.45" customHeight="1" thickBot="1" x14ac:dyDescent="0.3"/>
    <row r="3" spans="1:10" x14ac:dyDescent="0.25">
      <c r="A3" s="6" t="s">
        <v>15</v>
      </c>
      <c r="B3" s="13"/>
      <c r="D3" s="45" t="s">
        <v>52</v>
      </c>
      <c r="F3" s="17" t="s">
        <v>22</v>
      </c>
      <c r="G3" s="18" t="s">
        <v>28</v>
      </c>
      <c r="H3" s="19"/>
      <c r="I3" s="72" t="s">
        <v>34</v>
      </c>
      <c r="J3" s="73"/>
    </row>
    <row r="4" spans="1:10" x14ac:dyDescent="0.25">
      <c r="A4" s="6" t="s">
        <v>16</v>
      </c>
      <c r="B4" s="13" t="s">
        <v>81</v>
      </c>
      <c r="D4" s="46" t="s">
        <v>53</v>
      </c>
      <c r="E4" t="s">
        <v>88</v>
      </c>
      <c r="F4" s="30" t="s">
        <v>21</v>
      </c>
      <c r="G4">
        <f>IF($B$7 = "ISCO", $B$5*$B$16, 0)</f>
        <v>100</v>
      </c>
      <c r="I4" t="s">
        <v>21</v>
      </c>
      <c r="J4" s="21">
        <f t="shared" ref="J4" si="0">G4</f>
        <v>100</v>
      </c>
    </row>
    <row r="5" spans="1:10" x14ac:dyDescent="0.25">
      <c r="A5" s="6" t="s">
        <v>7</v>
      </c>
      <c r="B5" s="13">
        <v>100</v>
      </c>
      <c r="D5" t="s">
        <v>79</v>
      </c>
      <c r="E5" t="s">
        <v>87</v>
      </c>
      <c r="F5" s="41" t="s">
        <v>19</v>
      </c>
      <c r="G5">
        <f>IF($B$7 = "Grab", $B$5*$B$16, 0)</f>
        <v>0</v>
      </c>
      <c r="I5" t="s">
        <v>43</v>
      </c>
      <c r="J5" s="21">
        <f>G5</f>
        <v>0</v>
      </c>
    </row>
    <row r="6" spans="1:10" x14ac:dyDescent="0.25">
      <c r="A6" s="6" t="s">
        <v>8</v>
      </c>
      <c r="B6" s="14">
        <v>46076</v>
      </c>
      <c r="E6" s="66" t="s">
        <v>83</v>
      </c>
      <c r="F6" s="20" t="s">
        <v>25</v>
      </c>
      <c r="G6">
        <f>$B$5*$B$16</f>
        <v>100</v>
      </c>
      <c r="I6" t="s">
        <v>29</v>
      </c>
      <c r="J6" s="21">
        <f>G6</f>
        <v>100</v>
      </c>
    </row>
    <row r="7" spans="1:10" x14ac:dyDescent="0.25">
      <c r="A7" s="6" t="s">
        <v>20</v>
      </c>
      <c r="B7" s="14" t="s">
        <v>21</v>
      </c>
      <c r="F7" s="42" t="s">
        <v>47</v>
      </c>
      <c r="G7">
        <v>0</v>
      </c>
      <c r="I7" t="s">
        <v>48</v>
      </c>
      <c r="J7" s="21">
        <f>G7*2</f>
        <v>0</v>
      </c>
    </row>
    <row r="8" spans="1:10" x14ac:dyDescent="0.25">
      <c r="A8" s="6" t="s">
        <v>45</v>
      </c>
      <c r="B8" s="14" t="s">
        <v>80</v>
      </c>
      <c r="E8" s="66" t="s">
        <v>85</v>
      </c>
      <c r="F8" s="22" t="s">
        <v>37</v>
      </c>
      <c r="G8">
        <f t="shared" ref="G8:G11" si="1">$B$5*$B$16</f>
        <v>100</v>
      </c>
      <c r="I8" t="s">
        <v>30</v>
      </c>
      <c r="J8" s="21">
        <f>G8</f>
        <v>100</v>
      </c>
    </row>
    <row r="9" spans="1:10" x14ac:dyDescent="0.25">
      <c r="A9" s="6" t="s">
        <v>44</v>
      </c>
      <c r="B9" s="14" t="s">
        <v>80</v>
      </c>
      <c r="E9" s="66" t="s">
        <v>82</v>
      </c>
      <c r="F9" s="23" t="s">
        <v>38</v>
      </c>
      <c r="G9">
        <f t="shared" si="1"/>
        <v>100</v>
      </c>
      <c r="I9" t="s">
        <v>31</v>
      </c>
      <c r="J9" s="21">
        <f>G9+G10</f>
        <v>200</v>
      </c>
    </row>
    <row r="10" spans="1:10" x14ac:dyDescent="0.25">
      <c r="A10" s="74" t="s">
        <v>11</v>
      </c>
      <c r="B10" s="74"/>
      <c r="E10" s="66" t="s">
        <v>84</v>
      </c>
      <c r="F10" s="24" t="s">
        <v>39</v>
      </c>
      <c r="G10">
        <f t="shared" si="1"/>
        <v>100</v>
      </c>
      <c r="I10" s="32" t="s">
        <v>33</v>
      </c>
      <c r="J10" s="43">
        <f>SUM(G8:G10)</f>
        <v>300</v>
      </c>
    </row>
    <row r="11" spans="1:10" x14ac:dyDescent="0.25">
      <c r="A11" s="6" t="s">
        <v>49</v>
      </c>
      <c r="B11" s="15">
        <v>1</v>
      </c>
      <c r="E11" s="66" t="s">
        <v>86</v>
      </c>
      <c r="F11" s="25" t="s">
        <v>40</v>
      </c>
      <c r="G11">
        <f t="shared" si="1"/>
        <v>100</v>
      </c>
      <c r="I11" t="s">
        <v>32</v>
      </c>
      <c r="J11" s="21">
        <f>G11</f>
        <v>100</v>
      </c>
    </row>
    <row r="12" spans="1:10" ht="15.75" thickBot="1" x14ac:dyDescent="0.3">
      <c r="A12" s="6" t="s">
        <v>50</v>
      </c>
      <c r="B12" s="15">
        <v>1</v>
      </c>
      <c r="F12" s="26"/>
      <c r="G12" s="27" t="s">
        <v>35</v>
      </c>
      <c r="H12" s="28"/>
      <c r="I12" s="28"/>
      <c r="J12" s="29"/>
    </row>
    <row r="13" spans="1:10" x14ac:dyDescent="0.25">
      <c r="A13" s="6" t="s">
        <v>17</v>
      </c>
      <c r="B13" s="15">
        <v>8.3333333333333329E-2</v>
      </c>
    </row>
    <row r="14" spans="1:10" x14ac:dyDescent="0.25">
      <c r="A14" s="6" t="s">
        <v>10</v>
      </c>
      <c r="B14" s="16">
        <v>1</v>
      </c>
    </row>
    <row r="16" spans="1:10" x14ac:dyDescent="0.25">
      <c r="A16" s="6" t="s">
        <v>18</v>
      </c>
      <c r="B16" s="9">
        <f>COUNTA(D5:D297)</f>
        <v>1</v>
      </c>
    </row>
    <row r="18" spans="1:2" x14ac:dyDescent="0.25">
      <c r="A18" s="6" t="s">
        <v>94</v>
      </c>
      <c r="B18" s="70"/>
    </row>
    <row r="24" spans="1:2" x14ac:dyDescent="0.25">
      <c r="A24" s="44"/>
    </row>
    <row r="25" spans="1:2" x14ac:dyDescent="0.25">
      <c r="A25" s="44"/>
    </row>
    <row r="26" spans="1:2" x14ac:dyDescent="0.25">
      <c r="A26" s="44"/>
    </row>
    <row r="27" spans="1:2" x14ac:dyDescent="0.25">
      <c r="A27" s="44"/>
    </row>
    <row r="28" spans="1:2" x14ac:dyDescent="0.25">
      <c r="A28" s="44"/>
    </row>
    <row r="29" spans="1:2" x14ac:dyDescent="0.25">
      <c r="A29" s="44"/>
    </row>
    <row r="30" spans="1:2" x14ac:dyDescent="0.25">
      <c r="A30" s="44"/>
    </row>
    <row r="31" spans="1:2" x14ac:dyDescent="0.25">
      <c r="A31" s="44"/>
    </row>
    <row r="32" spans="1:2" x14ac:dyDescent="0.25">
      <c r="A32" s="44"/>
    </row>
    <row r="33" spans="1:1" x14ac:dyDescent="0.25">
      <c r="A33" s="44"/>
    </row>
    <row r="34" spans="1:1" x14ac:dyDescent="0.25">
      <c r="A34" s="44"/>
    </row>
    <row r="35" spans="1:1" x14ac:dyDescent="0.25">
      <c r="A35" s="44"/>
    </row>
    <row r="36" spans="1:1" x14ac:dyDescent="0.25">
      <c r="A36" s="44"/>
    </row>
    <row r="37" spans="1:1" x14ac:dyDescent="0.25">
      <c r="A37" s="44"/>
    </row>
    <row r="38" spans="1:1" x14ac:dyDescent="0.25">
      <c r="A38" s="44"/>
    </row>
    <row r="39" spans="1:1" x14ac:dyDescent="0.25">
      <c r="A39" s="44"/>
    </row>
    <row r="40" spans="1:1" x14ac:dyDescent="0.25">
      <c r="A40" s="44"/>
    </row>
    <row r="41" spans="1:1" x14ac:dyDescent="0.25">
      <c r="A41" s="44"/>
    </row>
    <row r="42" spans="1:1" x14ac:dyDescent="0.25">
      <c r="A42" s="44"/>
    </row>
    <row r="43" spans="1:1" x14ac:dyDescent="0.25">
      <c r="A43" s="44"/>
    </row>
    <row r="44" spans="1:1" x14ac:dyDescent="0.25">
      <c r="A44" s="44"/>
    </row>
    <row r="45" spans="1:1" x14ac:dyDescent="0.25">
      <c r="A45" s="44"/>
    </row>
    <row r="46" spans="1:1" x14ac:dyDescent="0.25">
      <c r="A46" s="44"/>
    </row>
    <row r="47" spans="1:1" x14ac:dyDescent="0.25">
      <c r="A47" s="44"/>
    </row>
    <row r="48" spans="1:1" x14ac:dyDescent="0.25">
      <c r="A48" s="44"/>
    </row>
    <row r="49" spans="1:1" x14ac:dyDescent="0.25">
      <c r="A49" s="44"/>
    </row>
    <row r="50" spans="1:1" x14ac:dyDescent="0.25">
      <c r="A50" s="44"/>
    </row>
    <row r="51" spans="1:1" x14ac:dyDescent="0.25">
      <c r="A51" s="44"/>
    </row>
    <row r="52" spans="1:1" x14ac:dyDescent="0.25">
      <c r="A52" s="44"/>
    </row>
    <row r="53" spans="1:1" x14ac:dyDescent="0.25">
      <c r="A53" s="44"/>
    </row>
    <row r="54" spans="1:1" x14ac:dyDescent="0.25">
      <c r="A54" s="44"/>
    </row>
    <row r="55" spans="1:1" x14ac:dyDescent="0.25">
      <c r="A55" s="44"/>
    </row>
    <row r="56" spans="1:1" x14ac:dyDescent="0.25">
      <c r="A56" s="44"/>
    </row>
    <row r="57" spans="1:1" x14ac:dyDescent="0.25">
      <c r="A57" s="44"/>
    </row>
    <row r="58" spans="1:1" x14ac:dyDescent="0.25">
      <c r="A58" s="44"/>
    </row>
    <row r="59" spans="1:1" x14ac:dyDescent="0.25">
      <c r="A59" s="44"/>
    </row>
    <row r="60" spans="1:1" x14ac:dyDescent="0.25">
      <c r="A60" s="44"/>
    </row>
    <row r="61" spans="1:1" x14ac:dyDescent="0.25">
      <c r="A61" s="44"/>
    </row>
    <row r="62" spans="1:1" x14ac:dyDescent="0.25">
      <c r="A62" s="44"/>
    </row>
    <row r="63" spans="1:1" x14ac:dyDescent="0.25">
      <c r="A63" s="44"/>
    </row>
    <row r="64" spans="1:1" x14ac:dyDescent="0.25">
      <c r="A64" s="44"/>
    </row>
    <row r="65" spans="1:1" x14ac:dyDescent="0.25">
      <c r="A65" s="44"/>
    </row>
    <row r="66" spans="1:1" x14ac:dyDescent="0.25">
      <c r="A66" s="44"/>
    </row>
    <row r="67" spans="1:1" x14ac:dyDescent="0.25">
      <c r="A67" s="44"/>
    </row>
    <row r="68" spans="1:1" x14ac:dyDescent="0.25">
      <c r="A68" s="44"/>
    </row>
    <row r="69" spans="1:1" x14ac:dyDescent="0.25">
      <c r="A69" s="44"/>
    </row>
    <row r="70" spans="1:1" x14ac:dyDescent="0.25">
      <c r="A70" s="44"/>
    </row>
    <row r="71" spans="1:1" x14ac:dyDescent="0.25">
      <c r="A71" s="44"/>
    </row>
  </sheetData>
  <mergeCells count="3">
    <mergeCell ref="I3:J3"/>
    <mergeCell ref="A10:B10"/>
    <mergeCell ref="A1:D1"/>
  </mergeCells>
  <phoneticPr fontId="2" type="noConversion"/>
  <conditionalFormatting sqref="F6 F8:F11">
    <cfRule type="expression" dxfId="24" priority="56">
      <formula>$G6="Aqualog"</formula>
    </cfRule>
  </conditionalFormatting>
  <dataValidations count="3">
    <dataValidation type="list" allowBlank="1" showInputMessage="1" showErrorMessage="1" sqref="B9" xr:uid="{D4998419-C417-4887-B2CC-5188F080CC2F}">
      <formula1>"Bottle Number, Sample Date/Time"</formula1>
    </dataValidation>
    <dataValidation type="list" allowBlank="1" showInputMessage="1" showErrorMessage="1" sqref="B7" xr:uid="{ED4BD3F8-0AC2-46AB-9D8C-DA46C533B158}">
      <formula1>"Grab, ISCO"</formula1>
    </dataValidation>
    <dataValidation type="list" allowBlank="1" showInputMessage="1" showErrorMessage="1" sqref="B8" xr:uid="{5ED0AC0F-2F53-46E0-BCAE-B7278098FCF2}">
      <formula1>"Bottle Number, Sample Date/Time, Short Bottle Number"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0D06-FFFB-4E0B-84AE-A424BDF68770}">
  <dimension ref="A1:U321"/>
  <sheetViews>
    <sheetView zoomScaleNormal="100" workbookViewId="0">
      <selection activeCell="I1" sqref="I1:I1048576"/>
    </sheetView>
  </sheetViews>
  <sheetFormatPr defaultRowHeight="15" x14ac:dyDescent="0.25"/>
  <cols>
    <col min="1" max="2" width="9.28515625" style="2"/>
    <col min="3" max="3" width="8.7109375" style="2"/>
    <col min="4" max="4" width="9.28515625" style="2"/>
    <col min="5" max="6" width="14" style="2" customWidth="1"/>
    <col min="7" max="7" width="13.5703125" style="2" customWidth="1"/>
    <col min="8" max="8" width="14.42578125" style="2" customWidth="1"/>
    <col min="9" max="9" width="18.7109375" style="2" customWidth="1"/>
    <col min="10" max="10" width="8.7109375" style="9" customWidth="1"/>
    <col min="11" max="11" width="14.7109375" style="9" customWidth="1"/>
    <col min="12" max="12" width="28.5703125" style="9" customWidth="1"/>
    <col min="13" max="13" width="27.42578125" style="9" customWidth="1"/>
    <col min="14" max="14" width="7.85546875" style="9" customWidth="1"/>
    <col min="15" max="15" width="7.5703125" customWidth="1"/>
    <col min="16" max="16" width="13.28515625" customWidth="1"/>
    <col min="17" max="17" width="11.28515625" customWidth="1"/>
    <col min="18" max="18" width="9.7109375" customWidth="1"/>
    <col min="19" max="19" width="8" customWidth="1"/>
    <col min="20" max="20" width="8.28515625" customWidth="1"/>
  </cols>
  <sheetData>
    <row r="1" spans="1:21" s="1" customFormat="1" x14ac:dyDescent="0.25">
      <c r="A1" s="3" t="s">
        <v>3</v>
      </c>
      <c r="B1" s="65" t="s">
        <v>0</v>
      </c>
      <c r="C1" s="4" t="s">
        <v>90</v>
      </c>
      <c r="D1" s="3" t="s">
        <v>2</v>
      </c>
      <c r="E1" s="65" t="s">
        <v>4</v>
      </c>
      <c r="F1" s="4" t="s">
        <v>13</v>
      </c>
      <c r="G1" s="4" t="s">
        <v>46</v>
      </c>
      <c r="H1" s="64" t="s">
        <v>9</v>
      </c>
      <c r="I1" s="3" t="s">
        <v>51</v>
      </c>
      <c r="J1" s="5" t="s">
        <v>1</v>
      </c>
      <c r="K1" s="11" t="s">
        <v>12</v>
      </c>
      <c r="L1" s="68" t="s">
        <v>5</v>
      </c>
      <c r="M1" s="11" t="s">
        <v>6</v>
      </c>
      <c r="N1" s="33" t="s">
        <v>21</v>
      </c>
      <c r="O1" s="40" t="s">
        <v>19</v>
      </c>
      <c r="P1" s="39" t="s">
        <v>47</v>
      </c>
      <c r="Q1" s="34" t="s">
        <v>25</v>
      </c>
      <c r="R1" s="35" t="s">
        <v>23</v>
      </c>
      <c r="S1" s="36" t="s">
        <v>24</v>
      </c>
      <c r="T1" s="37" t="s">
        <v>26</v>
      </c>
      <c r="U1" s="38" t="s">
        <v>27</v>
      </c>
    </row>
    <row r="2" spans="1:21" x14ac:dyDescent="0.25">
      <c r="A2" s="7" t="str">
        <f>FILLME!$B$7</f>
        <v>ISCO</v>
      </c>
      <c r="B2" t="str">
        <f>IF(FILLME!$B$3 = "", "", FILLME!$B$3)</f>
        <v/>
      </c>
      <c r="C2" s="67" t="str">
        <f>IF(FILLME!$B$7="ISCO",FILLME!$E$4,IF(FILLME!$B$7="Grab",FILLME!$E$5))</f>
        <v>IS</v>
      </c>
      <c r="D2" t="str">
        <f>IF(FILLME!$B$4 = "", "", FILLME!$B$4)</f>
        <v>SSEMG</v>
      </c>
      <c r="E2" s="7" t="str">
        <f>TEXT(FILLME!$B$6,"yyyymmdd")</f>
        <v>20260223</v>
      </c>
      <c r="F2" s="8" cm="1">
        <f t="array" ref="F2:F101">IF(FILLME!B7 = "Grab", _xlfn.MAKEARRAY(FILLME!B5*FILLME!B16,1,_xlfn.LAMBDA(_xlpm.r,_xlpm.c,"")), _xlfn.LET(
_xlpm.n, FILLME!B5*FILLME!B16,
_xlpm.cut, FILLME!B5,
_xlpm.step, HOUR(FILLME!B13),
_xlpm.k, _xlfn.SEQUENCE(_xlpm.n),
TIME(
IF(_xlpm.k&lt;=_xlpm.cut,
HOUR(FILLME!B11)+(_xlpm.k-1)*_xlpm.step,
HOUR(FILLME!B12)+(_xlpm.k-_xlpm.cut-1)*_xlpm.step
),
0,0)
))</f>
        <v>0</v>
      </c>
      <c r="G2" s="7">
        <f>IF(FILLME!$B$7="ISCO",FILLME!$B$6+FILLME!$B$11+(FILLME!$B$13*(H2-FILLME!$B$14)),FILLME!$B$6)</f>
        <v>46077</v>
      </c>
      <c r="H2" s="2" cm="1">
        <f t="array" ref="H2:H101">MOD(_xlfn.SEQUENCE(FILLME!B5*FILLME!B16,,0),FILLME!B5) + FILLME!B14</f>
        <v>1</v>
      </c>
      <c r="I2" s="2" cm="1">
        <f t="array" ref="I2:I101">MOD(_xlfn.SEQUENCE(FILLME!B5*FILLME!B16,,0),24) + 1</f>
        <v>1</v>
      </c>
      <c r="J2" s="2" t="str" cm="1">
        <f t="array" ref="J2:J101">_xlfn.LET(
    _xlpm.items, FILLME!D5:D297,
    _xlpm.x, FILLME!$B$5,
    INDEX(_xlpm.items, ROUNDUP(_xlfn.SEQUENCE(COUNTA(_xlpm.items)*_xlpm.x)/_xlpm.x, 0))
)</f>
        <v>STA</v>
      </c>
      <c r="K2" s="9" t="str">
        <f t="shared" ref="K2:K65" si="0">CONCATENATE(J2,"_",TEXT(H2,"00"))</f>
        <v>STA_01</v>
      </c>
      <c r="L2" s="10" t="str">
        <f t="shared" ref="L2:L65" si="1">CONCATENATE(D2,"_", J2,"_",E2,"_",TEXT(H2,"00"))</f>
        <v>SSEMG_STA_20260223_01</v>
      </c>
      <c r="M2" s="10" t="str">
        <f t="shared" ref="M2:M65" si="2">CONCATENATE(D2,"_", J2,"_",C2,"_",TEXT(G2, "yyyymmdd"),"_",TEXT(F2, "hhmm"))</f>
        <v>SSEMG_STA_IS_20260224_0000</v>
      </c>
      <c r="N2" t="b">
        <f>IF(ROW()-ROW($N$1) &lt;= FILLME!$G$4, TRUE, FALSE)</f>
        <v>1</v>
      </c>
      <c r="O2" t="b">
        <f>IF(ROW()-ROW($O$1) &lt;= FILLME!$G$5, TRUE, FALSE)</f>
        <v>0</v>
      </c>
      <c r="P2" t="b">
        <f>IF(ROW()-ROW($P$1) &lt;= FILLME!$G$7, TRUE, FALSE)</f>
        <v>0</v>
      </c>
      <c r="Q2" t="b">
        <f>IF(ROW()-ROW($Q$1) &lt;= FILLME!$G$6, TRUE, FALSE)</f>
        <v>1</v>
      </c>
      <c r="R2" t="b">
        <f>IF(ROW()-ROW($R$1) &lt;= FILLME!$G$8, TRUE, FALSE)</f>
        <v>1</v>
      </c>
      <c r="S2" t="b">
        <f>IF(ROW()-ROW($S$1) &lt;= FILLME!$G$9, TRUE, FALSE)</f>
        <v>1</v>
      </c>
      <c r="T2" t="b">
        <f>IF(ROW()-ROW($T$1) &lt;= FILLME!$G$10, TRUE, FALSE)</f>
        <v>1</v>
      </c>
      <c r="U2" t="b">
        <f>IF(ROW()-ROW($U$1) &lt;= FILLME!$G$11, TRUE, FALSE)</f>
        <v>1</v>
      </c>
    </row>
    <row r="3" spans="1:21" x14ac:dyDescent="0.25">
      <c r="A3" s="7" t="str">
        <f>FILLME!$B$7</f>
        <v>ISCO</v>
      </c>
      <c r="B3" t="str">
        <f>IF(FILLME!$B$3 = "", "", FILLME!$B$3)</f>
        <v/>
      </c>
      <c r="C3" s="67" t="str">
        <f>IF(FILLME!$B$7="ISCO",FILLME!$E$4,IF(FILLME!$B$7="Grab",FILLME!$E$5))</f>
        <v>IS</v>
      </c>
      <c r="D3" t="str">
        <f>IF(FILLME!$B$4 = "", "", FILLME!$B$4)</f>
        <v>SSEMG</v>
      </c>
      <c r="E3" s="7" t="str">
        <f>TEXT(FILLME!$B$6,"yyyymmdd")</f>
        <v>20260223</v>
      </c>
      <c r="F3" s="8">
        <v>8.3333333333333329E-2</v>
      </c>
      <c r="G3" s="7">
        <f>IF(FILLME!$B$7="ISCO",FILLME!$B$6+FILLME!$B$11+(FILLME!$B$13*(H3-FILLME!$B$14)),FILLME!$B$6)</f>
        <v>46077.083333333336</v>
      </c>
      <c r="H3" s="2">
        <v>2</v>
      </c>
      <c r="I3" s="2">
        <v>2</v>
      </c>
      <c r="J3" s="2" t="str">
        <v>STA</v>
      </c>
      <c r="K3" s="9" t="str">
        <f t="shared" si="0"/>
        <v>STA_02</v>
      </c>
      <c r="L3" s="10" t="str">
        <f t="shared" si="1"/>
        <v>SSEMG_STA_20260223_02</v>
      </c>
      <c r="M3" s="10" t="str">
        <f t="shared" si="2"/>
        <v>SSEMG_STA_IS_20260224_0200</v>
      </c>
      <c r="N3" t="b">
        <f>IF(ROW()-ROW($N$1) &lt;= FILLME!$G$4, TRUE, FALSE)</f>
        <v>1</v>
      </c>
      <c r="O3" t="b">
        <f>IF(ROW()-ROW($O$1) &lt;= FILLME!$G$5, TRUE, FALSE)</f>
        <v>0</v>
      </c>
      <c r="P3" t="b">
        <f>IF(ROW()-ROW($P$1) &lt;= FILLME!$G$7, TRUE, FALSE)</f>
        <v>0</v>
      </c>
      <c r="Q3" t="b">
        <f>IF(ROW()-ROW($Q$1) &lt;= FILLME!$G$6, TRUE, FALSE)</f>
        <v>1</v>
      </c>
      <c r="R3" t="b">
        <f>IF(ROW()-ROW($R$1) &lt;= FILLME!$G$8, TRUE, FALSE)</f>
        <v>1</v>
      </c>
      <c r="S3" t="b">
        <f>IF(ROW()-ROW($S$1) &lt;= FILLME!$G$9, TRUE, FALSE)</f>
        <v>1</v>
      </c>
      <c r="T3" t="b">
        <f>IF(ROW()-ROW($T$1) &lt;= FILLME!$G$10, TRUE, FALSE)</f>
        <v>1</v>
      </c>
      <c r="U3" t="b">
        <f>IF(ROW()-ROW($U$1) &lt;= FILLME!$G$11, TRUE, FALSE)</f>
        <v>1</v>
      </c>
    </row>
    <row r="4" spans="1:21" x14ac:dyDescent="0.25">
      <c r="A4" s="7" t="str">
        <f>FILLME!$B$7</f>
        <v>ISCO</v>
      </c>
      <c r="B4" t="str">
        <f>IF(FILLME!$B$3 = "", "", FILLME!$B$3)</f>
        <v/>
      </c>
      <c r="C4" s="67" t="str">
        <f>IF(FILLME!$B$7="ISCO",FILLME!$E$4,IF(FILLME!$B$7="Grab",FILLME!$E$5))</f>
        <v>IS</v>
      </c>
      <c r="D4" t="str">
        <f>IF(FILLME!$B$4 = "", "", FILLME!$B$4)</f>
        <v>SSEMG</v>
      </c>
      <c r="E4" s="7" t="str">
        <f>TEXT(FILLME!$B$6,"yyyymmdd")</f>
        <v>20260223</v>
      </c>
      <c r="F4" s="8">
        <v>0.16666666666666666</v>
      </c>
      <c r="G4" s="7">
        <f>IF(FILLME!$B$7="ISCO",FILLME!$B$6+FILLME!$B$11+(FILLME!$B$13*(H4-FILLME!$B$14)),FILLME!$B$6)</f>
        <v>46077.166666666664</v>
      </c>
      <c r="H4" s="2">
        <v>3</v>
      </c>
      <c r="I4" s="2">
        <v>3</v>
      </c>
      <c r="J4" s="2" t="str">
        <v>STA</v>
      </c>
      <c r="K4" s="9" t="str">
        <f t="shared" si="0"/>
        <v>STA_03</v>
      </c>
      <c r="L4" s="10" t="str">
        <f t="shared" si="1"/>
        <v>SSEMG_STA_20260223_03</v>
      </c>
      <c r="M4" s="10" t="str">
        <f t="shared" si="2"/>
        <v>SSEMG_STA_IS_20260224_0400</v>
      </c>
      <c r="N4" t="b">
        <f>IF(ROW()-ROW($N$1) &lt;= FILLME!$G$4, TRUE, FALSE)</f>
        <v>1</v>
      </c>
      <c r="O4" t="b">
        <f>IF(ROW()-ROW($O$1) &lt;= FILLME!$G$5, TRUE, FALSE)</f>
        <v>0</v>
      </c>
      <c r="P4" t="b">
        <f>IF(ROW()-ROW($P$1) &lt;= FILLME!$G$7, TRUE, FALSE)</f>
        <v>0</v>
      </c>
      <c r="Q4" t="b">
        <f>IF(ROW()-ROW($Q$1) &lt;= FILLME!$G$6, TRUE, FALSE)</f>
        <v>1</v>
      </c>
      <c r="R4" t="b">
        <f>IF(ROW()-ROW($R$1) &lt;= FILLME!$G$8, TRUE, FALSE)</f>
        <v>1</v>
      </c>
      <c r="S4" t="b">
        <f>IF(ROW()-ROW($S$1) &lt;= FILLME!$G$9, TRUE, FALSE)</f>
        <v>1</v>
      </c>
      <c r="T4" t="b">
        <f>IF(ROW()-ROW($T$1) &lt;= FILLME!$G$10, TRUE, FALSE)</f>
        <v>1</v>
      </c>
      <c r="U4" t="b">
        <f>IF(ROW()-ROW($U$1) &lt;= FILLME!$G$11, TRUE, FALSE)</f>
        <v>1</v>
      </c>
    </row>
    <row r="5" spans="1:21" x14ac:dyDescent="0.25">
      <c r="A5" s="7" t="str">
        <f>FILLME!$B$7</f>
        <v>ISCO</v>
      </c>
      <c r="B5" t="str">
        <f>IF(FILLME!$B$3 = "", "", FILLME!$B$3)</f>
        <v/>
      </c>
      <c r="C5" s="67" t="str">
        <f>IF(FILLME!$B$7="ISCO",FILLME!$E$4,IF(FILLME!$B$7="Grab",FILLME!$E$5))</f>
        <v>IS</v>
      </c>
      <c r="D5" t="str">
        <f>IF(FILLME!$B$4 = "", "", FILLME!$B$4)</f>
        <v>SSEMG</v>
      </c>
      <c r="E5" s="7" t="str">
        <f>TEXT(FILLME!$B$6,"yyyymmdd")</f>
        <v>20260223</v>
      </c>
      <c r="F5" s="8">
        <v>0.25</v>
      </c>
      <c r="G5" s="7">
        <f>IF(FILLME!$B$7="ISCO",FILLME!$B$6+FILLME!$B$11+(FILLME!$B$13*(H5-FILLME!$B$14)),FILLME!$B$6)</f>
        <v>46077.25</v>
      </c>
      <c r="H5" s="2">
        <v>4</v>
      </c>
      <c r="I5" s="2">
        <v>4</v>
      </c>
      <c r="J5" s="2" t="str">
        <v>STA</v>
      </c>
      <c r="K5" s="9" t="str">
        <f t="shared" si="0"/>
        <v>STA_04</v>
      </c>
      <c r="L5" s="10" t="str">
        <f t="shared" si="1"/>
        <v>SSEMG_STA_20260223_04</v>
      </c>
      <c r="M5" s="10" t="str">
        <f t="shared" si="2"/>
        <v>SSEMG_STA_IS_20260224_0600</v>
      </c>
      <c r="N5" t="b">
        <f>IF(ROW()-ROW($N$1) &lt;= FILLME!$G$4, TRUE, FALSE)</f>
        <v>1</v>
      </c>
      <c r="O5" t="b">
        <f>IF(ROW()-ROW($O$1) &lt;= FILLME!$G$5, TRUE, FALSE)</f>
        <v>0</v>
      </c>
      <c r="P5" t="b">
        <f>IF(ROW()-ROW($P$1) &lt;= FILLME!$G$7, TRUE, FALSE)</f>
        <v>0</v>
      </c>
      <c r="Q5" t="b">
        <f>IF(ROW()-ROW($Q$1) &lt;= FILLME!$G$6, TRUE, FALSE)</f>
        <v>1</v>
      </c>
      <c r="R5" t="b">
        <f>IF(ROW()-ROW($R$1) &lt;= FILLME!$G$8, TRUE, FALSE)</f>
        <v>1</v>
      </c>
      <c r="S5" t="b">
        <f>IF(ROW()-ROW($S$1) &lt;= FILLME!$G$9, TRUE, FALSE)</f>
        <v>1</v>
      </c>
      <c r="T5" t="b">
        <f>IF(ROW()-ROW($T$1) &lt;= FILLME!$G$10, TRUE, FALSE)</f>
        <v>1</v>
      </c>
      <c r="U5" t="b">
        <f>IF(ROW()-ROW($U$1) &lt;= FILLME!$G$11, TRUE, FALSE)</f>
        <v>1</v>
      </c>
    </row>
    <row r="6" spans="1:21" x14ac:dyDescent="0.25">
      <c r="A6" s="7" t="str">
        <f>FILLME!$B$7</f>
        <v>ISCO</v>
      </c>
      <c r="B6" t="str">
        <f>IF(FILLME!$B$3 = "", "", FILLME!$B$3)</f>
        <v/>
      </c>
      <c r="C6" s="67" t="str">
        <f>IF(FILLME!$B$7="ISCO",FILLME!$E$4,IF(FILLME!$B$7="Grab",FILLME!$E$5))</f>
        <v>IS</v>
      </c>
      <c r="D6" t="str">
        <f>IF(FILLME!$B$4 = "", "", FILLME!$B$4)</f>
        <v>SSEMG</v>
      </c>
      <c r="E6" s="7" t="str">
        <f>TEXT(FILLME!$B$6,"yyyymmdd")</f>
        <v>20260223</v>
      </c>
      <c r="F6" s="8">
        <v>0.33333333333333331</v>
      </c>
      <c r="G6" s="7">
        <f>IF(FILLME!$B$7="ISCO",FILLME!$B$6+FILLME!$B$11+(FILLME!$B$13*(H6-FILLME!$B$14)),FILLME!$B$6)</f>
        <v>46077.333333333336</v>
      </c>
      <c r="H6" s="2">
        <v>5</v>
      </c>
      <c r="I6" s="2">
        <v>5</v>
      </c>
      <c r="J6" s="2" t="str">
        <v>STA</v>
      </c>
      <c r="K6" s="9" t="str">
        <f t="shared" si="0"/>
        <v>STA_05</v>
      </c>
      <c r="L6" s="10" t="str">
        <f t="shared" si="1"/>
        <v>SSEMG_STA_20260223_05</v>
      </c>
      <c r="M6" s="10" t="str">
        <f t="shared" si="2"/>
        <v>SSEMG_STA_IS_20260224_0800</v>
      </c>
      <c r="N6" t="b">
        <f>IF(ROW()-ROW($N$1) &lt;= FILLME!$G$4, TRUE, FALSE)</f>
        <v>1</v>
      </c>
      <c r="O6" t="b">
        <f>IF(ROW()-ROW($O$1) &lt;= FILLME!$G$5, TRUE, FALSE)</f>
        <v>0</v>
      </c>
      <c r="P6" t="b">
        <f>IF(ROW()-ROW($P$1) &lt;= FILLME!$G$7, TRUE, FALSE)</f>
        <v>0</v>
      </c>
      <c r="Q6" t="b">
        <f>IF(ROW()-ROW($Q$1) &lt;= FILLME!$G$6, TRUE, FALSE)</f>
        <v>1</v>
      </c>
      <c r="R6" t="b">
        <f>IF(ROW()-ROW($R$1) &lt;= FILLME!$G$8, TRUE, FALSE)</f>
        <v>1</v>
      </c>
      <c r="S6" t="b">
        <f>IF(ROW()-ROW($S$1) &lt;= FILLME!$G$9, TRUE, FALSE)</f>
        <v>1</v>
      </c>
      <c r="T6" t="b">
        <f>IF(ROW()-ROW($T$1) &lt;= FILLME!$G$10, TRUE, FALSE)</f>
        <v>1</v>
      </c>
      <c r="U6" t="b">
        <f>IF(ROW()-ROW($U$1) &lt;= FILLME!$G$11, TRUE, FALSE)</f>
        <v>1</v>
      </c>
    </row>
    <row r="7" spans="1:21" x14ac:dyDescent="0.25">
      <c r="A7" s="7" t="str">
        <f>FILLME!$B$7</f>
        <v>ISCO</v>
      </c>
      <c r="B7" t="str">
        <f>IF(FILLME!$B$3 = "", "", FILLME!$B$3)</f>
        <v/>
      </c>
      <c r="C7" s="67" t="str">
        <f>IF(FILLME!$B$7="ISCO",FILLME!$E$4,IF(FILLME!$B$7="Grab",FILLME!$E$5))</f>
        <v>IS</v>
      </c>
      <c r="D7" t="str">
        <f>IF(FILLME!$B$4 = "", "", FILLME!$B$4)</f>
        <v>SSEMG</v>
      </c>
      <c r="E7" s="7" t="str">
        <f>TEXT(FILLME!$B$6,"yyyymmdd")</f>
        <v>20260223</v>
      </c>
      <c r="F7" s="8">
        <v>0.41666666666666669</v>
      </c>
      <c r="G7" s="7">
        <f>IF(FILLME!$B$7="ISCO",FILLME!$B$6+FILLME!$B$11+(FILLME!$B$13*(H7-FILLME!$B$14)),FILLME!$B$6)</f>
        <v>46077.416666666664</v>
      </c>
      <c r="H7" s="2">
        <v>6</v>
      </c>
      <c r="I7" s="2">
        <v>6</v>
      </c>
      <c r="J7" s="2" t="str">
        <v>STA</v>
      </c>
      <c r="K7" s="9" t="str">
        <f t="shared" si="0"/>
        <v>STA_06</v>
      </c>
      <c r="L7" s="10" t="str">
        <f t="shared" si="1"/>
        <v>SSEMG_STA_20260223_06</v>
      </c>
      <c r="M7" s="10" t="str">
        <f t="shared" si="2"/>
        <v>SSEMG_STA_IS_20260224_1000</v>
      </c>
      <c r="N7" t="b">
        <f>IF(ROW()-ROW($N$1) &lt;= FILLME!$G$4, TRUE, FALSE)</f>
        <v>1</v>
      </c>
      <c r="O7" t="b">
        <f>IF(ROW()-ROW($O$1) &lt;= FILLME!$G$5, TRUE, FALSE)</f>
        <v>0</v>
      </c>
      <c r="P7" t="b">
        <f>IF(ROW()-ROW($P$1) &lt;= FILLME!$G$7, TRUE, FALSE)</f>
        <v>0</v>
      </c>
      <c r="Q7" t="b">
        <f>IF(ROW()-ROW($Q$1) &lt;= FILLME!$G$6, TRUE, FALSE)</f>
        <v>1</v>
      </c>
      <c r="R7" t="b">
        <f>IF(ROW()-ROW($R$1) &lt;= FILLME!$G$8, TRUE, FALSE)</f>
        <v>1</v>
      </c>
      <c r="S7" t="b">
        <f>IF(ROW()-ROW($S$1) &lt;= FILLME!$G$9, TRUE, FALSE)</f>
        <v>1</v>
      </c>
      <c r="T7" t="b">
        <f>IF(ROW()-ROW($T$1) &lt;= FILLME!$G$10, TRUE, FALSE)</f>
        <v>1</v>
      </c>
      <c r="U7" t="b">
        <f>IF(ROW()-ROW($U$1) &lt;= FILLME!$G$11, TRUE, FALSE)</f>
        <v>1</v>
      </c>
    </row>
    <row r="8" spans="1:21" x14ac:dyDescent="0.25">
      <c r="A8" s="7" t="str">
        <f>FILLME!$B$7</f>
        <v>ISCO</v>
      </c>
      <c r="B8" t="str">
        <f>IF(FILLME!$B$3 = "", "", FILLME!$B$3)</f>
        <v/>
      </c>
      <c r="C8" s="67" t="str">
        <f>IF(FILLME!$B$7="ISCO",FILLME!$E$4,IF(FILLME!$B$7="Grab",FILLME!$E$5))</f>
        <v>IS</v>
      </c>
      <c r="D8" t="str">
        <f>IF(FILLME!$B$4 = "", "", FILLME!$B$4)</f>
        <v>SSEMG</v>
      </c>
      <c r="E8" s="7" t="str">
        <f>TEXT(FILLME!$B$6,"yyyymmdd")</f>
        <v>20260223</v>
      </c>
      <c r="F8" s="8">
        <v>0.5</v>
      </c>
      <c r="G8" s="7">
        <f>IF(FILLME!$B$7="ISCO",FILLME!$B$6+FILLME!$B$11+(FILLME!$B$13*(H8-FILLME!$B$14)),FILLME!$B$6)</f>
        <v>46077.5</v>
      </c>
      <c r="H8" s="2">
        <v>7</v>
      </c>
      <c r="I8" s="2">
        <v>7</v>
      </c>
      <c r="J8" s="2" t="str">
        <v>STA</v>
      </c>
      <c r="K8" s="9" t="str">
        <f t="shared" si="0"/>
        <v>STA_07</v>
      </c>
      <c r="L8" s="10" t="str">
        <f t="shared" si="1"/>
        <v>SSEMG_STA_20260223_07</v>
      </c>
      <c r="M8" s="10" t="str">
        <f t="shared" si="2"/>
        <v>SSEMG_STA_IS_20260224_1200</v>
      </c>
      <c r="N8" t="b">
        <f>IF(ROW()-ROW($N$1) &lt;= FILLME!$G$4, TRUE, FALSE)</f>
        <v>1</v>
      </c>
      <c r="O8" t="b">
        <f>IF(ROW()-ROW($O$1) &lt;= FILLME!$G$5, TRUE, FALSE)</f>
        <v>0</v>
      </c>
      <c r="P8" t="b">
        <f>IF(ROW()-ROW($P$1) &lt;= FILLME!$G$7, TRUE, FALSE)</f>
        <v>0</v>
      </c>
      <c r="Q8" t="b">
        <f>IF(ROW()-ROW($Q$1) &lt;= FILLME!$G$6, TRUE, FALSE)</f>
        <v>1</v>
      </c>
      <c r="R8" t="b">
        <f>IF(ROW()-ROW($R$1) &lt;= FILLME!$G$8, TRUE, FALSE)</f>
        <v>1</v>
      </c>
      <c r="S8" t="b">
        <f>IF(ROW()-ROW($S$1) &lt;= FILLME!$G$9, TRUE, FALSE)</f>
        <v>1</v>
      </c>
      <c r="T8" t="b">
        <f>IF(ROW()-ROW($T$1) &lt;= FILLME!$G$10, TRUE, FALSE)</f>
        <v>1</v>
      </c>
      <c r="U8" t="b">
        <f>IF(ROW()-ROW($U$1) &lt;= FILLME!$G$11, TRUE, FALSE)</f>
        <v>1</v>
      </c>
    </row>
    <row r="9" spans="1:21" x14ac:dyDescent="0.25">
      <c r="A9" s="7" t="str">
        <f>FILLME!$B$7</f>
        <v>ISCO</v>
      </c>
      <c r="B9" t="str">
        <f>IF(FILLME!$B$3 = "", "", FILLME!$B$3)</f>
        <v/>
      </c>
      <c r="C9" s="67" t="str">
        <f>IF(FILLME!$B$7="ISCO",FILLME!$E$4,IF(FILLME!$B$7="Grab",FILLME!$E$5))</f>
        <v>IS</v>
      </c>
      <c r="D9" t="str">
        <f>IF(FILLME!$B$4 = "", "", FILLME!$B$4)</f>
        <v>SSEMG</v>
      </c>
      <c r="E9" s="7" t="str">
        <f>TEXT(FILLME!$B$6,"yyyymmdd")</f>
        <v>20260223</v>
      </c>
      <c r="F9" s="8">
        <v>0.58333333333333337</v>
      </c>
      <c r="G9" s="7">
        <f>IF(FILLME!$B$7="ISCO",FILLME!$B$6+FILLME!$B$11+(FILLME!$B$13*(H9-FILLME!$B$14)),FILLME!$B$6)</f>
        <v>46077.583333333336</v>
      </c>
      <c r="H9" s="2">
        <v>8</v>
      </c>
      <c r="I9" s="2">
        <v>8</v>
      </c>
      <c r="J9" s="2" t="str">
        <v>STA</v>
      </c>
      <c r="K9" s="9" t="str">
        <f t="shared" si="0"/>
        <v>STA_08</v>
      </c>
      <c r="L9" s="10" t="str">
        <f t="shared" si="1"/>
        <v>SSEMG_STA_20260223_08</v>
      </c>
      <c r="M9" s="10" t="str">
        <f t="shared" si="2"/>
        <v>SSEMG_STA_IS_20260224_1400</v>
      </c>
      <c r="N9" t="b">
        <f>IF(ROW()-ROW($N$1) &lt;= FILLME!$G$4, TRUE, FALSE)</f>
        <v>1</v>
      </c>
      <c r="O9" t="b">
        <f>IF(ROW()-ROW($O$1) &lt;= FILLME!$G$5, TRUE, FALSE)</f>
        <v>0</v>
      </c>
      <c r="P9" t="b">
        <f>IF(ROW()-ROW($P$1) &lt;= FILLME!$G$7, TRUE, FALSE)</f>
        <v>0</v>
      </c>
      <c r="Q9" t="b">
        <f>IF(ROW()-ROW($Q$1) &lt;= FILLME!$G$6, TRUE, FALSE)</f>
        <v>1</v>
      </c>
      <c r="R9" t="b">
        <f>IF(ROW()-ROW($R$1) &lt;= FILLME!$G$8, TRUE, FALSE)</f>
        <v>1</v>
      </c>
      <c r="S9" t="b">
        <f>IF(ROW()-ROW($S$1) &lt;= FILLME!$G$9, TRUE, FALSE)</f>
        <v>1</v>
      </c>
      <c r="T9" t="b">
        <f>IF(ROW()-ROW($T$1) &lt;= FILLME!$G$10, TRUE, FALSE)</f>
        <v>1</v>
      </c>
      <c r="U9" t="b">
        <f>IF(ROW()-ROW($U$1) &lt;= FILLME!$G$11, TRUE, FALSE)</f>
        <v>1</v>
      </c>
    </row>
    <row r="10" spans="1:21" x14ac:dyDescent="0.25">
      <c r="A10" s="7" t="str">
        <f>FILLME!$B$7</f>
        <v>ISCO</v>
      </c>
      <c r="B10" t="str">
        <f>IF(FILLME!$B$3 = "", "", FILLME!$B$3)</f>
        <v/>
      </c>
      <c r="C10" s="67" t="str">
        <f>IF(FILLME!$B$7="ISCO",FILLME!$E$4,IF(FILLME!$B$7="Grab",FILLME!$E$5))</f>
        <v>IS</v>
      </c>
      <c r="D10" t="str">
        <f>IF(FILLME!$B$4 = "", "", FILLME!$B$4)</f>
        <v>SSEMG</v>
      </c>
      <c r="E10" s="7" t="str">
        <f>TEXT(FILLME!$B$6,"yyyymmdd")</f>
        <v>20260223</v>
      </c>
      <c r="F10" s="8">
        <v>0.66666666666666663</v>
      </c>
      <c r="G10" s="7">
        <f>IF(FILLME!$B$7="ISCO",FILLME!$B$6+FILLME!$B$11+(FILLME!$B$13*(H10-FILLME!$B$14)),FILLME!$B$6)</f>
        <v>46077.666666666664</v>
      </c>
      <c r="H10" s="2">
        <v>9</v>
      </c>
      <c r="I10" s="2">
        <v>9</v>
      </c>
      <c r="J10" s="2" t="str">
        <v>STA</v>
      </c>
      <c r="K10" s="9" t="str">
        <f t="shared" si="0"/>
        <v>STA_09</v>
      </c>
      <c r="L10" s="10" t="str">
        <f t="shared" si="1"/>
        <v>SSEMG_STA_20260223_09</v>
      </c>
      <c r="M10" s="10" t="str">
        <f t="shared" si="2"/>
        <v>SSEMG_STA_IS_20260224_1600</v>
      </c>
      <c r="N10" t="b">
        <f>IF(ROW()-ROW($N$1) &lt;= FILLME!$G$4, TRUE, FALSE)</f>
        <v>1</v>
      </c>
      <c r="O10" t="b">
        <f>IF(ROW()-ROW($O$1) &lt;= FILLME!$G$5, TRUE, FALSE)</f>
        <v>0</v>
      </c>
      <c r="P10" t="b">
        <f>IF(ROW()-ROW($P$1) &lt;= FILLME!$G$7, TRUE, FALSE)</f>
        <v>0</v>
      </c>
      <c r="Q10" t="b">
        <f>IF(ROW()-ROW($Q$1) &lt;= FILLME!$G$6, TRUE, FALSE)</f>
        <v>1</v>
      </c>
      <c r="R10" t="b">
        <f>IF(ROW()-ROW($R$1) &lt;= FILLME!$G$8, TRUE, FALSE)</f>
        <v>1</v>
      </c>
      <c r="S10" t="b">
        <f>IF(ROW()-ROW($S$1) &lt;= FILLME!$G$9, TRUE, FALSE)</f>
        <v>1</v>
      </c>
      <c r="T10" t="b">
        <f>IF(ROW()-ROW($T$1) &lt;= FILLME!$G$10, TRUE, FALSE)</f>
        <v>1</v>
      </c>
      <c r="U10" t="b">
        <f>IF(ROW()-ROW($U$1) &lt;= FILLME!$G$11, TRUE, FALSE)</f>
        <v>1</v>
      </c>
    </row>
    <row r="11" spans="1:21" x14ac:dyDescent="0.25">
      <c r="A11" s="7" t="str">
        <f>FILLME!$B$7</f>
        <v>ISCO</v>
      </c>
      <c r="B11" t="str">
        <f>IF(FILLME!$B$3 = "", "", FILLME!$B$3)</f>
        <v/>
      </c>
      <c r="C11" s="67" t="str">
        <f>IF(FILLME!$B$7="ISCO",FILLME!$E$4,IF(FILLME!$B$7="Grab",FILLME!$E$5))</f>
        <v>IS</v>
      </c>
      <c r="D11" t="str">
        <f>IF(FILLME!$B$4 = "", "", FILLME!$B$4)</f>
        <v>SSEMG</v>
      </c>
      <c r="E11" s="7" t="str">
        <f>TEXT(FILLME!$B$6,"yyyymmdd")</f>
        <v>20260223</v>
      </c>
      <c r="F11" s="8">
        <v>0.75</v>
      </c>
      <c r="G11" s="7">
        <f>IF(FILLME!$B$7="ISCO",FILLME!$B$6+FILLME!$B$11+(FILLME!$B$13*(H11-FILLME!$B$14)),FILLME!$B$6)</f>
        <v>46077.75</v>
      </c>
      <c r="H11" s="2">
        <v>10</v>
      </c>
      <c r="I11" s="2">
        <v>10</v>
      </c>
      <c r="J11" s="2" t="str">
        <v>STA</v>
      </c>
      <c r="K11" s="9" t="str">
        <f t="shared" si="0"/>
        <v>STA_10</v>
      </c>
      <c r="L11" s="10" t="str">
        <f t="shared" si="1"/>
        <v>SSEMG_STA_20260223_10</v>
      </c>
      <c r="M11" s="10" t="str">
        <f t="shared" si="2"/>
        <v>SSEMG_STA_IS_20260224_1800</v>
      </c>
      <c r="N11" t="b">
        <f>IF(ROW()-ROW($N$1) &lt;= FILLME!$G$4, TRUE, FALSE)</f>
        <v>1</v>
      </c>
      <c r="O11" t="b">
        <f>IF(ROW()-ROW($O$1) &lt;= FILLME!$G$5, TRUE, FALSE)</f>
        <v>0</v>
      </c>
      <c r="P11" t="b">
        <f>IF(ROW()-ROW($P$1) &lt;= FILLME!$G$7, TRUE, FALSE)</f>
        <v>0</v>
      </c>
      <c r="Q11" t="b">
        <f>IF(ROW()-ROW($Q$1) &lt;= FILLME!$G$6, TRUE, FALSE)</f>
        <v>1</v>
      </c>
      <c r="R11" t="b">
        <f>IF(ROW()-ROW($R$1) &lt;= FILLME!$G$8, TRUE, FALSE)</f>
        <v>1</v>
      </c>
      <c r="S11" t="b">
        <f>IF(ROW()-ROW($S$1) &lt;= FILLME!$G$9, TRUE, FALSE)</f>
        <v>1</v>
      </c>
      <c r="T11" t="b">
        <f>IF(ROW()-ROW($T$1) &lt;= FILLME!$G$10, TRUE, FALSE)</f>
        <v>1</v>
      </c>
      <c r="U11" t="b">
        <f>IF(ROW()-ROW($U$1) &lt;= FILLME!$G$11, TRUE, FALSE)</f>
        <v>1</v>
      </c>
    </row>
    <row r="12" spans="1:21" x14ac:dyDescent="0.25">
      <c r="A12" s="7" t="str">
        <f>FILLME!$B$7</f>
        <v>ISCO</v>
      </c>
      <c r="B12" t="str">
        <f>IF(FILLME!$B$3 = "", "", FILLME!$B$3)</f>
        <v/>
      </c>
      <c r="C12" s="67" t="str">
        <f>IF(FILLME!$B$7="ISCO",FILLME!$E$4,IF(FILLME!$B$7="Grab",FILLME!$E$5))</f>
        <v>IS</v>
      </c>
      <c r="D12" t="str">
        <f>IF(FILLME!$B$4 = "", "", FILLME!$B$4)</f>
        <v>SSEMG</v>
      </c>
      <c r="E12" s="7" t="str">
        <f>TEXT(FILLME!$B$6,"yyyymmdd")</f>
        <v>20260223</v>
      </c>
      <c r="F12" s="8">
        <v>0.83333333333333337</v>
      </c>
      <c r="G12" s="7">
        <f>IF(FILLME!$B$7="ISCO",FILLME!$B$6+FILLME!$B$11+(FILLME!$B$13*(H12-FILLME!$B$14)),FILLME!$B$6)</f>
        <v>46077.833333333336</v>
      </c>
      <c r="H12" s="2">
        <v>11</v>
      </c>
      <c r="I12" s="2">
        <v>11</v>
      </c>
      <c r="J12" s="2" t="str">
        <v>STA</v>
      </c>
      <c r="K12" s="9" t="str">
        <f t="shared" si="0"/>
        <v>STA_11</v>
      </c>
      <c r="L12" s="10" t="str">
        <f t="shared" si="1"/>
        <v>SSEMG_STA_20260223_11</v>
      </c>
      <c r="M12" s="10" t="str">
        <f t="shared" si="2"/>
        <v>SSEMG_STA_IS_20260224_2000</v>
      </c>
      <c r="N12" t="b">
        <f>IF(ROW()-ROW($N$1) &lt;= FILLME!$G$4, TRUE, FALSE)</f>
        <v>1</v>
      </c>
      <c r="O12" t="b">
        <f>IF(ROW()-ROW($O$1) &lt;= FILLME!$G$5, TRUE, FALSE)</f>
        <v>0</v>
      </c>
      <c r="P12" t="b">
        <f>IF(ROW()-ROW($P$1) &lt;= FILLME!$G$7, TRUE, FALSE)</f>
        <v>0</v>
      </c>
      <c r="Q12" t="b">
        <f>IF(ROW()-ROW($Q$1) &lt;= FILLME!$G$6, TRUE, FALSE)</f>
        <v>1</v>
      </c>
      <c r="R12" t="b">
        <f>IF(ROW()-ROW($R$1) &lt;= FILLME!$G$8, TRUE, FALSE)</f>
        <v>1</v>
      </c>
      <c r="S12" t="b">
        <f>IF(ROW()-ROW($S$1) &lt;= FILLME!$G$9, TRUE, FALSE)</f>
        <v>1</v>
      </c>
      <c r="T12" t="b">
        <f>IF(ROW()-ROW($T$1) &lt;= FILLME!$G$10, TRUE, FALSE)</f>
        <v>1</v>
      </c>
      <c r="U12" t="b">
        <f>IF(ROW()-ROW($U$1) &lt;= FILLME!$G$11, TRUE, FALSE)</f>
        <v>1</v>
      </c>
    </row>
    <row r="13" spans="1:21" x14ac:dyDescent="0.25">
      <c r="A13" s="7" t="str">
        <f>FILLME!$B$7</f>
        <v>ISCO</v>
      </c>
      <c r="B13" t="str">
        <f>IF(FILLME!$B$3 = "", "", FILLME!$B$3)</f>
        <v/>
      </c>
      <c r="C13" s="67" t="str">
        <f>IF(FILLME!$B$7="ISCO",FILLME!$E$4,IF(FILLME!$B$7="Grab",FILLME!$E$5))</f>
        <v>IS</v>
      </c>
      <c r="D13" t="str">
        <f>IF(FILLME!$B$4 = "", "", FILLME!$B$4)</f>
        <v>SSEMG</v>
      </c>
      <c r="E13" s="7" t="str">
        <f>TEXT(FILLME!$B$6,"yyyymmdd")</f>
        <v>20260223</v>
      </c>
      <c r="F13" s="8">
        <v>0.91666666666666663</v>
      </c>
      <c r="G13" s="7">
        <f>IF(FILLME!$B$7="ISCO",FILLME!$B$6+FILLME!$B$11+(FILLME!$B$13*(H13-FILLME!$B$14)),FILLME!$B$6)</f>
        <v>46077.916666666664</v>
      </c>
      <c r="H13" s="2">
        <v>12</v>
      </c>
      <c r="I13" s="2">
        <v>12</v>
      </c>
      <c r="J13" s="2" t="str">
        <v>STA</v>
      </c>
      <c r="K13" s="9" t="str">
        <f t="shared" si="0"/>
        <v>STA_12</v>
      </c>
      <c r="L13" s="10" t="str">
        <f t="shared" si="1"/>
        <v>SSEMG_STA_20260223_12</v>
      </c>
      <c r="M13" s="10" t="str">
        <f t="shared" si="2"/>
        <v>SSEMG_STA_IS_20260224_2200</v>
      </c>
      <c r="N13" t="b">
        <f>IF(ROW()-ROW($N$1) &lt;= FILLME!$G$4, TRUE, FALSE)</f>
        <v>1</v>
      </c>
      <c r="O13" t="b">
        <f>IF(ROW()-ROW($O$1) &lt;= FILLME!$G$5, TRUE, FALSE)</f>
        <v>0</v>
      </c>
      <c r="P13" t="b">
        <f>IF(ROW()-ROW($P$1) &lt;= FILLME!$G$7, TRUE, FALSE)</f>
        <v>0</v>
      </c>
      <c r="Q13" t="b">
        <f>IF(ROW()-ROW($Q$1) &lt;= FILLME!$G$6, TRUE, FALSE)</f>
        <v>1</v>
      </c>
      <c r="R13" t="b">
        <f>IF(ROW()-ROW($R$1) &lt;= FILLME!$G$8, TRUE, FALSE)</f>
        <v>1</v>
      </c>
      <c r="S13" t="b">
        <f>IF(ROW()-ROW($S$1) &lt;= FILLME!$G$9, TRUE, FALSE)</f>
        <v>1</v>
      </c>
      <c r="T13" t="b">
        <f>IF(ROW()-ROW($T$1) &lt;= FILLME!$G$10, TRUE, FALSE)</f>
        <v>1</v>
      </c>
      <c r="U13" t="b">
        <f>IF(ROW()-ROW($U$1) &lt;= FILLME!$G$11, TRUE, FALSE)</f>
        <v>1</v>
      </c>
    </row>
    <row r="14" spans="1:21" x14ac:dyDescent="0.25">
      <c r="A14" s="7" t="str">
        <f>FILLME!$B$7</f>
        <v>ISCO</v>
      </c>
      <c r="B14" t="str">
        <f>IF(FILLME!$B$3 = "", "", FILLME!$B$3)</f>
        <v/>
      </c>
      <c r="C14" s="67" t="str">
        <f>IF(FILLME!$B$7="ISCO",FILLME!$E$4,IF(FILLME!$B$7="Grab",FILLME!$E$5))</f>
        <v>IS</v>
      </c>
      <c r="D14" t="str">
        <f>IF(FILLME!$B$4 = "", "", FILLME!$B$4)</f>
        <v>SSEMG</v>
      </c>
      <c r="E14" s="7" t="str">
        <f>TEXT(FILLME!$B$6,"yyyymmdd")</f>
        <v>20260223</v>
      </c>
      <c r="F14" s="8">
        <v>0</v>
      </c>
      <c r="G14" s="7">
        <f>IF(FILLME!$B$7="ISCO",FILLME!$B$6+FILLME!$B$11+(FILLME!$B$13*(H14-FILLME!$B$14)),FILLME!$B$6)</f>
        <v>46078</v>
      </c>
      <c r="H14" s="2">
        <v>13</v>
      </c>
      <c r="I14" s="2">
        <v>13</v>
      </c>
      <c r="J14" s="2" t="str">
        <v>STA</v>
      </c>
      <c r="K14" s="9" t="str">
        <f t="shared" si="0"/>
        <v>STA_13</v>
      </c>
      <c r="L14" s="10" t="str">
        <f t="shared" si="1"/>
        <v>SSEMG_STA_20260223_13</v>
      </c>
      <c r="M14" s="10" t="str">
        <f t="shared" si="2"/>
        <v>SSEMG_STA_IS_20260225_0000</v>
      </c>
      <c r="N14" t="b">
        <f>IF(ROW()-ROW($N$1) &lt;= FILLME!$G$4, TRUE, FALSE)</f>
        <v>1</v>
      </c>
      <c r="O14" t="b">
        <f>IF(ROW()-ROW($O$1) &lt;= FILLME!$G$5, TRUE, FALSE)</f>
        <v>0</v>
      </c>
      <c r="P14" t="b">
        <f>IF(ROW()-ROW($P$1) &lt;= FILLME!$G$7, TRUE, FALSE)</f>
        <v>0</v>
      </c>
      <c r="Q14" t="b">
        <f>IF(ROW()-ROW($Q$1) &lt;= FILLME!$G$6, TRUE, FALSE)</f>
        <v>1</v>
      </c>
      <c r="R14" t="b">
        <f>IF(ROW()-ROW($R$1) &lt;= FILLME!$G$8, TRUE, FALSE)</f>
        <v>1</v>
      </c>
      <c r="S14" t="b">
        <f>IF(ROW()-ROW($S$1) &lt;= FILLME!$G$9, TRUE, FALSE)</f>
        <v>1</v>
      </c>
      <c r="T14" t="b">
        <f>IF(ROW()-ROW($T$1) &lt;= FILLME!$G$10, TRUE, FALSE)</f>
        <v>1</v>
      </c>
      <c r="U14" t="b">
        <f>IF(ROW()-ROW($U$1) &lt;= FILLME!$G$11, TRUE, FALSE)</f>
        <v>1</v>
      </c>
    </row>
    <row r="15" spans="1:21" x14ac:dyDescent="0.25">
      <c r="A15" s="7" t="str">
        <f>FILLME!$B$7</f>
        <v>ISCO</v>
      </c>
      <c r="B15" t="str">
        <f>IF(FILLME!$B$3 = "", "", FILLME!$B$3)</f>
        <v/>
      </c>
      <c r="C15" s="67" t="str">
        <f>IF(FILLME!$B$7="ISCO",FILLME!$E$4,IF(FILLME!$B$7="Grab",FILLME!$E$5))</f>
        <v>IS</v>
      </c>
      <c r="D15" t="str">
        <f>IF(FILLME!$B$4 = "", "", FILLME!$B$4)</f>
        <v>SSEMG</v>
      </c>
      <c r="E15" s="7" t="str">
        <f>TEXT(FILLME!$B$6,"yyyymmdd")</f>
        <v>20260223</v>
      </c>
      <c r="F15" s="8">
        <v>8.3333333333333259E-2</v>
      </c>
      <c r="G15" s="7">
        <f>IF(FILLME!$B$7="ISCO",FILLME!$B$6+FILLME!$B$11+(FILLME!$B$13*(H15-FILLME!$B$14)),FILLME!$B$6)</f>
        <v>46078.083333333336</v>
      </c>
      <c r="H15" s="2">
        <v>14</v>
      </c>
      <c r="I15" s="2">
        <v>14</v>
      </c>
      <c r="J15" s="2" t="str">
        <v>STA</v>
      </c>
      <c r="K15" s="9" t="str">
        <f t="shared" si="0"/>
        <v>STA_14</v>
      </c>
      <c r="L15" s="10" t="str">
        <f t="shared" si="1"/>
        <v>SSEMG_STA_20260223_14</v>
      </c>
      <c r="M15" s="10" t="str">
        <f t="shared" si="2"/>
        <v>SSEMG_STA_IS_20260225_0200</v>
      </c>
      <c r="N15" t="b">
        <f>IF(ROW()-ROW($N$1) &lt;= FILLME!$G$4, TRUE, FALSE)</f>
        <v>1</v>
      </c>
      <c r="O15" t="b">
        <f>IF(ROW()-ROW($O$1) &lt;= FILLME!$G$5, TRUE, FALSE)</f>
        <v>0</v>
      </c>
      <c r="P15" t="b">
        <f>IF(ROW()-ROW($P$1) &lt;= FILLME!$G$7, TRUE, FALSE)</f>
        <v>0</v>
      </c>
      <c r="Q15" t="b">
        <f>IF(ROW()-ROW($Q$1) &lt;= FILLME!$G$6, TRUE, FALSE)</f>
        <v>1</v>
      </c>
      <c r="R15" t="b">
        <f>IF(ROW()-ROW($R$1) &lt;= FILLME!$G$8, TRUE, FALSE)</f>
        <v>1</v>
      </c>
      <c r="S15" t="b">
        <f>IF(ROW()-ROW($S$1) &lt;= FILLME!$G$9, TRUE, FALSE)</f>
        <v>1</v>
      </c>
      <c r="T15" t="b">
        <f>IF(ROW()-ROW($T$1) &lt;= FILLME!$G$10, TRUE, FALSE)</f>
        <v>1</v>
      </c>
      <c r="U15" t="b">
        <f>IF(ROW()-ROW($U$1) &lt;= FILLME!$G$11, TRUE, FALSE)</f>
        <v>1</v>
      </c>
    </row>
    <row r="16" spans="1:21" x14ac:dyDescent="0.25">
      <c r="A16" s="7" t="str">
        <f>FILLME!$B$7</f>
        <v>ISCO</v>
      </c>
      <c r="B16" t="str">
        <f>IF(FILLME!$B$3 = "", "", FILLME!$B$3)</f>
        <v/>
      </c>
      <c r="C16" s="67" t="str">
        <f>IF(FILLME!$B$7="ISCO",FILLME!$E$4,IF(FILLME!$B$7="Grab",FILLME!$E$5))</f>
        <v>IS</v>
      </c>
      <c r="D16" t="str">
        <f>IF(FILLME!$B$4 = "", "", FILLME!$B$4)</f>
        <v>SSEMG</v>
      </c>
      <c r="E16" s="7" t="str">
        <f>TEXT(FILLME!$B$6,"yyyymmdd")</f>
        <v>20260223</v>
      </c>
      <c r="F16" s="8">
        <v>0.16666666666666674</v>
      </c>
      <c r="G16" s="7">
        <f>IF(FILLME!$B$7="ISCO",FILLME!$B$6+FILLME!$B$11+(FILLME!$B$13*(H16-FILLME!$B$14)),FILLME!$B$6)</f>
        <v>46078.166666666664</v>
      </c>
      <c r="H16" s="2">
        <v>15</v>
      </c>
      <c r="I16" s="2">
        <v>15</v>
      </c>
      <c r="J16" s="2" t="str">
        <v>STA</v>
      </c>
      <c r="K16" s="9" t="str">
        <f t="shared" si="0"/>
        <v>STA_15</v>
      </c>
      <c r="L16" s="10" t="str">
        <f t="shared" si="1"/>
        <v>SSEMG_STA_20260223_15</v>
      </c>
      <c r="M16" s="10" t="str">
        <f t="shared" si="2"/>
        <v>SSEMG_STA_IS_20260225_0400</v>
      </c>
      <c r="N16" t="b">
        <f>IF(ROW()-ROW($N$1) &lt;= FILLME!$G$4, TRUE, FALSE)</f>
        <v>1</v>
      </c>
      <c r="O16" t="b">
        <f>IF(ROW()-ROW($O$1) &lt;= FILLME!$G$5, TRUE, FALSE)</f>
        <v>0</v>
      </c>
      <c r="P16" t="b">
        <f>IF(ROW()-ROW($P$1) &lt;= FILLME!$G$7, TRUE, FALSE)</f>
        <v>0</v>
      </c>
      <c r="Q16" t="b">
        <f>IF(ROW()-ROW($Q$1) &lt;= FILLME!$G$6, TRUE, FALSE)</f>
        <v>1</v>
      </c>
      <c r="R16" t="b">
        <f>IF(ROW()-ROW($R$1) &lt;= FILLME!$G$8, TRUE, FALSE)</f>
        <v>1</v>
      </c>
      <c r="S16" t="b">
        <f>IF(ROW()-ROW($S$1) &lt;= FILLME!$G$9, TRUE, FALSE)</f>
        <v>1</v>
      </c>
      <c r="T16" t="b">
        <f>IF(ROW()-ROW($T$1) &lt;= FILLME!$G$10, TRUE, FALSE)</f>
        <v>1</v>
      </c>
      <c r="U16" t="b">
        <f>IF(ROW()-ROW($U$1) &lt;= FILLME!$G$11, TRUE, FALSE)</f>
        <v>1</v>
      </c>
    </row>
    <row r="17" spans="1:21" x14ac:dyDescent="0.25">
      <c r="A17" s="7" t="str">
        <f>FILLME!$B$7</f>
        <v>ISCO</v>
      </c>
      <c r="B17" t="str">
        <f>IF(FILLME!$B$3 = "", "", FILLME!$B$3)</f>
        <v/>
      </c>
      <c r="C17" s="67" t="str">
        <f>IF(FILLME!$B$7="ISCO",FILLME!$E$4,IF(FILLME!$B$7="Grab",FILLME!$E$5))</f>
        <v>IS</v>
      </c>
      <c r="D17" t="str">
        <f>IF(FILLME!$B$4 = "", "", FILLME!$B$4)</f>
        <v>SSEMG</v>
      </c>
      <c r="E17" s="7" t="str">
        <f>TEXT(FILLME!$B$6,"yyyymmdd")</f>
        <v>20260223</v>
      </c>
      <c r="F17" s="8">
        <v>0.25</v>
      </c>
      <c r="G17" s="7">
        <f>IF(FILLME!$B$7="ISCO",FILLME!$B$6+FILLME!$B$11+(FILLME!$B$13*(H17-FILLME!$B$14)),FILLME!$B$6)</f>
        <v>46078.25</v>
      </c>
      <c r="H17" s="2">
        <v>16</v>
      </c>
      <c r="I17" s="2">
        <v>16</v>
      </c>
      <c r="J17" s="2" t="str">
        <v>STA</v>
      </c>
      <c r="K17" s="9" t="str">
        <f t="shared" si="0"/>
        <v>STA_16</v>
      </c>
      <c r="L17" s="10" t="str">
        <f t="shared" si="1"/>
        <v>SSEMG_STA_20260223_16</v>
      </c>
      <c r="M17" s="10" t="str">
        <f t="shared" si="2"/>
        <v>SSEMG_STA_IS_20260225_0600</v>
      </c>
      <c r="N17" t="b">
        <f>IF(ROW()-ROW($N$1) &lt;= FILLME!$G$4, TRUE, FALSE)</f>
        <v>1</v>
      </c>
      <c r="O17" t="b">
        <f>IF(ROW()-ROW($O$1) &lt;= FILLME!$G$5, TRUE, FALSE)</f>
        <v>0</v>
      </c>
      <c r="P17" t="b">
        <f>IF(ROW()-ROW($P$1) &lt;= FILLME!$G$7, TRUE, FALSE)</f>
        <v>0</v>
      </c>
      <c r="Q17" t="b">
        <f>IF(ROW()-ROW($Q$1) &lt;= FILLME!$G$6, TRUE, FALSE)</f>
        <v>1</v>
      </c>
      <c r="R17" t="b">
        <f>IF(ROW()-ROW($R$1) &lt;= FILLME!$G$8, TRUE, FALSE)</f>
        <v>1</v>
      </c>
      <c r="S17" t="b">
        <f>IF(ROW()-ROW($S$1) &lt;= FILLME!$G$9, TRUE, FALSE)</f>
        <v>1</v>
      </c>
      <c r="T17" t="b">
        <f>IF(ROW()-ROW($T$1) &lt;= FILLME!$G$10, TRUE, FALSE)</f>
        <v>1</v>
      </c>
      <c r="U17" t="b">
        <f>IF(ROW()-ROW($U$1) &lt;= FILLME!$G$11, TRUE, FALSE)</f>
        <v>1</v>
      </c>
    </row>
    <row r="18" spans="1:21" x14ac:dyDescent="0.25">
      <c r="A18" s="7" t="str">
        <f>FILLME!$B$7</f>
        <v>ISCO</v>
      </c>
      <c r="B18" t="str">
        <f>IF(FILLME!$B$3 = "", "", FILLME!$B$3)</f>
        <v/>
      </c>
      <c r="C18" s="67" t="str">
        <f>IF(FILLME!$B$7="ISCO",FILLME!$E$4,IF(FILLME!$B$7="Grab",FILLME!$E$5))</f>
        <v>IS</v>
      </c>
      <c r="D18" t="str">
        <f>IF(FILLME!$B$4 = "", "", FILLME!$B$4)</f>
        <v>SSEMG</v>
      </c>
      <c r="E18" s="7" t="str">
        <f>TEXT(FILLME!$B$6,"yyyymmdd")</f>
        <v>20260223</v>
      </c>
      <c r="F18" s="8">
        <v>0.33333333333333326</v>
      </c>
      <c r="G18" s="7">
        <f>IF(FILLME!$B$7="ISCO",FILLME!$B$6+FILLME!$B$11+(FILLME!$B$13*(H18-FILLME!$B$14)),FILLME!$B$6)</f>
        <v>46078.333333333336</v>
      </c>
      <c r="H18" s="2">
        <v>17</v>
      </c>
      <c r="I18" s="2">
        <v>17</v>
      </c>
      <c r="J18" s="2" t="str">
        <v>STA</v>
      </c>
      <c r="K18" s="9" t="str">
        <f t="shared" si="0"/>
        <v>STA_17</v>
      </c>
      <c r="L18" s="10" t="str">
        <f t="shared" si="1"/>
        <v>SSEMG_STA_20260223_17</v>
      </c>
      <c r="M18" s="10" t="str">
        <f t="shared" si="2"/>
        <v>SSEMG_STA_IS_20260225_0800</v>
      </c>
      <c r="N18" t="b">
        <f>IF(ROW()-ROW($N$1) &lt;= FILLME!$G$4, TRUE, FALSE)</f>
        <v>1</v>
      </c>
      <c r="O18" t="b">
        <f>IF(ROW()-ROW($O$1) &lt;= FILLME!$G$5, TRUE, FALSE)</f>
        <v>0</v>
      </c>
      <c r="P18" t="b">
        <f>IF(ROW()-ROW($P$1) &lt;= FILLME!$G$7, TRUE, FALSE)</f>
        <v>0</v>
      </c>
      <c r="Q18" t="b">
        <f>IF(ROW()-ROW($Q$1) &lt;= FILLME!$G$6, TRUE, FALSE)</f>
        <v>1</v>
      </c>
      <c r="R18" t="b">
        <f>IF(ROW()-ROW($R$1) &lt;= FILLME!$G$8, TRUE, FALSE)</f>
        <v>1</v>
      </c>
      <c r="S18" t="b">
        <f>IF(ROW()-ROW($S$1) &lt;= FILLME!$G$9, TRUE, FALSE)</f>
        <v>1</v>
      </c>
      <c r="T18" t="b">
        <f>IF(ROW()-ROW($T$1) &lt;= FILLME!$G$10, TRUE, FALSE)</f>
        <v>1</v>
      </c>
      <c r="U18" t="b">
        <f>IF(ROW()-ROW($U$1) &lt;= FILLME!$G$11, TRUE, FALSE)</f>
        <v>1</v>
      </c>
    </row>
    <row r="19" spans="1:21" x14ac:dyDescent="0.25">
      <c r="A19" s="7" t="str">
        <f>FILLME!$B$7</f>
        <v>ISCO</v>
      </c>
      <c r="B19" t="str">
        <f>IF(FILLME!$B$3 = "", "", FILLME!$B$3)</f>
        <v/>
      </c>
      <c r="C19" s="67" t="str">
        <f>IF(FILLME!$B$7="ISCO",FILLME!$E$4,IF(FILLME!$B$7="Grab",FILLME!$E$5))</f>
        <v>IS</v>
      </c>
      <c r="D19" t="str">
        <f>IF(FILLME!$B$4 = "", "", FILLME!$B$4)</f>
        <v>SSEMG</v>
      </c>
      <c r="E19" s="7" t="str">
        <f>TEXT(FILLME!$B$6,"yyyymmdd")</f>
        <v>20260223</v>
      </c>
      <c r="F19" s="8">
        <v>0.41666666666666674</v>
      </c>
      <c r="G19" s="7">
        <f>IF(FILLME!$B$7="ISCO",FILLME!$B$6+FILLME!$B$11+(FILLME!$B$13*(H19-FILLME!$B$14)),FILLME!$B$6)</f>
        <v>46078.416666666664</v>
      </c>
      <c r="H19" s="2">
        <v>18</v>
      </c>
      <c r="I19" s="2">
        <v>18</v>
      </c>
      <c r="J19" s="2" t="str">
        <v>STA</v>
      </c>
      <c r="K19" s="9" t="str">
        <f t="shared" si="0"/>
        <v>STA_18</v>
      </c>
      <c r="L19" s="10" t="str">
        <f t="shared" si="1"/>
        <v>SSEMG_STA_20260223_18</v>
      </c>
      <c r="M19" s="10" t="str">
        <f t="shared" si="2"/>
        <v>SSEMG_STA_IS_20260225_1000</v>
      </c>
      <c r="N19" t="b">
        <f>IF(ROW()-ROW($N$1) &lt;= FILLME!$G$4, TRUE, FALSE)</f>
        <v>1</v>
      </c>
      <c r="O19" t="b">
        <f>IF(ROW()-ROW($O$1) &lt;= FILLME!$G$5, TRUE, FALSE)</f>
        <v>0</v>
      </c>
      <c r="P19" t="b">
        <f>IF(ROW()-ROW($P$1) &lt;= FILLME!$G$7, TRUE, FALSE)</f>
        <v>0</v>
      </c>
      <c r="Q19" t="b">
        <f>IF(ROW()-ROW($Q$1) &lt;= FILLME!$G$6, TRUE, FALSE)</f>
        <v>1</v>
      </c>
      <c r="R19" t="b">
        <f>IF(ROW()-ROW($R$1) &lt;= FILLME!$G$8, TRUE, FALSE)</f>
        <v>1</v>
      </c>
      <c r="S19" t="b">
        <f>IF(ROW()-ROW($S$1) &lt;= FILLME!$G$9, TRUE, FALSE)</f>
        <v>1</v>
      </c>
      <c r="T19" t="b">
        <f>IF(ROW()-ROW($T$1) &lt;= FILLME!$G$10, TRUE, FALSE)</f>
        <v>1</v>
      </c>
      <c r="U19" t="b">
        <f>IF(ROW()-ROW($U$1) &lt;= FILLME!$G$11, TRUE, FALSE)</f>
        <v>1</v>
      </c>
    </row>
    <row r="20" spans="1:21" x14ac:dyDescent="0.25">
      <c r="A20" s="7" t="str">
        <f>FILLME!$B$7</f>
        <v>ISCO</v>
      </c>
      <c r="B20" t="str">
        <f>IF(FILLME!$B$3 = "", "", FILLME!$B$3)</f>
        <v/>
      </c>
      <c r="C20" s="67" t="str">
        <f>IF(FILLME!$B$7="ISCO",FILLME!$E$4,IF(FILLME!$B$7="Grab",FILLME!$E$5))</f>
        <v>IS</v>
      </c>
      <c r="D20" t="str">
        <f>IF(FILLME!$B$4 = "", "", FILLME!$B$4)</f>
        <v>SSEMG</v>
      </c>
      <c r="E20" s="7" t="str">
        <f>TEXT(FILLME!$B$6,"yyyymmdd")</f>
        <v>20260223</v>
      </c>
      <c r="F20" s="8">
        <v>0.5</v>
      </c>
      <c r="G20" s="7">
        <f>IF(FILLME!$B$7="ISCO",FILLME!$B$6+FILLME!$B$11+(FILLME!$B$13*(H20-FILLME!$B$14)),FILLME!$B$6)</f>
        <v>46078.5</v>
      </c>
      <c r="H20" s="2">
        <v>19</v>
      </c>
      <c r="I20" s="2">
        <v>19</v>
      </c>
      <c r="J20" s="2" t="str">
        <v>STA</v>
      </c>
      <c r="K20" s="9" t="str">
        <f t="shared" si="0"/>
        <v>STA_19</v>
      </c>
      <c r="L20" s="10" t="str">
        <f t="shared" si="1"/>
        <v>SSEMG_STA_20260223_19</v>
      </c>
      <c r="M20" s="10" t="str">
        <f t="shared" si="2"/>
        <v>SSEMG_STA_IS_20260225_1200</v>
      </c>
      <c r="N20" t="b">
        <f>IF(ROW()-ROW($N$1) &lt;= FILLME!$G$4, TRUE, FALSE)</f>
        <v>1</v>
      </c>
      <c r="O20" t="b">
        <f>IF(ROW()-ROW($O$1) &lt;= FILLME!$G$5, TRUE, FALSE)</f>
        <v>0</v>
      </c>
      <c r="P20" t="b">
        <f>IF(ROW()-ROW($P$1) &lt;= FILLME!$G$7, TRUE, FALSE)</f>
        <v>0</v>
      </c>
      <c r="Q20" t="b">
        <f>IF(ROW()-ROW($Q$1) &lt;= FILLME!$G$6, TRUE, FALSE)</f>
        <v>1</v>
      </c>
      <c r="R20" t="b">
        <f>IF(ROW()-ROW($R$1) &lt;= FILLME!$G$8, TRUE, FALSE)</f>
        <v>1</v>
      </c>
      <c r="S20" t="b">
        <f>IF(ROW()-ROW($S$1) &lt;= FILLME!$G$9, TRUE, FALSE)</f>
        <v>1</v>
      </c>
      <c r="T20" t="b">
        <f>IF(ROW()-ROW($T$1) &lt;= FILLME!$G$10, TRUE, FALSE)</f>
        <v>1</v>
      </c>
      <c r="U20" t="b">
        <f>IF(ROW()-ROW($U$1) &lt;= FILLME!$G$11, TRUE, FALSE)</f>
        <v>1</v>
      </c>
    </row>
    <row r="21" spans="1:21" x14ac:dyDescent="0.25">
      <c r="A21" s="7" t="str">
        <f>FILLME!$B$7</f>
        <v>ISCO</v>
      </c>
      <c r="B21" t="str">
        <f>IF(FILLME!$B$3 = "", "", FILLME!$B$3)</f>
        <v/>
      </c>
      <c r="C21" s="67" t="str">
        <f>IF(FILLME!$B$7="ISCO",FILLME!$E$4,IF(FILLME!$B$7="Grab",FILLME!$E$5))</f>
        <v>IS</v>
      </c>
      <c r="D21" t="str">
        <f>IF(FILLME!$B$4 = "", "", FILLME!$B$4)</f>
        <v>SSEMG</v>
      </c>
      <c r="E21" s="7" t="str">
        <f>TEXT(FILLME!$B$6,"yyyymmdd")</f>
        <v>20260223</v>
      </c>
      <c r="F21" s="8">
        <v>0.58333333333333326</v>
      </c>
      <c r="G21" s="7">
        <f>IF(FILLME!$B$7="ISCO",FILLME!$B$6+FILLME!$B$11+(FILLME!$B$13*(H21-FILLME!$B$14)),FILLME!$B$6)</f>
        <v>46078.583333333336</v>
      </c>
      <c r="H21" s="2">
        <v>20</v>
      </c>
      <c r="I21" s="2">
        <v>20</v>
      </c>
      <c r="J21" s="2" t="str">
        <v>STA</v>
      </c>
      <c r="K21" s="9" t="str">
        <f t="shared" si="0"/>
        <v>STA_20</v>
      </c>
      <c r="L21" s="10" t="str">
        <f t="shared" si="1"/>
        <v>SSEMG_STA_20260223_20</v>
      </c>
      <c r="M21" s="10" t="str">
        <f t="shared" si="2"/>
        <v>SSEMG_STA_IS_20260225_1400</v>
      </c>
      <c r="N21" t="b">
        <f>IF(ROW()-ROW($N$1) &lt;= FILLME!$G$4, TRUE, FALSE)</f>
        <v>1</v>
      </c>
      <c r="O21" t="b">
        <f>IF(ROW()-ROW($O$1) &lt;= FILLME!$G$5, TRUE, FALSE)</f>
        <v>0</v>
      </c>
      <c r="P21" t="b">
        <f>IF(ROW()-ROW($P$1) &lt;= FILLME!$G$7, TRUE, FALSE)</f>
        <v>0</v>
      </c>
      <c r="Q21" t="b">
        <f>IF(ROW()-ROW($Q$1) &lt;= FILLME!$G$6, TRUE, FALSE)</f>
        <v>1</v>
      </c>
      <c r="R21" t="b">
        <f>IF(ROW()-ROW($R$1) &lt;= FILLME!$G$8, TRUE, FALSE)</f>
        <v>1</v>
      </c>
      <c r="S21" t="b">
        <f>IF(ROW()-ROW($S$1) &lt;= FILLME!$G$9, TRUE, FALSE)</f>
        <v>1</v>
      </c>
      <c r="T21" t="b">
        <f>IF(ROW()-ROW($T$1) &lt;= FILLME!$G$10, TRUE, FALSE)</f>
        <v>1</v>
      </c>
      <c r="U21" t="b">
        <f>IF(ROW()-ROW($U$1) &lt;= FILLME!$G$11, TRUE, FALSE)</f>
        <v>1</v>
      </c>
    </row>
    <row r="22" spans="1:21" x14ac:dyDescent="0.25">
      <c r="A22" s="7" t="str">
        <f>FILLME!$B$7</f>
        <v>ISCO</v>
      </c>
      <c r="B22" t="str">
        <f>IF(FILLME!$B$3 = "", "", FILLME!$B$3)</f>
        <v/>
      </c>
      <c r="C22" s="67" t="str">
        <f>IF(FILLME!$B$7="ISCO",FILLME!$E$4,IF(FILLME!$B$7="Grab",FILLME!$E$5))</f>
        <v>IS</v>
      </c>
      <c r="D22" t="str">
        <f>IF(FILLME!$B$4 = "", "", FILLME!$B$4)</f>
        <v>SSEMG</v>
      </c>
      <c r="E22" s="7" t="str">
        <f>TEXT(FILLME!$B$6,"yyyymmdd")</f>
        <v>20260223</v>
      </c>
      <c r="F22" s="8">
        <v>0.66666666666666674</v>
      </c>
      <c r="G22" s="7">
        <f>IF(FILLME!$B$7="ISCO",FILLME!$B$6+FILLME!$B$11+(FILLME!$B$13*(H22-FILLME!$B$14)),FILLME!$B$6)</f>
        <v>46078.666666666664</v>
      </c>
      <c r="H22" s="2">
        <v>21</v>
      </c>
      <c r="I22" s="2">
        <v>21</v>
      </c>
      <c r="J22" s="2" t="str">
        <v>STA</v>
      </c>
      <c r="K22" s="9" t="str">
        <f t="shared" si="0"/>
        <v>STA_21</v>
      </c>
      <c r="L22" s="10" t="str">
        <f t="shared" si="1"/>
        <v>SSEMG_STA_20260223_21</v>
      </c>
      <c r="M22" s="10" t="str">
        <f t="shared" si="2"/>
        <v>SSEMG_STA_IS_20260225_1600</v>
      </c>
      <c r="N22" t="b">
        <f>IF(ROW()-ROW($N$1) &lt;= FILLME!$G$4, TRUE, FALSE)</f>
        <v>1</v>
      </c>
      <c r="O22" t="b">
        <f>IF(ROW()-ROW($O$1) &lt;= FILLME!$G$5, TRUE, FALSE)</f>
        <v>0</v>
      </c>
      <c r="P22" t="b">
        <f>IF(ROW()-ROW($P$1) &lt;= FILLME!$G$7, TRUE, FALSE)</f>
        <v>0</v>
      </c>
      <c r="Q22" t="b">
        <f>IF(ROW()-ROW($Q$1) &lt;= FILLME!$G$6, TRUE, FALSE)</f>
        <v>1</v>
      </c>
      <c r="R22" t="b">
        <f>IF(ROW()-ROW($R$1) &lt;= FILLME!$G$8, TRUE, FALSE)</f>
        <v>1</v>
      </c>
      <c r="S22" t="b">
        <f>IF(ROW()-ROW($S$1) &lt;= FILLME!$G$9, TRUE, FALSE)</f>
        <v>1</v>
      </c>
      <c r="T22" t="b">
        <f>IF(ROW()-ROW($T$1) &lt;= FILLME!$G$10, TRUE, FALSE)</f>
        <v>1</v>
      </c>
      <c r="U22" t="b">
        <f>IF(ROW()-ROW($U$1) &lt;= FILLME!$G$11, TRUE, FALSE)</f>
        <v>1</v>
      </c>
    </row>
    <row r="23" spans="1:21" x14ac:dyDescent="0.25">
      <c r="A23" s="7" t="str">
        <f>FILLME!$B$7</f>
        <v>ISCO</v>
      </c>
      <c r="B23" t="str">
        <f>IF(FILLME!$B$3 = "", "", FILLME!$B$3)</f>
        <v/>
      </c>
      <c r="C23" s="67" t="str">
        <f>IF(FILLME!$B$7="ISCO",FILLME!$E$4,IF(FILLME!$B$7="Grab",FILLME!$E$5))</f>
        <v>IS</v>
      </c>
      <c r="D23" t="str">
        <f>IF(FILLME!$B$4 = "", "", FILLME!$B$4)</f>
        <v>SSEMG</v>
      </c>
      <c r="E23" s="7" t="str">
        <f>TEXT(FILLME!$B$6,"yyyymmdd")</f>
        <v>20260223</v>
      </c>
      <c r="F23" s="8">
        <v>0.75</v>
      </c>
      <c r="G23" s="7">
        <f>IF(FILLME!$B$7="ISCO",FILLME!$B$6+FILLME!$B$11+(FILLME!$B$13*(H23-FILLME!$B$14)),FILLME!$B$6)</f>
        <v>46078.75</v>
      </c>
      <c r="H23" s="2">
        <v>22</v>
      </c>
      <c r="I23" s="2">
        <v>22</v>
      </c>
      <c r="J23" s="2" t="str">
        <v>STA</v>
      </c>
      <c r="K23" s="9" t="str">
        <f t="shared" si="0"/>
        <v>STA_22</v>
      </c>
      <c r="L23" s="10" t="str">
        <f t="shared" si="1"/>
        <v>SSEMG_STA_20260223_22</v>
      </c>
      <c r="M23" s="10" t="str">
        <f t="shared" si="2"/>
        <v>SSEMG_STA_IS_20260225_1800</v>
      </c>
      <c r="N23" t="b">
        <f>IF(ROW()-ROW($N$1) &lt;= FILLME!$G$4, TRUE, FALSE)</f>
        <v>1</v>
      </c>
      <c r="O23" t="b">
        <f>IF(ROW()-ROW($O$1) &lt;= FILLME!$G$5, TRUE, FALSE)</f>
        <v>0</v>
      </c>
      <c r="P23" t="b">
        <f>IF(ROW()-ROW($P$1) &lt;= FILLME!$G$7, TRUE, FALSE)</f>
        <v>0</v>
      </c>
      <c r="Q23" t="b">
        <f>IF(ROW()-ROW($Q$1) &lt;= FILLME!$G$6, TRUE, FALSE)</f>
        <v>1</v>
      </c>
      <c r="R23" t="b">
        <f>IF(ROW()-ROW($R$1) &lt;= FILLME!$G$8, TRUE, FALSE)</f>
        <v>1</v>
      </c>
      <c r="S23" t="b">
        <f>IF(ROW()-ROW($S$1) &lt;= FILLME!$G$9, TRUE, FALSE)</f>
        <v>1</v>
      </c>
      <c r="T23" t="b">
        <f>IF(ROW()-ROW($T$1) &lt;= FILLME!$G$10, TRUE, FALSE)</f>
        <v>1</v>
      </c>
      <c r="U23" t="b">
        <f>IF(ROW()-ROW($U$1) &lt;= FILLME!$G$11, TRUE, FALSE)</f>
        <v>1</v>
      </c>
    </row>
    <row r="24" spans="1:21" x14ac:dyDescent="0.25">
      <c r="A24" s="7" t="str">
        <f>FILLME!$B$7</f>
        <v>ISCO</v>
      </c>
      <c r="B24" t="str">
        <f>IF(FILLME!$B$3 = "", "", FILLME!$B$3)</f>
        <v/>
      </c>
      <c r="C24" s="67" t="str">
        <f>IF(FILLME!$B$7="ISCO",FILLME!$E$4,IF(FILLME!$B$7="Grab",FILLME!$E$5))</f>
        <v>IS</v>
      </c>
      <c r="D24" t="str">
        <f>IF(FILLME!$B$4 = "", "", FILLME!$B$4)</f>
        <v>SSEMG</v>
      </c>
      <c r="E24" s="7" t="str">
        <f>TEXT(FILLME!$B$6,"yyyymmdd")</f>
        <v>20260223</v>
      </c>
      <c r="F24" s="8">
        <v>0.83333333333333326</v>
      </c>
      <c r="G24" s="7">
        <f>IF(FILLME!$B$7="ISCO",FILLME!$B$6+FILLME!$B$11+(FILLME!$B$13*(H24-FILLME!$B$14)),FILLME!$B$6)</f>
        <v>46078.833333333336</v>
      </c>
      <c r="H24" s="2">
        <v>23</v>
      </c>
      <c r="I24" s="2">
        <v>23</v>
      </c>
      <c r="J24" s="2" t="str">
        <v>STA</v>
      </c>
      <c r="K24" s="9" t="str">
        <f t="shared" si="0"/>
        <v>STA_23</v>
      </c>
      <c r="L24" s="10" t="str">
        <f t="shared" si="1"/>
        <v>SSEMG_STA_20260223_23</v>
      </c>
      <c r="M24" s="10" t="str">
        <f t="shared" si="2"/>
        <v>SSEMG_STA_IS_20260225_2000</v>
      </c>
      <c r="N24" t="b">
        <f>IF(ROW()-ROW($N$1) &lt;= FILLME!$G$4, TRUE, FALSE)</f>
        <v>1</v>
      </c>
      <c r="O24" t="b">
        <f>IF(ROW()-ROW($O$1) &lt;= FILLME!$G$5, TRUE, FALSE)</f>
        <v>0</v>
      </c>
      <c r="P24" t="b">
        <f>IF(ROW()-ROW($P$1) &lt;= FILLME!$G$7, TRUE, FALSE)</f>
        <v>0</v>
      </c>
      <c r="Q24" t="b">
        <f>IF(ROW()-ROW($Q$1) &lt;= FILLME!$G$6, TRUE, FALSE)</f>
        <v>1</v>
      </c>
      <c r="R24" t="b">
        <f>IF(ROW()-ROW($R$1) &lt;= FILLME!$G$8, TRUE, FALSE)</f>
        <v>1</v>
      </c>
      <c r="S24" t="b">
        <f>IF(ROW()-ROW($S$1) &lt;= FILLME!$G$9, TRUE, FALSE)</f>
        <v>1</v>
      </c>
      <c r="T24" t="b">
        <f>IF(ROW()-ROW($T$1) &lt;= FILLME!$G$10, TRUE, FALSE)</f>
        <v>1</v>
      </c>
      <c r="U24" t="b">
        <f>IF(ROW()-ROW($U$1) &lt;= FILLME!$G$11, TRUE, FALSE)</f>
        <v>1</v>
      </c>
    </row>
    <row r="25" spans="1:21" x14ac:dyDescent="0.25">
      <c r="A25" s="7" t="str">
        <f>FILLME!$B$7</f>
        <v>ISCO</v>
      </c>
      <c r="B25" t="str">
        <f>IF(FILLME!$B$3 = "", "", FILLME!$B$3)</f>
        <v/>
      </c>
      <c r="C25" s="67" t="str">
        <f>IF(FILLME!$B$7="ISCO",FILLME!$E$4,IF(FILLME!$B$7="Grab",FILLME!$E$5))</f>
        <v>IS</v>
      </c>
      <c r="D25" t="str">
        <f>IF(FILLME!$B$4 = "", "", FILLME!$B$4)</f>
        <v>SSEMG</v>
      </c>
      <c r="E25" s="7" t="str">
        <f>TEXT(FILLME!$B$6,"yyyymmdd")</f>
        <v>20260223</v>
      </c>
      <c r="F25" s="8">
        <v>0.91666666666666674</v>
      </c>
      <c r="G25" s="7">
        <f>IF(FILLME!$B$7="ISCO",FILLME!$B$6+FILLME!$B$11+(FILLME!$B$13*(H25-FILLME!$B$14)),FILLME!$B$6)</f>
        <v>46078.916666666664</v>
      </c>
      <c r="H25" s="2">
        <v>24</v>
      </c>
      <c r="I25" s="2">
        <v>24</v>
      </c>
      <c r="J25" s="2" t="str">
        <v>STA</v>
      </c>
      <c r="K25" s="9" t="str">
        <f t="shared" si="0"/>
        <v>STA_24</v>
      </c>
      <c r="L25" s="10" t="str">
        <f t="shared" si="1"/>
        <v>SSEMG_STA_20260223_24</v>
      </c>
      <c r="M25" s="10" t="str">
        <f t="shared" si="2"/>
        <v>SSEMG_STA_IS_20260225_2200</v>
      </c>
      <c r="N25" t="b">
        <f>IF(ROW()-ROW($N$1) &lt;= FILLME!$G$4, TRUE, FALSE)</f>
        <v>1</v>
      </c>
      <c r="O25" t="b">
        <f>IF(ROW()-ROW($O$1) &lt;= FILLME!$G$5, TRUE, FALSE)</f>
        <v>0</v>
      </c>
      <c r="P25" t="b">
        <f>IF(ROW()-ROW($P$1) &lt;= FILLME!$G$7, TRUE, FALSE)</f>
        <v>0</v>
      </c>
      <c r="Q25" t="b">
        <f>IF(ROW()-ROW($Q$1) &lt;= FILLME!$G$6, TRUE, FALSE)</f>
        <v>1</v>
      </c>
      <c r="R25" t="b">
        <f>IF(ROW()-ROW($R$1) &lt;= FILLME!$G$8, TRUE, FALSE)</f>
        <v>1</v>
      </c>
      <c r="S25" t="b">
        <f>IF(ROW()-ROW($S$1) &lt;= FILLME!$G$9, TRUE, FALSE)</f>
        <v>1</v>
      </c>
      <c r="T25" t="b">
        <f>IF(ROW()-ROW($T$1) &lt;= FILLME!$G$10, TRUE, FALSE)</f>
        <v>1</v>
      </c>
      <c r="U25" t="b">
        <f>IF(ROW()-ROW($U$1) &lt;= FILLME!$G$11, TRUE, FALSE)</f>
        <v>1</v>
      </c>
    </row>
    <row r="26" spans="1:21" x14ac:dyDescent="0.25">
      <c r="A26" s="7" t="str">
        <f>FILLME!$B$7</f>
        <v>ISCO</v>
      </c>
      <c r="B26" t="str">
        <f>IF(FILLME!$B$3 = "", "", FILLME!$B$3)</f>
        <v/>
      </c>
      <c r="C26" s="67" t="str">
        <f>IF(FILLME!$B$7="ISCO",FILLME!$E$4,IF(FILLME!$B$7="Grab",FILLME!$E$5))</f>
        <v>IS</v>
      </c>
      <c r="D26" t="str">
        <f>IF(FILLME!$B$4 = "", "", FILLME!$B$4)</f>
        <v>SSEMG</v>
      </c>
      <c r="E26" s="7" t="str">
        <f>TEXT(FILLME!$B$6,"yyyymmdd")</f>
        <v>20260223</v>
      </c>
      <c r="F26" s="8">
        <v>0</v>
      </c>
      <c r="G26" s="7">
        <f>IF(FILLME!$B$7="ISCO",FILLME!$B$6+FILLME!$B$11+(FILLME!$B$13*(H26-FILLME!$B$14)),FILLME!$B$6)</f>
        <v>46079</v>
      </c>
      <c r="H26" s="2">
        <v>25</v>
      </c>
      <c r="I26" s="2">
        <v>1</v>
      </c>
      <c r="J26" s="2" t="str">
        <v>STA</v>
      </c>
      <c r="K26" s="9" t="str">
        <f t="shared" si="0"/>
        <v>STA_25</v>
      </c>
      <c r="L26" s="10" t="str">
        <f t="shared" si="1"/>
        <v>SSEMG_STA_20260223_25</v>
      </c>
      <c r="M26" s="10" t="str">
        <f t="shared" si="2"/>
        <v>SSEMG_STA_IS_20260226_0000</v>
      </c>
      <c r="N26" t="b">
        <f>IF(ROW()-ROW($N$1) &lt;= FILLME!$G$4, TRUE, FALSE)</f>
        <v>1</v>
      </c>
      <c r="O26" t="b">
        <f>IF(ROW()-ROW($O$1) &lt;= FILLME!$G$5, TRUE, FALSE)</f>
        <v>0</v>
      </c>
      <c r="P26" t="b">
        <f>IF(ROW()-ROW($P$1) &lt;= FILLME!$G$7, TRUE, FALSE)</f>
        <v>0</v>
      </c>
      <c r="Q26" t="b">
        <f>IF(ROW()-ROW($Q$1) &lt;= FILLME!$G$6, TRUE, FALSE)</f>
        <v>1</v>
      </c>
      <c r="R26" t="b">
        <f>IF(ROW()-ROW($R$1) &lt;= FILLME!$G$8, TRUE, FALSE)</f>
        <v>1</v>
      </c>
      <c r="S26" t="b">
        <f>IF(ROW()-ROW($S$1) &lt;= FILLME!$G$9, TRUE, FALSE)</f>
        <v>1</v>
      </c>
      <c r="T26" t="b">
        <f>IF(ROW()-ROW($T$1) &lt;= FILLME!$G$10, TRUE, FALSE)</f>
        <v>1</v>
      </c>
      <c r="U26" t="b">
        <f>IF(ROW()-ROW($U$1) &lt;= FILLME!$G$11, TRUE, FALSE)</f>
        <v>1</v>
      </c>
    </row>
    <row r="27" spans="1:21" x14ac:dyDescent="0.25">
      <c r="A27" s="7" t="str">
        <f>FILLME!$B$7</f>
        <v>ISCO</v>
      </c>
      <c r="B27" t="str">
        <f>IF(FILLME!$B$3 = "", "", FILLME!$B$3)</f>
        <v/>
      </c>
      <c r="C27" s="67" t="str">
        <f>IF(FILLME!$B$7="ISCO",FILLME!$E$4,IF(FILLME!$B$7="Grab",FILLME!$E$5))</f>
        <v>IS</v>
      </c>
      <c r="D27" t="str">
        <f>IF(FILLME!$B$4 = "", "", FILLME!$B$4)</f>
        <v>SSEMG</v>
      </c>
      <c r="E27" s="7" t="str">
        <f>TEXT(FILLME!$B$6,"yyyymmdd")</f>
        <v>20260223</v>
      </c>
      <c r="F27" s="8">
        <v>8.3333333333333481E-2</v>
      </c>
      <c r="G27" s="7">
        <f>IF(FILLME!$B$7="ISCO",FILLME!$B$6+FILLME!$B$11+(FILLME!$B$13*(H27-FILLME!$B$14)),FILLME!$B$6)</f>
        <v>46079.083333333336</v>
      </c>
      <c r="H27" s="2">
        <v>26</v>
      </c>
      <c r="I27" s="2">
        <v>2</v>
      </c>
      <c r="J27" s="2" t="str">
        <v>STA</v>
      </c>
      <c r="K27" s="9" t="str">
        <f t="shared" si="0"/>
        <v>STA_26</v>
      </c>
      <c r="L27" s="10" t="str">
        <f t="shared" si="1"/>
        <v>SSEMG_STA_20260223_26</v>
      </c>
      <c r="M27" s="10" t="str">
        <f t="shared" si="2"/>
        <v>SSEMG_STA_IS_20260226_0200</v>
      </c>
      <c r="N27" t="b">
        <f>IF(ROW()-ROW($N$1) &lt;= FILLME!$G$4, TRUE, FALSE)</f>
        <v>1</v>
      </c>
      <c r="O27" t="b">
        <f>IF(ROW()-ROW($O$1) &lt;= FILLME!$G$5, TRUE, FALSE)</f>
        <v>0</v>
      </c>
      <c r="P27" t="b">
        <f>IF(ROW()-ROW($P$1) &lt;= FILLME!$G$7, TRUE, FALSE)</f>
        <v>0</v>
      </c>
      <c r="Q27" t="b">
        <f>IF(ROW()-ROW($Q$1) &lt;= FILLME!$G$6, TRUE, FALSE)</f>
        <v>1</v>
      </c>
      <c r="R27" t="b">
        <f>IF(ROW()-ROW($R$1) &lt;= FILLME!$G$8, TRUE, FALSE)</f>
        <v>1</v>
      </c>
      <c r="S27" t="b">
        <f>IF(ROW()-ROW($S$1) &lt;= FILLME!$G$9, TRUE, FALSE)</f>
        <v>1</v>
      </c>
      <c r="T27" t="b">
        <f>IF(ROW()-ROW($T$1) &lt;= FILLME!$G$10, TRUE, FALSE)</f>
        <v>1</v>
      </c>
      <c r="U27" t="b">
        <f>IF(ROW()-ROW($U$1) &lt;= FILLME!$G$11, TRUE, FALSE)</f>
        <v>1</v>
      </c>
    </row>
    <row r="28" spans="1:21" x14ac:dyDescent="0.25">
      <c r="A28" s="7" t="str">
        <f>FILLME!$B$7</f>
        <v>ISCO</v>
      </c>
      <c r="B28" t="str">
        <f>IF(FILLME!$B$3 = "", "", FILLME!$B$3)</f>
        <v/>
      </c>
      <c r="C28" s="67" t="str">
        <f>IF(FILLME!$B$7="ISCO",FILLME!$E$4,IF(FILLME!$B$7="Grab",FILLME!$E$5))</f>
        <v>IS</v>
      </c>
      <c r="D28" t="str">
        <f>IF(FILLME!$B$4 = "", "", FILLME!$B$4)</f>
        <v>SSEMG</v>
      </c>
      <c r="E28" s="7" t="str">
        <f>TEXT(FILLME!$B$6,"yyyymmdd")</f>
        <v>20260223</v>
      </c>
      <c r="F28" s="8">
        <v>0.16666666666666652</v>
      </c>
      <c r="G28" s="7">
        <f>IF(FILLME!$B$7="ISCO",FILLME!$B$6+FILLME!$B$11+(FILLME!$B$13*(H28-FILLME!$B$14)),FILLME!$B$6)</f>
        <v>46079.166666666664</v>
      </c>
      <c r="H28" s="2">
        <v>27</v>
      </c>
      <c r="I28" s="2">
        <v>3</v>
      </c>
      <c r="J28" s="2" t="str">
        <v>STA</v>
      </c>
      <c r="K28" s="9" t="str">
        <f t="shared" si="0"/>
        <v>STA_27</v>
      </c>
      <c r="L28" s="10" t="str">
        <f t="shared" si="1"/>
        <v>SSEMG_STA_20260223_27</v>
      </c>
      <c r="M28" s="10" t="str">
        <f t="shared" si="2"/>
        <v>SSEMG_STA_IS_20260226_0400</v>
      </c>
      <c r="N28" t="b">
        <f>IF(ROW()-ROW($N$1) &lt;= FILLME!$G$4, TRUE, FALSE)</f>
        <v>1</v>
      </c>
      <c r="O28" t="b">
        <f>IF(ROW()-ROW($O$1) &lt;= FILLME!$G$5, TRUE, FALSE)</f>
        <v>0</v>
      </c>
      <c r="P28" t="b">
        <f>IF(ROW()-ROW($P$1) &lt;= FILLME!$G$7, TRUE, FALSE)</f>
        <v>0</v>
      </c>
      <c r="Q28" t="b">
        <f>IF(ROW()-ROW($Q$1) &lt;= FILLME!$G$6, TRUE, FALSE)</f>
        <v>1</v>
      </c>
      <c r="R28" t="b">
        <f>IF(ROW()-ROW($R$1) &lt;= FILLME!$G$8, TRUE, FALSE)</f>
        <v>1</v>
      </c>
      <c r="S28" t="b">
        <f>IF(ROW()-ROW($S$1) &lt;= FILLME!$G$9, TRUE, FALSE)</f>
        <v>1</v>
      </c>
      <c r="T28" t="b">
        <f>IF(ROW()-ROW($T$1) &lt;= FILLME!$G$10, TRUE, FALSE)</f>
        <v>1</v>
      </c>
      <c r="U28" t="b">
        <f>IF(ROW()-ROW($U$1) &lt;= FILLME!$G$11, TRUE, FALSE)</f>
        <v>1</v>
      </c>
    </row>
    <row r="29" spans="1:21" x14ac:dyDescent="0.25">
      <c r="A29" s="7" t="str">
        <f>FILLME!$B$7</f>
        <v>ISCO</v>
      </c>
      <c r="B29" t="str">
        <f>IF(FILLME!$B$3 = "", "", FILLME!$B$3)</f>
        <v/>
      </c>
      <c r="C29" s="67" t="str">
        <f>IF(FILLME!$B$7="ISCO",FILLME!$E$4,IF(FILLME!$B$7="Grab",FILLME!$E$5))</f>
        <v>IS</v>
      </c>
      <c r="D29" t="str">
        <f>IF(FILLME!$B$4 = "", "", FILLME!$B$4)</f>
        <v>SSEMG</v>
      </c>
      <c r="E29" s="7" t="str">
        <f>TEXT(FILLME!$B$6,"yyyymmdd")</f>
        <v>20260223</v>
      </c>
      <c r="F29" s="8">
        <v>0.25</v>
      </c>
      <c r="G29" s="7">
        <f>IF(FILLME!$B$7="ISCO",FILLME!$B$6+FILLME!$B$11+(FILLME!$B$13*(H29-FILLME!$B$14)),FILLME!$B$6)</f>
        <v>46079.25</v>
      </c>
      <c r="H29" s="2">
        <v>28</v>
      </c>
      <c r="I29" s="2">
        <v>4</v>
      </c>
      <c r="J29" s="2" t="str">
        <v>STA</v>
      </c>
      <c r="K29" s="9" t="str">
        <f t="shared" si="0"/>
        <v>STA_28</v>
      </c>
      <c r="L29" s="10" t="str">
        <f t="shared" si="1"/>
        <v>SSEMG_STA_20260223_28</v>
      </c>
      <c r="M29" s="10" t="str">
        <f t="shared" si="2"/>
        <v>SSEMG_STA_IS_20260226_0600</v>
      </c>
      <c r="N29" t="b">
        <f>IF(ROW()-ROW($N$1) &lt;= FILLME!$G$4, TRUE, FALSE)</f>
        <v>1</v>
      </c>
      <c r="O29" t="b">
        <f>IF(ROW()-ROW($O$1) &lt;= FILLME!$G$5, TRUE, FALSE)</f>
        <v>0</v>
      </c>
      <c r="P29" t="b">
        <f>IF(ROW()-ROW($P$1) &lt;= FILLME!$G$7, TRUE, FALSE)</f>
        <v>0</v>
      </c>
      <c r="Q29" t="b">
        <f>IF(ROW()-ROW($Q$1) &lt;= FILLME!$G$6, TRUE, FALSE)</f>
        <v>1</v>
      </c>
      <c r="R29" t="b">
        <f>IF(ROW()-ROW($R$1) &lt;= FILLME!$G$8, TRUE, FALSE)</f>
        <v>1</v>
      </c>
      <c r="S29" t="b">
        <f>IF(ROW()-ROW($S$1) &lt;= FILLME!$G$9, TRUE, FALSE)</f>
        <v>1</v>
      </c>
      <c r="T29" t="b">
        <f>IF(ROW()-ROW($T$1) &lt;= FILLME!$G$10, TRUE, FALSE)</f>
        <v>1</v>
      </c>
      <c r="U29" t="b">
        <f>IF(ROW()-ROW($U$1) &lt;= FILLME!$G$11, TRUE, FALSE)</f>
        <v>1</v>
      </c>
    </row>
    <row r="30" spans="1:21" x14ac:dyDescent="0.25">
      <c r="A30" s="7" t="str">
        <f>FILLME!$B$7</f>
        <v>ISCO</v>
      </c>
      <c r="B30" t="str">
        <f>IF(FILLME!$B$3 = "", "", FILLME!$B$3)</f>
        <v/>
      </c>
      <c r="C30" s="67" t="str">
        <f>IF(FILLME!$B$7="ISCO",FILLME!$E$4,IF(FILLME!$B$7="Grab",FILLME!$E$5))</f>
        <v>IS</v>
      </c>
      <c r="D30" t="str">
        <f>IF(FILLME!$B$4 = "", "", FILLME!$B$4)</f>
        <v>SSEMG</v>
      </c>
      <c r="E30" s="7" t="str">
        <f>TEXT(FILLME!$B$6,"yyyymmdd")</f>
        <v>20260223</v>
      </c>
      <c r="F30" s="8">
        <v>0.33333333333333348</v>
      </c>
      <c r="G30" s="7">
        <f>IF(FILLME!$B$7="ISCO",FILLME!$B$6+FILLME!$B$11+(FILLME!$B$13*(H30-FILLME!$B$14)),FILLME!$B$6)</f>
        <v>46079.333333333336</v>
      </c>
      <c r="H30" s="2">
        <v>29</v>
      </c>
      <c r="I30" s="2">
        <v>5</v>
      </c>
      <c r="J30" s="2" t="str">
        <v>STA</v>
      </c>
      <c r="K30" s="9" t="str">
        <f t="shared" si="0"/>
        <v>STA_29</v>
      </c>
      <c r="L30" s="10" t="str">
        <f t="shared" si="1"/>
        <v>SSEMG_STA_20260223_29</v>
      </c>
      <c r="M30" s="10" t="str">
        <f t="shared" si="2"/>
        <v>SSEMG_STA_IS_20260226_0800</v>
      </c>
      <c r="N30" t="b">
        <f>IF(ROW()-ROW($N$1) &lt;= FILLME!$G$4, TRUE, FALSE)</f>
        <v>1</v>
      </c>
      <c r="O30" t="b">
        <f>IF(ROW()-ROW($O$1) &lt;= FILLME!$G$5, TRUE, FALSE)</f>
        <v>0</v>
      </c>
      <c r="P30" t="b">
        <f>IF(ROW()-ROW($P$1) &lt;= FILLME!$G$7, TRUE, FALSE)</f>
        <v>0</v>
      </c>
      <c r="Q30" t="b">
        <f>IF(ROW()-ROW($Q$1) &lt;= FILLME!$G$6, TRUE, FALSE)</f>
        <v>1</v>
      </c>
      <c r="R30" t="b">
        <f>IF(ROW()-ROW($R$1) &lt;= FILLME!$G$8, TRUE, FALSE)</f>
        <v>1</v>
      </c>
      <c r="S30" t="b">
        <f>IF(ROW()-ROW($S$1) &lt;= FILLME!$G$9, TRUE, FALSE)</f>
        <v>1</v>
      </c>
      <c r="T30" t="b">
        <f>IF(ROW()-ROW($T$1) &lt;= FILLME!$G$10, TRUE, FALSE)</f>
        <v>1</v>
      </c>
      <c r="U30" t="b">
        <f>IF(ROW()-ROW($U$1) &lt;= FILLME!$G$11, TRUE, FALSE)</f>
        <v>1</v>
      </c>
    </row>
    <row r="31" spans="1:21" x14ac:dyDescent="0.25">
      <c r="A31" s="7" t="str">
        <f>FILLME!$B$7</f>
        <v>ISCO</v>
      </c>
      <c r="B31" t="str">
        <f>IF(FILLME!$B$3 = "", "", FILLME!$B$3)</f>
        <v/>
      </c>
      <c r="C31" s="67" t="str">
        <f>IF(FILLME!$B$7="ISCO",FILLME!$E$4,IF(FILLME!$B$7="Grab",FILLME!$E$5))</f>
        <v>IS</v>
      </c>
      <c r="D31" t="str">
        <f>IF(FILLME!$B$4 = "", "", FILLME!$B$4)</f>
        <v>SSEMG</v>
      </c>
      <c r="E31" s="7" t="str">
        <f>TEXT(FILLME!$B$6,"yyyymmdd")</f>
        <v>20260223</v>
      </c>
      <c r="F31" s="8">
        <v>0.41666666666666652</v>
      </c>
      <c r="G31" s="7">
        <f>IF(FILLME!$B$7="ISCO",FILLME!$B$6+FILLME!$B$11+(FILLME!$B$13*(H31-FILLME!$B$14)),FILLME!$B$6)</f>
        <v>46079.416666666664</v>
      </c>
      <c r="H31" s="2">
        <v>30</v>
      </c>
      <c r="I31" s="2">
        <v>6</v>
      </c>
      <c r="J31" s="2" t="str">
        <v>STA</v>
      </c>
      <c r="K31" s="9" t="str">
        <f t="shared" si="0"/>
        <v>STA_30</v>
      </c>
      <c r="L31" s="10" t="str">
        <f t="shared" si="1"/>
        <v>SSEMG_STA_20260223_30</v>
      </c>
      <c r="M31" s="10" t="str">
        <f t="shared" si="2"/>
        <v>SSEMG_STA_IS_20260226_1000</v>
      </c>
      <c r="N31" t="b">
        <f>IF(ROW()-ROW($N$1) &lt;= FILLME!$G$4, TRUE, FALSE)</f>
        <v>1</v>
      </c>
      <c r="O31" t="b">
        <f>IF(ROW()-ROW($O$1) &lt;= FILLME!$G$5, TRUE, FALSE)</f>
        <v>0</v>
      </c>
      <c r="P31" t="b">
        <f>IF(ROW()-ROW($P$1) &lt;= FILLME!$G$7, TRUE, FALSE)</f>
        <v>0</v>
      </c>
      <c r="Q31" t="b">
        <f>IF(ROW()-ROW($Q$1) &lt;= FILLME!$G$6, TRUE, FALSE)</f>
        <v>1</v>
      </c>
      <c r="R31" t="b">
        <f>IF(ROW()-ROW($R$1) &lt;= FILLME!$G$8, TRUE, FALSE)</f>
        <v>1</v>
      </c>
      <c r="S31" t="b">
        <f>IF(ROW()-ROW($S$1) &lt;= FILLME!$G$9, TRUE, FALSE)</f>
        <v>1</v>
      </c>
      <c r="T31" t="b">
        <f>IF(ROW()-ROW($T$1) &lt;= FILLME!$G$10, TRUE, FALSE)</f>
        <v>1</v>
      </c>
      <c r="U31" t="b">
        <f>IF(ROW()-ROW($U$1) &lt;= FILLME!$G$11, TRUE, FALSE)</f>
        <v>1</v>
      </c>
    </row>
    <row r="32" spans="1:21" x14ac:dyDescent="0.25">
      <c r="A32" s="7" t="str">
        <f>FILLME!$B$7</f>
        <v>ISCO</v>
      </c>
      <c r="B32" t="str">
        <f>IF(FILLME!$B$3 = "", "", FILLME!$B$3)</f>
        <v/>
      </c>
      <c r="C32" s="67" t="str">
        <f>IF(FILLME!$B$7="ISCO",FILLME!$E$4,IF(FILLME!$B$7="Grab",FILLME!$E$5))</f>
        <v>IS</v>
      </c>
      <c r="D32" t="str">
        <f>IF(FILLME!$B$4 = "", "", FILLME!$B$4)</f>
        <v>SSEMG</v>
      </c>
      <c r="E32" s="7" t="str">
        <f>TEXT(FILLME!$B$6,"yyyymmdd")</f>
        <v>20260223</v>
      </c>
      <c r="F32" s="8">
        <v>0.5</v>
      </c>
      <c r="G32" s="7">
        <f>IF(FILLME!$B$7="ISCO",FILLME!$B$6+FILLME!$B$11+(FILLME!$B$13*(H32-FILLME!$B$14)),FILLME!$B$6)</f>
        <v>46079.5</v>
      </c>
      <c r="H32" s="2">
        <v>31</v>
      </c>
      <c r="I32" s="2">
        <v>7</v>
      </c>
      <c r="J32" s="2" t="str">
        <v>STA</v>
      </c>
      <c r="K32" s="9" t="str">
        <f t="shared" si="0"/>
        <v>STA_31</v>
      </c>
      <c r="L32" s="10" t="str">
        <f t="shared" si="1"/>
        <v>SSEMG_STA_20260223_31</v>
      </c>
      <c r="M32" s="10" t="str">
        <f t="shared" si="2"/>
        <v>SSEMG_STA_IS_20260226_1200</v>
      </c>
      <c r="N32" t="b">
        <f>IF(ROW()-ROW($N$1) &lt;= FILLME!$G$4, TRUE, FALSE)</f>
        <v>1</v>
      </c>
      <c r="O32" t="b">
        <f>IF(ROW()-ROW($O$1) &lt;= FILLME!$G$5, TRUE, FALSE)</f>
        <v>0</v>
      </c>
      <c r="P32" t="b">
        <f>IF(ROW()-ROW($P$1) &lt;= FILLME!$G$7, TRUE, FALSE)</f>
        <v>0</v>
      </c>
      <c r="Q32" t="b">
        <f>IF(ROW()-ROW($Q$1) &lt;= FILLME!$G$6, TRUE, FALSE)</f>
        <v>1</v>
      </c>
      <c r="R32" t="b">
        <f>IF(ROW()-ROW($R$1) &lt;= FILLME!$G$8, TRUE, FALSE)</f>
        <v>1</v>
      </c>
      <c r="S32" t="b">
        <f>IF(ROW()-ROW($S$1) &lt;= FILLME!$G$9, TRUE, FALSE)</f>
        <v>1</v>
      </c>
      <c r="T32" t="b">
        <f>IF(ROW()-ROW($T$1) &lt;= FILLME!$G$10, TRUE, FALSE)</f>
        <v>1</v>
      </c>
      <c r="U32" t="b">
        <f>IF(ROW()-ROW($U$1) &lt;= FILLME!$G$11, TRUE, FALSE)</f>
        <v>1</v>
      </c>
    </row>
    <row r="33" spans="1:21" x14ac:dyDescent="0.25">
      <c r="A33" s="7" t="str">
        <f>FILLME!$B$7</f>
        <v>ISCO</v>
      </c>
      <c r="B33" t="str">
        <f>IF(FILLME!$B$3 = "", "", FILLME!$B$3)</f>
        <v/>
      </c>
      <c r="C33" s="67" t="str">
        <f>IF(FILLME!$B$7="ISCO",FILLME!$E$4,IF(FILLME!$B$7="Grab",FILLME!$E$5))</f>
        <v>IS</v>
      </c>
      <c r="D33" t="str">
        <f>IF(FILLME!$B$4 = "", "", FILLME!$B$4)</f>
        <v>SSEMG</v>
      </c>
      <c r="E33" s="7" t="str">
        <f>TEXT(FILLME!$B$6,"yyyymmdd")</f>
        <v>20260223</v>
      </c>
      <c r="F33" s="8">
        <v>0.58333333333333348</v>
      </c>
      <c r="G33" s="7">
        <f>IF(FILLME!$B$7="ISCO",FILLME!$B$6+FILLME!$B$11+(FILLME!$B$13*(H33-FILLME!$B$14)),FILLME!$B$6)</f>
        <v>46079.583333333336</v>
      </c>
      <c r="H33" s="2">
        <v>32</v>
      </c>
      <c r="I33" s="2">
        <v>8</v>
      </c>
      <c r="J33" s="2" t="str">
        <v>STA</v>
      </c>
      <c r="K33" s="9" t="str">
        <f t="shared" si="0"/>
        <v>STA_32</v>
      </c>
      <c r="L33" s="10" t="str">
        <f t="shared" si="1"/>
        <v>SSEMG_STA_20260223_32</v>
      </c>
      <c r="M33" s="10" t="str">
        <f t="shared" si="2"/>
        <v>SSEMG_STA_IS_20260226_1400</v>
      </c>
      <c r="N33" t="b">
        <f>IF(ROW()-ROW($N$1) &lt;= FILLME!$G$4, TRUE, FALSE)</f>
        <v>1</v>
      </c>
      <c r="O33" t="b">
        <f>IF(ROW()-ROW($O$1) &lt;= FILLME!$G$5, TRUE, FALSE)</f>
        <v>0</v>
      </c>
      <c r="P33" t="b">
        <f>IF(ROW()-ROW($P$1) &lt;= FILLME!$G$7, TRUE, FALSE)</f>
        <v>0</v>
      </c>
      <c r="Q33" t="b">
        <f>IF(ROW()-ROW($Q$1) &lt;= FILLME!$G$6, TRUE, FALSE)</f>
        <v>1</v>
      </c>
      <c r="R33" t="b">
        <f>IF(ROW()-ROW($R$1) &lt;= FILLME!$G$8, TRUE, FALSE)</f>
        <v>1</v>
      </c>
      <c r="S33" t="b">
        <f>IF(ROW()-ROW($S$1) &lt;= FILLME!$G$9, TRUE, FALSE)</f>
        <v>1</v>
      </c>
      <c r="T33" t="b">
        <f>IF(ROW()-ROW($T$1) &lt;= FILLME!$G$10, TRUE, FALSE)</f>
        <v>1</v>
      </c>
      <c r="U33" t="b">
        <f>IF(ROW()-ROW($U$1) &lt;= FILLME!$G$11, TRUE, FALSE)</f>
        <v>1</v>
      </c>
    </row>
    <row r="34" spans="1:21" x14ac:dyDescent="0.25">
      <c r="A34" s="7" t="str">
        <f>FILLME!$B$7</f>
        <v>ISCO</v>
      </c>
      <c r="B34" t="str">
        <f>IF(FILLME!$B$3 = "", "", FILLME!$B$3)</f>
        <v/>
      </c>
      <c r="C34" s="67" t="str">
        <f>IF(FILLME!$B$7="ISCO",FILLME!$E$4,IF(FILLME!$B$7="Grab",FILLME!$E$5))</f>
        <v>IS</v>
      </c>
      <c r="D34" t="str">
        <f>IF(FILLME!$B$4 = "", "", FILLME!$B$4)</f>
        <v>SSEMG</v>
      </c>
      <c r="E34" s="7" t="str">
        <f>TEXT(FILLME!$B$6,"yyyymmdd")</f>
        <v>20260223</v>
      </c>
      <c r="F34" s="8">
        <v>0.66666666666666652</v>
      </c>
      <c r="G34" s="7">
        <f>IF(FILLME!$B$7="ISCO",FILLME!$B$6+FILLME!$B$11+(FILLME!$B$13*(H34-FILLME!$B$14)),FILLME!$B$6)</f>
        <v>46079.666666666664</v>
      </c>
      <c r="H34" s="2">
        <v>33</v>
      </c>
      <c r="I34" s="2">
        <v>9</v>
      </c>
      <c r="J34" s="2" t="str">
        <v>STA</v>
      </c>
      <c r="K34" s="9" t="str">
        <f t="shared" si="0"/>
        <v>STA_33</v>
      </c>
      <c r="L34" s="10" t="str">
        <f t="shared" si="1"/>
        <v>SSEMG_STA_20260223_33</v>
      </c>
      <c r="M34" s="10" t="str">
        <f t="shared" si="2"/>
        <v>SSEMG_STA_IS_20260226_1600</v>
      </c>
      <c r="N34" t="b">
        <f>IF(ROW()-ROW($N$1) &lt;= FILLME!$G$4, TRUE, FALSE)</f>
        <v>1</v>
      </c>
      <c r="O34" t="b">
        <f>IF(ROW()-ROW($O$1) &lt;= FILLME!$G$5, TRUE, FALSE)</f>
        <v>0</v>
      </c>
      <c r="P34" t="b">
        <f>IF(ROW()-ROW($P$1) &lt;= FILLME!$G$7, TRUE, FALSE)</f>
        <v>0</v>
      </c>
      <c r="Q34" t="b">
        <f>IF(ROW()-ROW($Q$1) &lt;= FILLME!$G$6, TRUE, FALSE)</f>
        <v>1</v>
      </c>
      <c r="R34" t="b">
        <f>IF(ROW()-ROW($R$1) &lt;= FILLME!$G$8, TRUE, FALSE)</f>
        <v>1</v>
      </c>
      <c r="S34" t="b">
        <f>IF(ROW()-ROW($S$1) &lt;= FILLME!$G$9, TRUE, FALSE)</f>
        <v>1</v>
      </c>
      <c r="T34" t="b">
        <f>IF(ROW()-ROW($T$1) &lt;= FILLME!$G$10, TRUE, FALSE)</f>
        <v>1</v>
      </c>
      <c r="U34" t="b">
        <f>IF(ROW()-ROW($U$1) &lt;= FILLME!$G$11, TRUE, FALSE)</f>
        <v>1</v>
      </c>
    </row>
    <row r="35" spans="1:21" x14ac:dyDescent="0.25">
      <c r="A35" s="7" t="str">
        <f>FILLME!$B$7</f>
        <v>ISCO</v>
      </c>
      <c r="B35" t="str">
        <f>IF(FILLME!$B$3 = "", "", FILLME!$B$3)</f>
        <v/>
      </c>
      <c r="C35" s="67" t="str">
        <f>IF(FILLME!$B$7="ISCO",FILLME!$E$4,IF(FILLME!$B$7="Grab",FILLME!$E$5))</f>
        <v>IS</v>
      </c>
      <c r="D35" t="str">
        <f>IF(FILLME!$B$4 = "", "", FILLME!$B$4)</f>
        <v>SSEMG</v>
      </c>
      <c r="E35" s="7" t="str">
        <f>TEXT(FILLME!$B$6,"yyyymmdd")</f>
        <v>20260223</v>
      </c>
      <c r="F35" s="8">
        <v>0.75</v>
      </c>
      <c r="G35" s="7">
        <f>IF(FILLME!$B$7="ISCO",FILLME!$B$6+FILLME!$B$11+(FILLME!$B$13*(H35-FILLME!$B$14)),FILLME!$B$6)</f>
        <v>46079.75</v>
      </c>
      <c r="H35" s="2">
        <v>34</v>
      </c>
      <c r="I35" s="2">
        <v>10</v>
      </c>
      <c r="J35" s="2" t="str">
        <v>STA</v>
      </c>
      <c r="K35" s="9" t="str">
        <f t="shared" si="0"/>
        <v>STA_34</v>
      </c>
      <c r="L35" s="10" t="str">
        <f t="shared" si="1"/>
        <v>SSEMG_STA_20260223_34</v>
      </c>
      <c r="M35" s="10" t="str">
        <f t="shared" si="2"/>
        <v>SSEMG_STA_IS_20260226_1800</v>
      </c>
      <c r="N35" t="b">
        <f>IF(ROW()-ROW($N$1) &lt;= FILLME!$G$4, TRUE, FALSE)</f>
        <v>1</v>
      </c>
      <c r="O35" t="b">
        <f>IF(ROW()-ROW($O$1) &lt;= FILLME!$G$5, TRUE, FALSE)</f>
        <v>0</v>
      </c>
      <c r="P35" t="b">
        <f>IF(ROW()-ROW($P$1) &lt;= FILLME!$G$7, TRUE, FALSE)</f>
        <v>0</v>
      </c>
      <c r="Q35" t="b">
        <f>IF(ROW()-ROW($Q$1) &lt;= FILLME!$G$6, TRUE, FALSE)</f>
        <v>1</v>
      </c>
      <c r="R35" t="b">
        <f>IF(ROW()-ROW($R$1) &lt;= FILLME!$G$8, TRUE, FALSE)</f>
        <v>1</v>
      </c>
      <c r="S35" t="b">
        <f>IF(ROW()-ROW($S$1) &lt;= FILLME!$G$9, TRUE, FALSE)</f>
        <v>1</v>
      </c>
      <c r="T35" t="b">
        <f>IF(ROW()-ROW($T$1) &lt;= FILLME!$G$10, TRUE, FALSE)</f>
        <v>1</v>
      </c>
      <c r="U35" t="b">
        <f>IF(ROW()-ROW($U$1) &lt;= FILLME!$G$11, TRUE, FALSE)</f>
        <v>1</v>
      </c>
    </row>
    <row r="36" spans="1:21" x14ac:dyDescent="0.25">
      <c r="A36" s="7" t="str">
        <f>FILLME!$B$7</f>
        <v>ISCO</v>
      </c>
      <c r="B36" t="str">
        <f>IF(FILLME!$B$3 = "", "", FILLME!$B$3)</f>
        <v/>
      </c>
      <c r="C36" s="67" t="str">
        <f>IF(FILLME!$B$7="ISCO",FILLME!$E$4,IF(FILLME!$B$7="Grab",FILLME!$E$5))</f>
        <v>IS</v>
      </c>
      <c r="D36" t="str">
        <f>IF(FILLME!$B$4 = "", "", FILLME!$B$4)</f>
        <v>SSEMG</v>
      </c>
      <c r="E36" s="7" t="str">
        <f>TEXT(FILLME!$B$6,"yyyymmdd")</f>
        <v>20260223</v>
      </c>
      <c r="F36" s="8">
        <v>0.83333333333333348</v>
      </c>
      <c r="G36" s="7">
        <f>IF(FILLME!$B$7="ISCO",FILLME!$B$6+FILLME!$B$11+(FILLME!$B$13*(H36-FILLME!$B$14)),FILLME!$B$6)</f>
        <v>46079.833333333336</v>
      </c>
      <c r="H36" s="2">
        <v>35</v>
      </c>
      <c r="I36" s="2">
        <v>11</v>
      </c>
      <c r="J36" s="2" t="str">
        <v>STA</v>
      </c>
      <c r="K36" s="9" t="str">
        <f t="shared" si="0"/>
        <v>STA_35</v>
      </c>
      <c r="L36" s="10" t="str">
        <f t="shared" si="1"/>
        <v>SSEMG_STA_20260223_35</v>
      </c>
      <c r="M36" s="10" t="str">
        <f t="shared" si="2"/>
        <v>SSEMG_STA_IS_20260226_2000</v>
      </c>
      <c r="N36" t="b">
        <f>IF(ROW()-ROW($N$1) &lt;= FILLME!$G$4, TRUE, FALSE)</f>
        <v>1</v>
      </c>
      <c r="O36" t="b">
        <f>IF(ROW()-ROW($O$1) &lt;= FILLME!$G$5, TRUE, FALSE)</f>
        <v>0</v>
      </c>
      <c r="P36" t="b">
        <f>IF(ROW()-ROW($P$1) &lt;= FILLME!$G$7, TRUE, FALSE)</f>
        <v>0</v>
      </c>
      <c r="Q36" t="b">
        <f>IF(ROW()-ROW($Q$1) &lt;= FILLME!$G$6, TRUE, FALSE)</f>
        <v>1</v>
      </c>
      <c r="R36" t="b">
        <f>IF(ROW()-ROW($R$1) &lt;= FILLME!$G$8, TRUE, FALSE)</f>
        <v>1</v>
      </c>
      <c r="S36" t="b">
        <f>IF(ROW()-ROW($S$1) &lt;= FILLME!$G$9, TRUE, FALSE)</f>
        <v>1</v>
      </c>
      <c r="T36" t="b">
        <f>IF(ROW()-ROW($T$1) &lt;= FILLME!$G$10, TRUE, FALSE)</f>
        <v>1</v>
      </c>
      <c r="U36" t="b">
        <f>IF(ROW()-ROW($U$1) &lt;= FILLME!$G$11, TRUE, FALSE)</f>
        <v>1</v>
      </c>
    </row>
    <row r="37" spans="1:21" x14ac:dyDescent="0.25">
      <c r="A37" s="7" t="str">
        <f>FILLME!$B$7</f>
        <v>ISCO</v>
      </c>
      <c r="B37" t="str">
        <f>IF(FILLME!$B$3 = "", "", FILLME!$B$3)</f>
        <v/>
      </c>
      <c r="C37" s="67" t="str">
        <f>IF(FILLME!$B$7="ISCO",FILLME!$E$4,IF(FILLME!$B$7="Grab",FILLME!$E$5))</f>
        <v>IS</v>
      </c>
      <c r="D37" t="str">
        <f>IF(FILLME!$B$4 = "", "", FILLME!$B$4)</f>
        <v>SSEMG</v>
      </c>
      <c r="E37" s="7" t="str">
        <f>TEXT(FILLME!$B$6,"yyyymmdd")</f>
        <v>20260223</v>
      </c>
      <c r="F37" s="8">
        <v>0.91666666666666652</v>
      </c>
      <c r="G37" s="7">
        <f>IF(FILLME!$B$7="ISCO",FILLME!$B$6+FILLME!$B$11+(FILLME!$B$13*(H37-FILLME!$B$14)),FILLME!$B$6)</f>
        <v>46079.916666666664</v>
      </c>
      <c r="H37" s="2">
        <v>36</v>
      </c>
      <c r="I37" s="2">
        <v>12</v>
      </c>
      <c r="J37" s="2" t="str">
        <v>STA</v>
      </c>
      <c r="K37" s="9" t="str">
        <f t="shared" si="0"/>
        <v>STA_36</v>
      </c>
      <c r="L37" s="10" t="str">
        <f t="shared" si="1"/>
        <v>SSEMG_STA_20260223_36</v>
      </c>
      <c r="M37" s="10" t="str">
        <f t="shared" si="2"/>
        <v>SSEMG_STA_IS_20260226_2200</v>
      </c>
      <c r="N37" t="b">
        <f>IF(ROW()-ROW($N$1) &lt;= FILLME!$G$4, TRUE, FALSE)</f>
        <v>1</v>
      </c>
      <c r="O37" t="b">
        <f>IF(ROW()-ROW($O$1) &lt;= FILLME!$G$5, TRUE, FALSE)</f>
        <v>0</v>
      </c>
      <c r="P37" t="b">
        <f>IF(ROW()-ROW($P$1) &lt;= FILLME!$G$7, TRUE, FALSE)</f>
        <v>0</v>
      </c>
      <c r="Q37" t="b">
        <f>IF(ROW()-ROW($Q$1) &lt;= FILLME!$G$6, TRUE, FALSE)</f>
        <v>1</v>
      </c>
      <c r="R37" t="b">
        <f>IF(ROW()-ROW($R$1) &lt;= FILLME!$G$8, TRUE, FALSE)</f>
        <v>1</v>
      </c>
      <c r="S37" t="b">
        <f>IF(ROW()-ROW($S$1) &lt;= FILLME!$G$9, TRUE, FALSE)</f>
        <v>1</v>
      </c>
      <c r="T37" t="b">
        <f>IF(ROW()-ROW($T$1) &lt;= FILLME!$G$10, TRUE, FALSE)</f>
        <v>1</v>
      </c>
      <c r="U37" t="b">
        <f>IF(ROW()-ROW($U$1) &lt;= FILLME!$G$11, TRUE, FALSE)</f>
        <v>1</v>
      </c>
    </row>
    <row r="38" spans="1:21" x14ac:dyDescent="0.25">
      <c r="A38" s="7" t="str">
        <f>FILLME!$B$7</f>
        <v>ISCO</v>
      </c>
      <c r="B38" t="str">
        <f>IF(FILLME!$B$3 = "", "", FILLME!$B$3)</f>
        <v/>
      </c>
      <c r="C38" s="67" t="str">
        <f>IF(FILLME!$B$7="ISCO",FILLME!$E$4,IF(FILLME!$B$7="Grab",FILLME!$E$5))</f>
        <v>IS</v>
      </c>
      <c r="D38" t="str">
        <f>IF(FILLME!$B$4 = "", "", FILLME!$B$4)</f>
        <v>SSEMG</v>
      </c>
      <c r="E38" s="7" t="str">
        <f>TEXT(FILLME!$B$6,"yyyymmdd")</f>
        <v>20260223</v>
      </c>
      <c r="F38" s="8">
        <v>0</v>
      </c>
      <c r="G38" s="7">
        <f>IF(FILLME!$B$7="ISCO",FILLME!$B$6+FILLME!$B$11+(FILLME!$B$13*(H38-FILLME!$B$14)),FILLME!$B$6)</f>
        <v>46080</v>
      </c>
      <c r="H38" s="2">
        <v>37</v>
      </c>
      <c r="I38" s="2">
        <v>13</v>
      </c>
      <c r="J38" s="2" t="str">
        <v>STA</v>
      </c>
      <c r="K38" s="9" t="str">
        <f t="shared" si="0"/>
        <v>STA_37</v>
      </c>
      <c r="L38" s="10" t="str">
        <f t="shared" si="1"/>
        <v>SSEMG_STA_20260223_37</v>
      </c>
      <c r="M38" s="10" t="str">
        <f t="shared" si="2"/>
        <v>SSEMG_STA_IS_20260227_0000</v>
      </c>
      <c r="N38" t="b">
        <f>IF(ROW()-ROW($N$1) &lt;= FILLME!$G$4, TRUE, FALSE)</f>
        <v>1</v>
      </c>
      <c r="O38" t="b">
        <f>IF(ROW()-ROW($O$1) &lt;= FILLME!$G$5, TRUE, FALSE)</f>
        <v>0</v>
      </c>
      <c r="P38" t="b">
        <f>IF(ROW()-ROW($P$1) &lt;= FILLME!$G$7, TRUE, FALSE)</f>
        <v>0</v>
      </c>
      <c r="Q38" t="b">
        <f>IF(ROW()-ROW($Q$1) &lt;= FILLME!$G$6, TRUE, FALSE)</f>
        <v>1</v>
      </c>
      <c r="R38" t="b">
        <f>IF(ROW()-ROW($R$1) &lt;= FILLME!$G$8, TRUE, FALSE)</f>
        <v>1</v>
      </c>
      <c r="S38" t="b">
        <f>IF(ROW()-ROW($S$1) &lt;= FILLME!$G$9, TRUE, FALSE)</f>
        <v>1</v>
      </c>
      <c r="T38" t="b">
        <f>IF(ROW()-ROW($T$1) &lt;= FILLME!$G$10, TRUE, FALSE)</f>
        <v>1</v>
      </c>
      <c r="U38" t="b">
        <f>IF(ROW()-ROW($U$1) &lt;= FILLME!$G$11, TRUE, FALSE)</f>
        <v>1</v>
      </c>
    </row>
    <row r="39" spans="1:21" x14ac:dyDescent="0.25">
      <c r="A39" s="7" t="str">
        <f>FILLME!$B$7</f>
        <v>ISCO</v>
      </c>
      <c r="B39" t="str">
        <f>IF(FILLME!$B$3 = "", "", FILLME!$B$3)</f>
        <v/>
      </c>
      <c r="C39" s="67" t="str">
        <f>IF(FILLME!$B$7="ISCO",FILLME!$E$4,IF(FILLME!$B$7="Grab",FILLME!$E$5))</f>
        <v>IS</v>
      </c>
      <c r="D39" t="str">
        <f>IF(FILLME!$B$4 = "", "", FILLME!$B$4)</f>
        <v>SSEMG</v>
      </c>
      <c r="E39" s="7" t="str">
        <f>TEXT(FILLME!$B$6,"yyyymmdd")</f>
        <v>20260223</v>
      </c>
      <c r="F39" s="8">
        <v>8.3333333333333481E-2</v>
      </c>
      <c r="G39" s="7">
        <f>IF(FILLME!$B$7="ISCO",FILLME!$B$6+FILLME!$B$11+(FILLME!$B$13*(H39-FILLME!$B$14)),FILLME!$B$6)</f>
        <v>46080.083333333336</v>
      </c>
      <c r="H39" s="2">
        <v>38</v>
      </c>
      <c r="I39" s="2">
        <v>14</v>
      </c>
      <c r="J39" s="2" t="str">
        <v>STA</v>
      </c>
      <c r="K39" s="9" t="str">
        <f t="shared" si="0"/>
        <v>STA_38</v>
      </c>
      <c r="L39" s="10" t="str">
        <f t="shared" si="1"/>
        <v>SSEMG_STA_20260223_38</v>
      </c>
      <c r="M39" s="10" t="str">
        <f t="shared" si="2"/>
        <v>SSEMG_STA_IS_20260227_0200</v>
      </c>
      <c r="N39" t="b">
        <f>IF(ROW()-ROW($N$1) &lt;= FILLME!$G$4, TRUE, FALSE)</f>
        <v>1</v>
      </c>
      <c r="O39" t="b">
        <f>IF(ROW()-ROW($O$1) &lt;= FILLME!$G$5, TRUE, FALSE)</f>
        <v>0</v>
      </c>
      <c r="P39" t="b">
        <f>IF(ROW()-ROW($P$1) &lt;= FILLME!$G$7, TRUE, FALSE)</f>
        <v>0</v>
      </c>
      <c r="Q39" t="b">
        <f>IF(ROW()-ROW($Q$1) &lt;= FILLME!$G$6, TRUE, FALSE)</f>
        <v>1</v>
      </c>
      <c r="R39" t="b">
        <f>IF(ROW()-ROW($R$1) &lt;= FILLME!$G$8, TRUE, FALSE)</f>
        <v>1</v>
      </c>
      <c r="S39" t="b">
        <f>IF(ROW()-ROW($S$1) &lt;= FILLME!$G$9, TRUE, FALSE)</f>
        <v>1</v>
      </c>
      <c r="T39" t="b">
        <f>IF(ROW()-ROW($T$1) &lt;= FILLME!$G$10, TRUE, FALSE)</f>
        <v>1</v>
      </c>
      <c r="U39" t="b">
        <f>IF(ROW()-ROW($U$1) &lt;= FILLME!$G$11, TRUE, FALSE)</f>
        <v>1</v>
      </c>
    </row>
    <row r="40" spans="1:21" x14ac:dyDescent="0.25">
      <c r="A40" s="7" t="str">
        <f>FILLME!$B$7</f>
        <v>ISCO</v>
      </c>
      <c r="B40" t="str">
        <f>IF(FILLME!$B$3 = "", "", FILLME!$B$3)</f>
        <v/>
      </c>
      <c r="C40" s="67" t="str">
        <f>IF(FILLME!$B$7="ISCO",FILLME!$E$4,IF(FILLME!$B$7="Grab",FILLME!$E$5))</f>
        <v>IS</v>
      </c>
      <c r="D40" t="str">
        <f>IF(FILLME!$B$4 = "", "", FILLME!$B$4)</f>
        <v>SSEMG</v>
      </c>
      <c r="E40" s="7" t="str">
        <f>TEXT(FILLME!$B$6,"yyyymmdd")</f>
        <v>20260223</v>
      </c>
      <c r="F40" s="8">
        <v>0.16666666666666652</v>
      </c>
      <c r="G40" s="7">
        <f>IF(FILLME!$B$7="ISCO",FILLME!$B$6+FILLME!$B$11+(FILLME!$B$13*(H40-FILLME!$B$14)),FILLME!$B$6)</f>
        <v>46080.166666666664</v>
      </c>
      <c r="H40" s="2">
        <v>39</v>
      </c>
      <c r="I40" s="2">
        <v>15</v>
      </c>
      <c r="J40" s="2" t="str">
        <v>STA</v>
      </c>
      <c r="K40" s="9" t="str">
        <f t="shared" si="0"/>
        <v>STA_39</v>
      </c>
      <c r="L40" s="10" t="str">
        <f t="shared" si="1"/>
        <v>SSEMG_STA_20260223_39</v>
      </c>
      <c r="M40" s="10" t="str">
        <f t="shared" si="2"/>
        <v>SSEMG_STA_IS_20260227_0400</v>
      </c>
      <c r="N40" t="b">
        <f>IF(ROW()-ROW($N$1) &lt;= FILLME!$G$4, TRUE, FALSE)</f>
        <v>1</v>
      </c>
      <c r="O40" t="b">
        <f>IF(ROW()-ROW($O$1) &lt;= FILLME!$G$5, TRUE, FALSE)</f>
        <v>0</v>
      </c>
      <c r="P40" t="b">
        <f>IF(ROW()-ROW($P$1) &lt;= FILLME!$G$7, TRUE, FALSE)</f>
        <v>0</v>
      </c>
      <c r="Q40" t="b">
        <f>IF(ROW()-ROW($Q$1) &lt;= FILLME!$G$6, TRUE, FALSE)</f>
        <v>1</v>
      </c>
      <c r="R40" t="b">
        <f>IF(ROW()-ROW($R$1) &lt;= FILLME!$G$8, TRUE, FALSE)</f>
        <v>1</v>
      </c>
      <c r="S40" t="b">
        <f>IF(ROW()-ROW($S$1) &lt;= FILLME!$G$9, TRUE, FALSE)</f>
        <v>1</v>
      </c>
      <c r="T40" t="b">
        <f>IF(ROW()-ROW($T$1) &lt;= FILLME!$G$10, TRUE, FALSE)</f>
        <v>1</v>
      </c>
      <c r="U40" t="b">
        <f>IF(ROW()-ROW($U$1) &lt;= FILLME!$G$11, TRUE, FALSE)</f>
        <v>1</v>
      </c>
    </row>
    <row r="41" spans="1:21" x14ac:dyDescent="0.25">
      <c r="A41" s="7" t="str">
        <f>FILLME!$B$7</f>
        <v>ISCO</v>
      </c>
      <c r="B41" t="str">
        <f>IF(FILLME!$B$3 = "", "", FILLME!$B$3)</f>
        <v/>
      </c>
      <c r="C41" s="67" t="str">
        <f>IF(FILLME!$B$7="ISCO",FILLME!$E$4,IF(FILLME!$B$7="Grab",FILLME!$E$5))</f>
        <v>IS</v>
      </c>
      <c r="D41" t="str">
        <f>IF(FILLME!$B$4 = "", "", FILLME!$B$4)</f>
        <v>SSEMG</v>
      </c>
      <c r="E41" s="7" t="str">
        <f>TEXT(FILLME!$B$6,"yyyymmdd")</f>
        <v>20260223</v>
      </c>
      <c r="F41" s="8">
        <v>0.25</v>
      </c>
      <c r="G41" s="7">
        <f>IF(FILLME!$B$7="ISCO",FILLME!$B$6+FILLME!$B$11+(FILLME!$B$13*(H41-FILLME!$B$14)),FILLME!$B$6)</f>
        <v>46080.25</v>
      </c>
      <c r="H41" s="2">
        <v>40</v>
      </c>
      <c r="I41" s="2">
        <v>16</v>
      </c>
      <c r="J41" s="2" t="str">
        <v>STA</v>
      </c>
      <c r="K41" s="9" t="str">
        <f t="shared" si="0"/>
        <v>STA_40</v>
      </c>
      <c r="L41" s="10" t="str">
        <f t="shared" si="1"/>
        <v>SSEMG_STA_20260223_40</v>
      </c>
      <c r="M41" s="10" t="str">
        <f t="shared" si="2"/>
        <v>SSEMG_STA_IS_20260227_0600</v>
      </c>
      <c r="N41" t="b">
        <f>IF(ROW()-ROW($N$1) &lt;= FILLME!$G$4, TRUE, FALSE)</f>
        <v>1</v>
      </c>
      <c r="O41" t="b">
        <f>IF(ROW()-ROW($O$1) &lt;= FILLME!$G$5, TRUE, FALSE)</f>
        <v>0</v>
      </c>
      <c r="P41" t="b">
        <f>IF(ROW()-ROW($P$1) &lt;= FILLME!$G$7, TRUE, FALSE)</f>
        <v>0</v>
      </c>
      <c r="Q41" t="b">
        <f>IF(ROW()-ROW($Q$1) &lt;= FILLME!$G$6, TRUE, FALSE)</f>
        <v>1</v>
      </c>
      <c r="R41" t="b">
        <f>IF(ROW()-ROW($R$1) &lt;= FILLME!$G$8, TRUE, FALSE)</f>
        <v>1</v>
      </c>
      <c r="S41" t="b">
        <f>IF(ROW()-ROW($S$1) &lt;= FILLME!$G$9, TRUE, FALSE)</f>
        <v>1</v>
      </c>
      <c r="T41" t="b">
        <f>IF(ROW()-ROW($T$1) &lt;= FILLME!$G$10, TRUE, FALSE)</f>
        <v>1</v>
      </c>
      <c r="U41" t="b">
        <f>IF(ROW()-ROW($U$1) &lt;= FILLME!$G$11, TRUE, FALSE)</f>
        <v>1</v>
      </c>
    </row>
    <row r="42" spans="1:21" x14ac:dyDescent="0.25">
      <c r="A42" s="7" t="str">
        <f>FILLME!$B$7</f>
        <v>ISCO</v>
      </c>
      <c r="B42" t="str">
        <f>IF(FILLME!$B$3 = "", "", FILLME!$B$3)</f>
        <v/>
      </c>
      <c r="C42" s="67" t="str">
        <f>IF(FILLME!$B$7="ISCO",FILLME!$E$4,IF(FILLME!$B$7="Grab",FILLME!$E$5))</f>
        <v>IS</v>
      </c>
      <c r="D42" t="str">
        <f>IF(FILLME!$B$4 = "", "", FILLME!$B$4)</f>
        <v>SSEMG</v>
      </c>
      <c r="E42" s="7" t="str">
        <f>TEXT(FILLME!$B$6,"yyyymmdd")</f>
        <v>20260223</v>
      </c>
      <c r="F42" s="8">
        <v>0.33333333333333348</v>
      </c>
      <c r="G42" s="7">
        <f>IF(FILLME!$B$7="ISCO",FILLME!$B$6+FILLME!$B$11+(FILLME!$B$13*(H42-FILLME!$B$14)),FILLME!$B$6)</f>
        <v>46080.333333333336</v>
      </c>
      <c r="H42" s="2">
        <v>41</v>
      </c>
      <c r="I42" s="2">
        <v>17</v>
      </c>
      <c r="J42" s="2" t="str">
        <v>STA</v>
      </c>
      <c r="K42" s="9" t="str">
        <f t="shared" si="0"/>
        <v>STA_41</v>
      </c>
      <c r="L42" s="10" t="str">
        <f t="shared" si="1"/>
        <v>SSEMG_STA_20260223_41</v>
      </c>
      <c r="M42" s="10" t="str">
        <f t="shared" si="2"/>
        <v>SSEMG_STA_IS_20260227_0800</v>
      </c>
      <c r="N42" t="b">
        <f>IF(ROW()-ROW($N$1) &lt;= FILLME!$G$4, TRUE, FALSE)</f>
        <v>1</v>
      </c>
      <c r="O42" t="b">
        <f>IF(ROW()-ROW($O$1) &lt;= FILLME!$G$5, TRUE, FALSE)</f>
        <v>0</v>
      </c>
      <c r="P42" t="b">
        <f>IF(ROW()-ROW($P$1) &lt;= FILLME!$G$7, TRUE, FALSE)</f>
        <v>0</v>
      </c>
      <c r="Q42" t="b">
        <f>IF(ROW()-ROW($Q$1) &lt;= FILLME!$G$6, TRUE, FALSE)</f>
        <v>1</v>
      </c>
      <c r="R42" t="b">
        <f>IF(ROW()-ROW($R$1) &lt;= FILLME!$G$8, TRUE, FALSE)</f>
        <v>1</v>
      </c>
      <c r="S42" t="b">
        <f>IF(ROW()-ROW($S$1) &lt;= FILLME!$G$9, TRUE, FALSE)</f>
        <v>1</v>
      </c>
      <c r="T42" t="b">
        <f>IF(ROW()-ROW($T$1) &lt;= FILLME!$G$10, TRUE, FALSE)</f>
        <v>1</v>
      </c>
      <c r="U42" t="b">
        <f>IF(ROW()-ROW($U$1) &lt;= FILLME!$G$11, TRUE, FALSE)</f>
        <v>1</v>
      </c>
    </row>
    <row r="43" spans="1:21" x14ac:dyDescent="0.25">
      <c r="A43" s="7" t="str">
        <f>FILLME!$B$7</f>
        <v>ISCO</v>
      </c>
      <c r="B43" t="str">
        <f>IF(FILLME!$B$3 = "", "", FILLME!$B$3)</f>
        <v/>
      </c>
      <c r="C43" s="67" t="str">
        <f>IF(FILLME!$B$7="ISCO",FILLME!$E$4,IF(FILLME!$B$7="Grab",FILLME!$E$5))</f>
        <v>IS</v>
      </c>
      <c r="D43" t="str">
        <f>IF(FILLME!$B$4 = "", "", FILLME!$B$4)</f>
        <v>SSEMG</v>
      </c>
      <c r="E43" s="7" t="str">
        <f>TEXT(FILLME!$B$6,"yyyymmdd")</f>
        <v>20260223</v>
      </c>
      <c r="F43" s="8">
        <v>0.41666666666666652</v>
      </c>
      <c r="G43" s="7">
        <f>IF(FILLME!$B$7="ISCO",FILLME!$B$6+FILLME!$B$11+(FILLME!$B$13*(H43-FILLME!$B$14)),FILLME!$B$6)</f>
        <v>46080.416666666664</v>
      </c>
      <c r="H43" s="2">
        <v>42</v>
      </c>
      <c r="I43" s="2">
        <v>18</v>
      </c>
      <c r="J43" s="2" t="str">
        <v>STA</v>
      </c>
      <c r="K43" s="9" t="str">
        <f t="shared" si="0"/>
        <v>STA_42</v>
      </c>
      <c r="L43" s="10" t="str">
        <f t="shared" si="1"/>
        <v>SSEMG_STA_20260223_42</v>
      </c>
      <c r="M43" s="10" t="str">
        <f t="shared" si="2"/>
        <v>SSEMG_STA_IS_20260227_1000</v>
      </c>
      <c r="N43" t="b">
        <f>IF(ROW()-ROW($N$1) &lt;= FILLME!$G$4, TRUE, FALSE)</f>
        <v>1</v>
      </c>
      <c r="O43" t="b">
        <f>IF(ROW()-ROW($O$1) &lt;= FILLME!$G$5, TRUE, FALSE)</f>
        <v>0</v>
      </c>
      <c r="P43" t="b">
        <f>IF(ROW()-ROW($P$1) &lt;= FILLME!$G$7, TRUE, FALSE)</f>
        <v>0</v>
      </c>
      <c r="Q43" t="b">
        <f>IF(ROW()-ROW($Q$1) &lt;= FILLME!$G$6, TRUE, FALSE)</f>
        <v>1</v>
      </c>
      <c r="R43" t="b">
        <f>IF(ROW()-ROW($R$1) &lt;= FILLME!$G$8, TRUE, FALSE)</f>
        <v>1</v>
      </c>
      <c r="S43" t="b">
        <f>IF(ROW()-ROW($S$1) &lt;= FILLME!$G$9, TRUE, FALSE)</f>
        <v>1</v>
      </c>
      <c r="T43" t="b">
        <f>IF(ROW()-ROW($T$1) &lt;= FILLME!$G$10, TRUE, FALSE)</f>
        <v>1</v>
      </c>
      <c r="U43" t="b">
        <f>IF(ROW()-ROW($U$1) &lt;= FILLME!$G$11, TRUE, FALSE)</f>
        <v>1</v>
      </c>
    </row>
    <row r="44" spans="1:21" x14ac:dyDescent="0.25">
      <c r="A44" s="7" t="str">
        <f>FILLME!$B$7</f>
        <v>ISCO</v>
      </c>
      <c r="B44" t="str">
        <f>IF(FILLME!$B$3 = "", "", FILLME!$B$3)</f>
        <v/>
      </c>
      <c r="C44" s="67" t="str">
        <f>IF(FILLME!$B$7="ISCO",FILLME!$E$4,IF(FILLME!$B$7="Grab",FILLME!$E$5))</f>
        <v>IS</v>
      </c>
      <c r="D44" t="str">
        <f>IF(FILLME!$B$4 = "", "", FILLME!$B$4)</f>
        <v>SSEMG</v>
      </c>
      <c r="E44" s="7" t="str">
        <f>TEXT(FILLME!$B$6,"yyyymmdd")</f>
        <v>20260223</v>
      </c>
      <c r="F44" s="8">
        <v>0.5</v>
      </c>
      <c r="G44" s="7">
        <f>IF(FILLME!$B$7="ISCO",FILLME!$B$6+FILLME!$B$11+(FILLME!$B$13*(H44-FILLME!$B$14)),FILLME!$B$6)</f>
        <v>46080.5</v>
      </c>
      <c r="H44" s="2">
        <v>43</v>
      </c>
      <c r="I44" s="2">
        <v>19</v>
      </c>
      <c r="J44" s="2" t="str">
        <v>STA</v>
      </c>
      <c r="K44" s="9" t="str">
        <f t="shared" si="0"/>
        <v>STA_43</v>
      </c>
      <c r="L44" s="10" t="str">
        <f t="shared" si="1"/>
        <v>SSEMG_STA_20260223_43</v>
      </c>
      <c r="M44" s="10" t="str">
        <f t="shared" si="2"/>
        <v>SSEMG_STA_IS_20260227_1200</v>
      </c>
      <c r="N44" t="b">
        <f>IF(ROW()-ROW($N$1) &lt;= FILLME!$G$4, TRUE, FALSE)</f>
        <v>1</v>
      </c>
      <c r="O44" t="b">
        <f>IF(ROW()-ROW($O$1) &lt;= FILLME!$G$5, TRUE, FALSE)</f>
        <v>0</v>
      </c>
      <c r="P44" t="b">
        <f>IF(ROW()-ROW($P$1) &lt;= FILLME!$G$7, TRUE, FALSE)</f>
        <v>0</v>
      </c>
      <c r="Q44" t="b">
        <f>IF(ROW()-ROW($Q$1) &lt;= FILLME!$G$6, TRUE, FALSE)</f>
        <v>1</v>
      </c>
      <c r="R44" t="b">
        <f>IF(ROW()-ROW($R$1) &lt;= FILLME!$G$8, TRUE, FALSE)</f>
        <v>1</v>
      </c>
      <c r="S44" t="b">
        <f>IF(ROW()-ROW($S$1) &lt;= FILLME!$G$9, TRUE, FALSE)</f>
        <v>1</v>
      </c>
      <c r="T44" t="b">
        <f>IF(ROW()-ROW($T$1) &lt;= FILLME!$G$10, TRUE, FALSE)</f>
        <v>1</v>
      </c>
      <c r="U44" t="b">
        <f>IF(ROW()-ROW($U$1) &lt;= FILLME!$G$11, TRUE, FALSE)</f>
        <v>1</v>
      </c>
    </row>
    <row r="45" spans="1:21" x14ac:dyDescent="0.25">
      <c r="A45" s="7" t="str">
        <f>FILLME!$B$7</f>
        <v>ISCO</v>
      </c>
      <c r="B45" t="str">
        <f>IF(FILLME!$B$3 = "", "", FILLME!$B$3)</f>
        <v/>
      </c>
      <c r="C45" s="67" t="str">
        <f>IF(FILLME!$B$7="ISCO",FILLME!$E$4,IF(FILLME!$B$7="Grab",FILLME!$E$5))</f>
        <v>IS</v>
      </c>
      <c r="D45" t="str">
        <f>IF(FILLME!$B$4 = "", "", FILLME!$B$4)</f>
        <v>SSEMG</v>
      </c>
      <c r="E45" s="7" t="str">
        <f>TEXT(FILLME!$B$6,"yyyymmdd")</f>
        <v>20260223</v>
      </c>
      <c r="F45" s="8">
        <v>0.58333333333333348</v>
      </c>
      <c r="G45" s="7">
        <f>IF(FILLME!$B$7="ISCO",FILLME!$B$6+FILLME!$B$11+(FILLME!$B$13*(H45-FILLME!$B$14)),FILLME!$B$6)</f>
        <v>46080.583333333336</v>
      </c>
      <c r="H45" s="2">
        <v>44</v>
      </c>
      <c r="I45" s="2">
        <v>20</v>
      </c>
      <c r="J45" s="2" t="str">
        <v>STA</v>
      </c>
      <c r="K45" s="9" t="str">
        <f t="shared" si="0"/>
        <v>STA_44</v>
      </c>
      <c r="L45" s="10" t="str">
        <f t="shared" si="1"/>
        <v>SSEMG_STA_20260223_44</v>
      </c>
      <c r="M45" s="10" t="str">
        <f t="shared" si="2"/>
        <v>SSEMG_STA_IS_20260227_1400</v>
      </c>
      <c r="N45" t="b">
        <f>IF(ROW()-ROW($N$1) &lt;= FILLME!$G$4, TRUE, FALSE)</f>
        <v>1</v>
      </c>
      <c r="O45" t="b">
        <f>IF(ROW()-ROW($O$1) &lt;= FILLME!$G$5, TRUE, FALSE)</f>
        <v>0</v>
      </c>
      <c r="P45" t="b">
        <f>IF(ROW()-ROW($P$1) &lt;= FILLME!$G$7, TRUE, FALSE)</f>
        <v>0</v>
      </c>
      <c r="Q45" t="b">
        <f>IF(ROW()-ROW($Q$1) &lt;= FILLME!$G$6, TRUE, FALSE)</f>
        <v>1</v>
      </c>
      <c r="R45" t="b">
        <f>IF(ROW()-ROW($R$1) &lt;= FILLME!$G$8, TRUE, FALSE)</f>
        <v>1</v>
      </c>
      <c r="S45" t="b">
        <f>IF(ROW()-ROW($S$1) &lt;= FILLME!$G$9, TRUE, FALSE)</f>
        <v>1</v>
      </c>
      <c r="T45" t="b">
        <f>IF(ROW()-ROW($T$1) &lt;= FILLME!$G$10, TRUE, FALSE)</f>
        <v>1</v>
      </c>
      <c r="U45" t="b">
        <f>IF(ROW()-ROW($U$1) &lt;= FILLME!$G$11, TRUE, FALSE)</f>
        <v>1</v>
      </c>
    </row>
    <row r="46" spans="1:21" x14ac:dyDescent="0.25">
      <c r="A46" s="7" t="str">
        <f>FILLME!$B$7</f>
        <v>ISCO</v>
      </c>
      <c r="B46" t="str">
        <f>IF(FILLME!$B$3 = "", "", FILLME!$B$3)</f>
        <v/>
      </c>
      <c r="C46" s="67" t="str">
        <f>IF(FILLME!$B$7="ISCO",FILLME!$E$4,IF(FILLME!$B$7="Grab",FILLME!$E$5))</f>
        <v>IS</v>
      </c>
      <c r="D46" t="str">
        <f>IF(FILLME!$B$4 = "", "", FILLME!$B$4)</f>
        <v>SSEMG</v>
      </c>
      <c r="E46" s="7" t="str">
        <f>TEXT(FILLME!$B$6,"yyyymmdd")</f>
        <v>20260223</v>
      </c>
      <c r="F46" s="8">
        <v>0.66666666666666652</v>
      </c>
      <c r="G46" s="7">
        <f>IF(FILLME!$B$7="ISCO",FILLME!$B$6+FILLME!$B$11+(FILLME!$B$13*(H46-FILLME!$B$14)),FILLME!$B$6)</f>
        <v>46080.666666666664</v>
      </c>
      <c r="H46" s="2">
        <v>45</v>
      </c>
      <c r="I46" s="2">
        <v>21</v>
      </c>
      <c r="J46" s="2" t="str">
        <v>STA</v>
      </c>
      <c r="K46" s="9" t="str">
        <f t="shared" si="0"/>
        <v>STA_45</v>
      </c>
      <c r="L46" s="10" t="str">
        <f t="shared" si="1"/>
        <v>SSEMG_STA_20260223_45</v>
      </c>
      <c r="M46" s="10" t="str">
        <f t="shared" si="2"/>
        <v>SSEMG_STA_IS_20260227_1600</v>
      </c>
      <c r="N46" t="b">
        <f>IF(ROW()-ROW($N$1) &lt;= FILLME!$G$4, TRUE, FALSE)</f>
        <v>1</v>
      </c>
      <c r="O46" t="b">
        <f>IF(ROW()-ROW($O$1) &lt;= FILLME!$G$5, TRUE, FALSE)</f>
        <v>0</v>
      </c>
      <c r="P46" t="b">
        <f>IF(ROW()-ROW($P$1) &lt;= FILLME!$G$7, TRUE, FALSE)</f>
        <v>0</v>
      </c>
      <c r="Q46" t="b">
        <f>IF(ROW()-ROW($Q$1) &lt;= FILLME!$G$6, TRUE, FALSE)</f>
        <v>1</v>
      </c>
      <c r="R46" t="b">
        <f>IF(ROW()-ROW($R$1) &lt;= FILLME!$G$8, TRUE, FALSE)</f>
        <v>1</v>
      </c>
      <c r="S46" t="b">
        <f>IF(ROW()-ROW($S$1) &lt;= FILLME!$G$9, TRUE, FALSE)</f>
        <v>1</v>
      </c>
      <c r="T46" t="b">
        <f>IF(ROW()-ROW($T$1) &lt;= FILLME!$G$10, TRUE, FALSE)</f>
        <v>1</v>
      </c>
      <c r="U46" t="b">
        <f>IF(ROW()-ROW($U$1) &lt;= FILLME!$G$11, TRUE, FALSE)</f>
        <v>1</v>
      </c>
    </row>
    <row r="47" spans="1:21" x14ac:dyDescent="0.25">
      <c r="A47" s="7" t="str">
        <f>FILLME!$B$7</f>
        <v>ISCO</v>
      </c>
      <c r="B47" t="str">
        <f>IF(FILLME!$B$3 = "", "", FILLME!$B$3)</f>
        <v/>
      </c>
      <c r="C47" s="67" t="str">
        <f>IF(FILLME!$B$7="ISCO",FILLME!$E$4,IF(FILLME!$B$7="Grab",FILLME!$E$5))</f>
        <v>IS</v>
      </c>
      <c r="D47" t="str">
        <f>IF(FILLME!$B$4 = "", "", FILLME!$B$4)</f>
        <v>SSEMG</v>
      </c>
      <c r="E47" s="7" t="str">
        <f>TEXT(FILLME!$B$6,"yyyymmdd")</f>
        <v>20260223</v>
      </c>
      <c r="F47" s="8">
        <v>0.75</v>
      </c>
      <c r="G47" s="7">
        <f>IF(FILLME!$B$7="ISCO",FILLME!$B$6+FILLME!$B$11+(FILLME!$B$13*(H47-FILLME!$B$14)),FILLME!$B$6)</f>
        <v>46080.75</v>
      </c>
      <c r="H47" s="2">
        <v>46</v>
      </c>
      <c r="I47" s="2">
        <v>22</v>
      </c>
      <c r="J47" s="2" t="str">
        <v>STA</v>
      </c>
      <c r="K47" s="9" t="str">
        <f t="shared" si="0"/>
        <v>STA_46</v>
      </c>
      <c r="L47" s="10" t="str">
        <f t="shared" si="1"/>
        <v>SSEMG_STA_20260223_46</v>
      </c>
      <c r="M47" s="10" t="str">
        <f t="shared" si="2"/>
        <v>SSEMG_STA_IS_20260227_1800</v>
      </c>
      <c r="N47" t="b">
        <f>IF(ROW()-ROW($N$1) &lt;= FILLME!$G$4, TRUE, FALSE)</f>
        <v>1</v>
      </c>
      <c r="O47" t="b">
        <f>IF(ROW()-ROW($O$1) &lt;= FILLME!$G$5, TRUE, FALSE)</f>
        <v>0</v>
      </c>
      <c r="P47" t="b">
        <f>IF(ROW()-ROW($P$1) &lt;= FILLME!$G$7, TRUE, FALSE)</f>
        <v>0</v>
      </c>
      <c r="Q47" t="b">
        <f>IF(ROW()-ROW($Q$1) &lt;= FILLME!$G$6, TRUE, FALSE)</f>
        <v>1</v>
      </c>
      <c r="R47" t="b">
        <f>IF(ROW()-ROW($R$1) &lt;= FILLME!$G$8, TRUE, FALSE)</f>
        <v>1</v>
      </c>
      <c r="S47" t="b">
        <f>IF(ROW()-ROW($S$1) &lt;= FILLME!$G$9, TRUE, FALSE)</f>
        <v>1</v>
      </c>
      <c r="T47" t="b">
        <f>IF(ROW()-ROW($T$1) &lt;= FILLME!$G$10, TRUE, FALSE)</f>
        <v>1</v>
      </c>
      <c r="U47" t="b">
        <f>IF(ROW()-ROW($U$1) &lt;= FILLME!$G$11, TRUE, FALSE)</f>
        <v>1</v>
      </c>
    </row>
    <row r="48" spans="1:21" x14ac:dyDescent="0.25">
      <c r="A48" s="7" t="str">
        <f>FILLME!$B$7</f>
        <v>ISCO</v>
      </c>
      <c r="B48" t="str">
        <f>IF(FILLME!$B$3 = "", "", FILLME!$B$3)</f>
        <v/>
      </c>
      <c r="C48" s="67" t="str">
        <f>IF(FILLME!$B$7="ISCO",FILLME!$E$4,IF(FILLME!$B$7="Grab",FILLME!$E$5))</f>
        <v>IS</v>
      </c>
      <c r="D48" t="str">
        <f>IF(FILLME!$B$4 = "", "", FILLME!$B$4)</f>
        <v>SSEMG</v>
      </c>
      <c r="E48" s="7" t="str">
        <f>TEXT(FILLME!$B$6,"yyyymmdd")</f>
        <v>20260223</v>
      </c>
      <c r="F48" s="8">
        <v>0.83333333333333348</v>
      </c>
      <c r="G48" s="7">
        <f>IF(FILLME!$B$7="ISCO",FILLME!$B$6+FILLME!$B$11+(FILLME!$B$13*(H48-FILLME!$B$14)),FILLME!$B$6)</f>
        <v>46080.833333333336</v>
      </c>
      <c r="H48" s="2">
        <v>47</v>
      </c>
      <c r="I48" s="2">
        <v>23</v>
      </c>
      <c r="J48" s="2" t="str">
        <v>STA</v>
      </c>
      <c r="K48" s="9" t="str">
        <f t="shared" si="0"/>
        <v>STA_47</v>
      </c>
      <c r="L48" s="10" t="str">
        <f t="shared" si="1"/>
        <v>SSEMG_STA_20260223_47</v>
      </c>
      <c r="M48" s="10" t="str">
        <f t="shared" si="2"/>
        <v>SSEMG_STA_IS_20260227_2000</v>
      </c>
      <c r="N48" t="b">
        <f>IF(ROW()-ROW($N$1) &lt;= FILLME!$G$4, TRUE, FALSE)</f>
        <v>1</v>
      </c>
      <c r="O48" t="b">
        <f>IF(ROW()-ROW($O$1) &lt;= FILLME!$G$5, TRUE, FALSE)</f>
        <v>0</v>
      </c>
      <c r="P48" t="b">
        <f>IF(ROW()-ROW($P$1) &lt;= FILLME!$G$7, TRUE, FALSE)</f>
        <v>0</v>
      </c>
      <c r="Q48" t="b">
        <f>IF(ROW()-ROW($Q$1) &lt;= FILLME!$G$6, TRUE, FALSE)</f>
        <v>1</v>
      </c>
      <c r="R48" t="b">
        <f>IF(ROW()-ROW($R$1) &lt;= FILLME!$G$8, TRUE, FALSE)</f>
        <v>1</v>
      </c>
      <c r="S48" t="b">
        <f>IF(ROW()-ROW($S$1) &lt;= FILLME!$G$9, TRUE, FALSE)</f>
        <v>1</v>
      </c>
      <c r="T48" t="b">
        <f>IF(ROW()-ROW($T$1) &lt;= FILLME!$G$10, TRUE, FALSE)</f>
        <v>1</v>
      </c>
      <c r="U48" t="b">
        <f>IF(ROW()-ROW($U$1) &lt;= FILLME!$G$11, TRUE, FALSE)</f>
        <v>1</v>
      </c>
    </row>
    <row r="49" spans="1:21" x14ac:dyDescent="0.25">
      <c r="A49" s="7" t="str">
        <f>FILLME!$B$7</f>
        <v>ISCO</v>
      </c>
      <c r="B49" t="str">
        <f>IF(FILLME!$B$3 = "", "", FILLME!$B$3)</f>
        <v/>
      </c>
      <c r="C49" s="67" t="str">
        <f>IF(FILLME!$B$7="ISCO",FILLME!$E$4,IF(FILLME!$B$7="Grab",FILLME!$E$5))</f>
        <v>IS</v>
      </c>
      <c r="D49" t="str">
        <f>IF(FILLME!$B$4 = "", "", FILLME!$B$4)</f>
        <v>SSEMG</v>
      </c>
      <c r="E49" s="7" t="str">
        <f>TEXT(FILLME!$B$6,"yyyymmdd")</f>
        <v>20260223</v>
      </c>
      <c r="F49" s="8">
        <v>0.91666666666666652</v>
      </c>
      <c r="G49" s="7">
        <f>IF(FILLME!$B$7="ISCO",FILLME!$B$6+FILLME!$B$11+(FILLME!$B$13*(H49-FILLME!$B$14)),FILLME!$B$6)</f>
        <v>46080.916666666664</v>
      </c>
      <c r="H49" s="2">
        <v>48</v>
      </c>
      <c r="I49" s="2">
        <v>24</v>
      </c>
      <c r="J49" s="2" t="str">
        <v>STA</v>
      </c>
      <c r="K49" s="9" t="str">
        <f t="shared" si="0"/>
        <v>STA_48</v>
      </c>
      <c r="L49" s="10" t="str">
        <f t="shared" si="1"/>
        <v>SSEMG_STA_20260223_48</v>
      </c>
      <c r="M49" s="10" t="str">
        <f t="shared" si="2"/>
        <v>SSEMG_STA_IS_20260227_2200</v>
      </c>
      <c r="N49" t="b">
        <f>IF(ROW()-ROW($N$1) &lt;= FILLME!$G$4, TRUE, FALSE)</f>
        <v>1</v>
      </c>
      <c r="O49" t="b">
        <f>IF(ROW()-ROW($O$1) &lt;= FILLME!$G$5, TRUE, FALSE)</f>
        <v>0</v>
      </c>
      <c r="P49" t="b">
        <f>IF(ROW()-ROW($P$1) &lt;= FILLME!$G$7, TRUE, FALSE)</f>
        <v>0</v>
      </c>
      <c r="Q49" t="b">
        <f>IF(ROW()-ROW($Q$1) &lt;= FILLME!$G$6, TRUE, FALSE)</f>
        <v>1</v>
      </c>
      <c r="R49" t="b">
        <f>IF(ROW()-ROW($R$1) &lt;= FILLME!$G$8, TRUE, FALSE)</f>
        <v>1</v>
      </c>
      <c r="S49" t="b">
        <f>IF(ROW()-ROW($S$1) &lt;= FILLME!$G$9, TRUE, FALSE)</f>
        <v>1</v>
      </c>
      <c r="T49" t="b">
        <f>IF(ROW()-ROW($T$1) &lt;= FILLME!$G$10, TRUE, FALSE)</f>
        <v>1</v>
      </c>
      <c r="U49" t="b">
        <f>IF(ROW()-ROW($U$1) &lt;= FILLME!$G$11, TRUE, FALSE)</f>
        <v>1</v>
      </c>
    </row>
    <row r="50" spans="1:21" x14ac:dyDescent="0.25">
      <c r="A50" s="7" t="str">
        <f>FILLME!$B$7</f>
        <v>ISCO</v>
      </c>
      <c r="B50" t="str">
        <f>IF(FILLME!$B$3 = "", "", FILLME!$B$3)</f>
        <v/>
      </c>
      <c r="C50" s="67" t="str">
        <f>IF(FILLME!$B$7="ISCO",FILLME!$E$4,IF(FILLME!$B$7="Grab",FILLME!$E$5))</f>
        <v>IS</v>
      </c>
      <c r="D50" t="str">
        <f>IF(FILLME!$B$4 = "", "", FILLME!$B$4)</f>
        <v>SSEMG</v>
      </c>
      <c r="E50" s="7" t="str">
        <f>TEXT(FILLME!$B$6,"yyyymmdd")</f>
        <v>20260223</v>
      </c>
      <c r="F50" s="8">
        <v>0</v>
      </c>
      <c r="G50" s="7">
        <f>IF(FILLME!$B$7="ISCO",FILLME!$B$6+FILLME!$B$11+(FILLME!$B$13*(H50-FILLME!$B$14)),FILLME!$B$6)</f>
        <v>46081</v>
      </c>
      <c r="H50" s="2">
        <v>49</v>
      </c>
      <c r="I50" s="2">
        <v>1</v>
      </c>
      <c r="J50" s="2" t="str">
        <v>STA</v>
      </c>
      <c r="K50" s="9" t="str">
        <f t="shared" si="0"/>
        <v>STA_49</v>
      </c>
      <c r="L50" s="10" t="str">
        <f t="shared" si="1"/>
        <v>SSEMG_STA_20260223_49</v>
      </c>
      <c r="M50" s="10" t="str">
        <f t="shared" si="2"/>
        <v>SSEMG_STA_IS_20260228_0000</v>
      </c>
      <c r="N50" t="b">
        <f>IF(ROW()-ROW($N$1) &lt;= FILLME!$G$4, TRUE, FALSE)</f>
        <v>1</v>
      </c>
      <c r="O50" t="b">
        <f>IF(ROW()-ROW($O$1) &lt;= FILLME!$G$5, TRUE, FALSE)</f>
        <v>0</v>
      </c>
      <c r="P50" t="b">
        <f>IF(ROW()-ROW($P$1) &lt;= FILLME!$G$7, TRUE, FALSE)</f>
        <v>0</v>
      </c>
      <c r="Q50" t="b">
        <f>IF(ROW()-ROW($Q$1) &lt;= FILLME!$G$6, TRUE, FALSE)</f>
        <v>1</v>
      </c>
      <c r="R50" t="b">
        <f>IF(ROW()-ROW($R$1) &lt;= FILLME!$G$8, TRUE, FALSE)</f>
        <v>1</v>
      </c>
      <c r="S50" t="b">
        <f>IF(ROW()-ROW($S$1) &lt;= FILLME!$G$9, TRUE, FALSE)</f>
        <v>1</v>
      </c>
      <c r="T50" t="b">
        <f>IF(ROW()-ROW($T$1) &lt;= FILLME!$G$10, TRUE, FALSE)</f>
        <v>1</v>
      </c>
      <c r="U50" t="b">
        <f>IF(ROW()-ROW($U$1) &lt;= FILLME!$G$11, TRUE, FALSE)</f>
        <v>1</v>
      </c>
    </row>
    <row r="51" spans="1:21" x14ac:dyDescent="0.25">
      <c r="A51" s="7" t="str">
        <f>FILLME!$B$7</f>
        <v>ISCO</v>
      </c>
      <c r="B51" t="str">
        <f>IF(FILLME!$B$3 = "", "", FILLME!$B$3)</f>
        <v/>
      </c>
      <c r="C51" s="67" t="str">
        <f>IF(FILLME!$B$7="ISCO",FILLME!$E$4,IF(FILLME!$B$7="Grab",FILLME!$E$5))</f>
        <v>IS</v>
      </c>
      <c r="D51" t="str">
        <f>IF(FILLME!$B$4 = "", "", FILLME!$B$4)</f>
        <v>SSEMG</v>
      </c>
      <c r="E51" s="7" t="str">
        <f>TEXT(FILLME!$B$6,"yyyymmdd")</f>
        <v>20260223</v>
      </c>
      <c r="F51" s="8">
        <v>8.3333333333333037E-2</v>
      </c>
      <c r="G51" s="7">
        <f>IF(FILLME!$B$7="ISCO",FILLME!$B$6+FILLME!$B$11+(FILLME!$B$13*(H51-FILLME!$B$14)),FILLME!$B$6)</f>
        <v>46081.083333333336</v>
      </c>
      <c r="H51" s="8">
        <v>50</v>
      </c>
      <c r="I51" s="8">
        <v>2</v>
      </c>
      <c r="J51" s="2" t="str">
        <v>STA</v>
      </c>
      <c r="K51" s="9" t="str">
        <f t="shared" si="0"/>
        <v>STA_50</v>
      </c>
      <c r="L51" s="10" t="str">
        <f t="shared" si="1"/>
        <v>SSEMG_STA_20260223_50</v>
      </c>
      <c r="M51" s="10" t="str">
        <f t="shared" si="2"/>
        <v>SSEMG_STA_IS_20260228_0200</v>
      </c>
      <c r="N51" t="b">
        <f>IF(ROW()-ROW($N$1) &lt;= FILLME!$G$4, TRUE, FALSE)</f>
        <v>1</v>
      </c>
      <c r="O51" t="b">
        <f>IF(ROW()-ROW($O$1) &lt;= FILLME!$G$5, TRUE, FALSE)</f>
        <v>0</v>
      </c>
      <c r="P51" t="b">
        <f>IF(ROW()-ROW($P$1) &lt;= FILLME!$G$7, TRUE, FALSE)</f>
        <v>0</v>
      </c>
      <c r="Q51" t="b">
        <f>IF(ROW()-ROW($Q$1) &lt;= FILLME!$G$6, TRUE, FALSE)</f>
        <v>1</v>
      </c>
      <c r="R51" t="b">
        <f>IF(ROW()-ROW($R$1) &lt;= FILLME!$G$8, TRUE, FALSE)</f>
        <v>1</v>
      </c>
      <c r="S51" t="b">
        <f>IF(ROW()-ROW($S$1) &lt;= FILLME!$G$9, TRUE, FALSE)</f>
        <v>1</v>
      </c>
      <c r="T51" t="b">
        <f>IF(ROW()-ROW($T$1) &lt;= FILLME!$G$10, TRUE, FALSE)</f>
        <v>1</v>
      </c>
      <c r="U51" t="b">
        <f>IF(ROW()-ROW($U$1) &lt;= FILLME!$G$11, TRUE, FALSE)</f>
        <v>1</v>
      </c>
    </row>
    <row r="52" spans="1:21" x14ac:dyDescent="0.25">
      <c r="A52" s="7" t="str">
        <f>FILLME!$B$7</f>
        <v>ISCO</v>
      </c>
      <c r="B52" t="str">
        <f>IF(FILLME!$B$3 = "", "", FILLME!$B$3)</f>
        <v/>
      </c>
      <c r="C52" s="67" t="str">
        <f>IF(FILLME!$B$7="ISCO",FILLME!$E$4,IF(FILLME!$B$7="Grab",FILLME!$E$5))</f>
        <v>IS</v>
      </c>
      <c r="D52" t="str">
        <f>IF(FILLME!$B$4 = "", "", FILLME!$B$4)</f>
        <v>SSEMG</v>
      </c>
      <c r="E52" s="7" t="str">
        <f>TEXT(FILLME!$B$6,"yyyymmdd")</f>
        <v>20260223</v>
      </c>
      <c r="F52" s="8">
        <v>0.16666666666666696</v>
      </c>
      <c r="G52" s="7">
        <f>IF(FILLME!$B$7="ISCO",FILLME!$B$6+FILLME!$B$11+(FILLME!$B$13*(H52-FILLME!$B$14)),FILLME!$B$6)</f>
        <v>46081.166666666664</v>
      </c>
      <c r="H52" s="8">
        <v>51</v>
      </c>
      <c r="I52" s="8">
        <v>3</v>
      </c>
      <c r="J52" s="2" t="str">
        <v>STA</v>
      </c>
      <c r="K52" s="9" t="str">
        <f t="shared" si="0"/>
        <v>STA_51</v>
      </c>
      <c r="L52" s="10" t="str">
        <f t="shared" si="1"/>
        <v>SSEMG_STA_20260223_51</v>
      </c>
      <c r="M52" s="10" t="str">
        <f t="shared" si="2"/>
        <v>SSEMG_STA_IS_20260228_0400</v>
      </c>
      <c r="N52" t="b">
        <f>IF(ROW()-ROW($N$1) &lt;= FILLME!$G$4, TRUE, FALSE)</f>
        <v>1</v>
      </c>
      <c r="O52" t="b">
        <f>IF(ROW()-ROW($O$1) &lt;= FILLME!$G$5, TRUE, FALSE)</f>
        <v>0</v>
      </c>
      <c r="P52" t="b">
        <f>IF(ROW()-ROW($P$1) &lt;= FILLME!$G$7, TRUE, FALSE)</f>
        <v>0</v>
      </c>
      <c r="Q52" t="b">
        <f>IF(ROW()-ROW($Q$1) &lt;= FILLME!$G$6, TRUE, FALSE)</f>
        <v>1</v>
      </c>
      <c r="R52" t="b">
        <f>IF(ROW()-ROW($R$1) &lt;= FILLME!$G$8, TRUE, FALSE)</f>
        <v>1</v>
      </c>
      <c r="S52" t="b">
        <f>IF(ROW()-ROW($S$1) &lt;= FILLME!$G$9, TRUE, FALSE)</f>
        <v>1</v>
      </c>
      <c r="T52" t="b">
        <f>IF(ROW()-ROW($T$1) &lt;= FILLME!$G$10, TRUE, FALSE)</f>
        <v>1</v>
      </c>
      <c r="U52" t="b">
        <f>IF(ROW()-ROW($U$1) &lt;= FILLME!$G$11, TRUE, FALSE)</f>
        <v>1</v>
      </c>
    </row>
    <row r="53" spans="1:21" x14ac:dyDescent="0.25">
      <c r="A53" s="7" t="str">
        <f>FILLME!$B$7</f>
        <v>ISCO</v>
      </c>
      <c r="B53" t="str">
        <f>IF(FILLME!$B$3 = "", "", FILLME!$B$3)</f>
        <v/>
      </c>
      <c r="C53" s="67" t="str">
        <f>IF(FILLME!$B$7="ISCO",FILLME!$E$4,IF(FILLME!$B$7="Grab",FILLME!$E$5))</f>
        <v>IS</v>
      </c>
      <c r="D53" t="str">
        <f>IF(FILLME!$B$4 = "", "", FILLME!$B$4)</f>
        <v>SSEMG</v>
      </c>
      <c r="E53" s="7" t="str">
        <f>TEXT(FILLME!$B$6,"yyyymmdd")</f>
        <v>20260223</v>
      </c>
      <c r="F53" s="8">
        <v>0.25</v>
      </c>
      <c r="G53" s="7">
        <f>IF(FILLME!$B$7="ISCO",FILLME!$B$6+FILLME!$B$11+(FILLME!$B$13*(H53-FILLME!$B$14)),FILLME!$B$6)</f>
        <v>46081.25</v>
      </c>
      <c r="H53" s="8">
        <v>52</v>
      </c>
      <c r="I53" s="8">
        <v>4</v>
      </c>
      <c r="J53" s="2" t="str">
        <v>STA</v>
      </c>
      <c r="K53" s="9" t="str">
        <f t="shared" si="0"/>
        <v>STA_52</v>
      </c>
      <c r="L53" s="10" t="str">
        <f t="shared" si="1"/>
        <v>SSEMG_STA_20260223_52</v>
      </c>
      <c r="M53" s="10" t="str">
        <f t="shared" si="2"/>
        <v>SSEMG_STA_IS_20260228_0600</v>
      </c>
      <c r="N53" t="b">
        <f>IF(ROW()-ROW($N$1) &lt;= FILLME!$G$4, TRUE, FALSE)</f>
        <v>1</v>
      </c>
      <c r="O53" t="b">
        <f>IF(ROW()-ROW($O$1) &lt;= FILLME!$G$5, TRUE, FALSE)</f>
        <v>0</v>
      </c>
      <c r="P53" t="b">
        <f>IF(ROW()-ROW($P$1) &lt;= FILLME!$G$7, TRUE, FALSE)</f>
        <v>0</v>
      </c>
      <c r="Q53" t="b">
        <f>IF(ROW()-ROW($Q$1) &lt;= FILLME!$G$6, TRUE, FALSE)</f>
        <v>1</v>
      </c>
      <c r="R53" t="b">
        <f>IF(ROW()-ROW($R$1) &lt;= FILLME!$G$8, TRUE, FALSE)</f>
        <v>1</v>
      </c>
      <c r="S53" t="b">
        <f>IF(ROW()-ROW($S$1) &lt;= FILLME!$G$9, TRUE, FALSE)</f>
        <v>1</v>
      </c>
      <c r="T53" t="b">
        <f>IF(ROW()-ROW($T$1) &lt;= FILLME!$G$10, TRUE, FALSE)</f>
        <v>1</v>
      </c>
      <c r="U53" t="b">
        <f>IF(ROW()-ROW($U$1) &lt;= FILLME!$G$11, TRUE, FALSE)</f>
        <v>1</v>
      </c>
    </row>
    <row r="54" spans="1:21" x14ac:dyDescent="0.25">
      <c r="A54" s="7" t="str">
        <f>FILLME!$B$7</f>
        <v>ISCO</v>
      </c>
      <c r="B54" t="str">
        <f>IF(FILLME!$B$3 = "", "", FILLME!$B$3)</f>
        <v/>
      </c>
      <c r="C54" s="67" t="str">
        <f>IF(FILLME!$B$7="ISCO",FILLME!$E$4,IF(FILLME!$B$7="Grab",FILLME!$E$5))</f>
        <v>IS</v>
      </c>
      <c r="D54" t="str">
        <f>IF(FILLME!$B$4 = "", "", FILLME!$B$4)</f>
        <v>SSEMG</v>
      </c>
      <c r="E54" s="7" t="str">
        <f>TEXT(FILLME!$B$6,"yyyymmdd")</f>
        <v>20260223</v>
      </c>
      <c r="F54" s="8">
        <v>0.33333333333333304</v>
      </c>
      <c r="G54" s="7">
        <f>IF(FILLME!$B$7="ISCO",FILLME!$B$6+FILLME!$B$11+(FILLME!$B$13*(H54-FILLME!$B$14)),FILLME!$B$6)</f>
        <v>46081.333333333336</v>
      </c>
      <c r="H54" s="8">
        <v>53</v>
      </c>
      <c r="I54" s="8">
        <v>5</v>
      </c>
      <c r="J54" s="2" t="str">
        <v>STA</v>
      </c>
      <c r="K54" s="9" t="str">
        <f t="shared" si="0"/>
        <v>STA_53</v>
      </c>
      <c r="L54" s="10" t="str">
        <f t="shared" si="1"/>
        <v>SSEMG_STA_20260223_53</v>
      </c>
      <c r="M54" s="10" t="str">
        <f t="shared" si="2"/>
        <v>SSEMG_STA_IS_20260228_0800</v>
      </c>
      <c r="N54" t="b">
        <f>IF(ROW()-ROW($N$1) &lt;= FILLME!$G$4, TRUE, FALSE)</f>
        <v>1</v>
      </c>
      <c r="O54" t="b">
        <f>IF(ROW()-ROW($O$1) &lt;= FILLME!$G$5, TRUE, FALSE)</f>
        <v>0</v>
      </c>
      <c r="P54" t="b">
        <f>IF(ROW()-ROW($P$1) &lt;= FILLME!$G$7, TRUE, FALSE)</f>
        <v>0</v>
      </c>
      <c r="Q54" t="b">
        <f>IF(ROW()-ROW($Q$1) &lt;= FILLME!$G$6, TRUE, FALSE)</f>
        <v>1</v>
      </c>
      <c r="R54" t="b">
        <f>IF(ROW()-ROW($R$1) &lt;= FILLME!$G$8, TRUE, FALSE)</f>
        <v>1</v>
      </c>
      <c r="S54" t="b">
        <f>IF(ROW()-ROW($S$1) &lt;= FILLME!$G$9, TRUE, FALSE)</f>
        <v>1</v>
      </c>
      <c r="T54" t="b">
        <f>IF(ROW()-ROW($T$1) &lt;= FILLME!$G$10, TRUE, FALSE)</f>
        <v>1</v>
      </c>
      <c r="U54" t="b">
        <f>IF(ROW()-ROW($U$1) &lt;= FILLME!$G$11, TRUE, FALSE)</f>
        <v>1</v>
      </c>
    </row>
    <row r="55" spans="1:21" x14ac:dyDescent="0.25">
      <c r="A55" s="7" t="str">
        <f>FILLME!$B$7</f>
        <v>ISCO</v>
      </c>
      <c r="B55" t="str">
        <f>IF(FILLME!$B$3 = "", "", FILLME!$B$3)</f>
        <v/>
      </c>
      <c r="C55" s="67" t="str">
        <f>IF(FILLME!$B$7="ISCO",FILLME!$E$4,IF(FILLME!$B$7="Grab",FILLME!$E$5))</f>
        <v>IS</v>
      </c>
      <c r="D55" t="str">
        <f>IF(FILLME!$B$4 = "", "", FILLME!$B$4)</f>
        <v>SSEMG</v>
      </c>
      <c r="E55" s="7" t="str">
        <f>TEXT(FILLME!$B$6,"yyyymmdd")</f>
        <v>20260223</v>
      </c>
      <c r="F55" s="8">
        <v>0.41666666666666696</v>
      </c>
      <c r="G55" s="7">
        <f>IF(FILLME!$B$7="ISCO",FILLME!$B$6+FILLME!$B$11+(FILLME!$B$13*(H55-FILLME!$B$14)),FILLME!$B$6)</f>
        <v>46081.416666666664</v>
      </c>
      <c r="H55" s="8">
        <v>54</v>
      </c>
      <c r="I55" s="8">
        <v>6</v>
      </c>
      <c r="J55" s="2" t="str">
        <v>STA</v>
      </c>
      <c r="K55" s="9" t="str">
        <f t="shared" si="0"/>
        <v>STA_54</v>
      </c>
      <c r="L55" s="10" t="str">
        <f t="shared" si="1"/>
        <v>SSEMG_STA_20260223_54</v>
      </c>
      <c r="M55" s="10" t="str">
        <f t="shared" si="2"/>
        <v>SSEMG_STA_IS_20260228_1000</v>
      </c>
      <c r="N55" t="b">
        <f>IF(ROW()-ROW($N$1) &lt;= FILLME!$G$4, TRUE, FALSE)</f>
        <v>1</v>
      </c>
      <c r="O55" t="b">
        <f>IF(ROW()-ROW($O$1) &lt;= FILLME!$G$5, TRUE, FALSE)</f>
        <v>0</v>
      </c>
      <c r="P55" t="b">
        <f>IF(ROW()-ROW($P$1) &lt;= FILLME!$G$7, TRUE, FALSE)</f>
        <v>0</v>
      </c>
      <c r="Q55" t="b">
        <f>IF(ROW()-ROW($Q$1) &lt;= FILLME!$G$6, TRUE, FALSE)</f>
        <v>1</v>
      </c>
      <c r="R55" t="b">
        <f>IF(ROW()-ROW($R$1) &lt;= FILLME!$G$8, TRUE, FALSE)</f>
        <v>1</v>
      </c>
      <c r="S55" t="b">
        <f>IF(ROW()-ROW($S$1) &lt;= FILLME!$G$9, TRUE, FALSE)</f>
        <v>1</v>
      </c>
      <c r="T55" t="b">
        <f>IF(ROW()-ROW($T$1) &lt;= FILLME!$G$10, TRUE, FALSE)</f>
        <v>1</v>
      </c>
      <c r="U55" t="b">
        <f>IF(ROW()-ROW($U$1) &lt;= FILLME!$G$11, TRUE, FALSE)</f>
        <v>1</v>
      </c>
    </row>
    <row r="56" spans="1:21" x14ac:dyDescent="0.25">
      <c r="A56" s="7" t="str">
        <f>FILLME!$B$7</f>
        <v>ISCO</v>
      </c>
      <c r="B56" t="str">
        <f>IF(FILLME!$B$3 = "", "", FILLME!$B$3)</f>
        <v/>
      </c>
      <c r="C56" s="67" t="str">
        <f>IF(FILLME!$B$7="ISCO",FILLME!$E$4,IF(FILLME!$B$7="Grab",FILLME!$E$5))</f>
        <v>IS</v>
      </c>
      <c r="D56" t="str">
        <f>IF(FILLME!$B$4 = "", "", FILLME!$B$4)</f>
        <v>SSEMG</v>
      </c>
      <c r="E56" s="7" t="str">
        <f>TEXT(FILLME!$B$6,"yyyymmdd")</f>
        <v>20260223</v>
      </c>
      <c r="F56" s="8">
        <v>0.5</v>
      </c>
      <c r="G56" s="7">
        <f>IF(FILLME!$B$7="ISCO",FILLME!$B$6+FILLME!$B$11+(FILLME!$B$13*(H56-FILLME!$B$14)),FILLME!$B$6)</f>
        <v>46081.5</v>
      </c>
      <c r="H56" s="8">
        <v>55</v>
      </c>
      <c r="I56" s="8">
        <v>7</v>
      </c>
      <c r="J56" s="2" t="str">
        <v>STA</v>
      </c>
      <c r="K56" s="9" t="str">
        <f t="shared" si="0"/>
        <v>STA_55</v>
      </c>
      <c r="L56" s="10" t="str">
        <f t="shared" si="1"/>
        <v>SSEMG_STA_20260223_55</v>
      </c>
      <c r="M56" s="10" t="str">
        <f t="shared" si="2"/>
        <v>SSEMG_STA_IS_20260228_1200</v>
      </c>
      <c r="N56" t="b">
        <f>IF(ROW()-ROW($N$1) &lt;= FILLME!$G$4, TRUE, FALSE)</f>
        <v>1</v>
      </c>
      <c r="O56" t="b">
        <f>IF(ROW()-ROW($O$1) &lt;= FILLME!$G$5, TRUE, FALSE)</f>
        <v>0</v>
      </c>
      <c r="P56" t="b">
        <f>IF(ROW()-ROW($P$1) &lt;= FILLME!$G$7, TRUE, FALSE)</f>
        <v>0</v>
      </c>
      <c r="Q56" t="b">
        <f>IF(ROW()-ROW($Q$1) &lt;= FILLME!$G$6, TRUE, FALSE)</f>
        <v>1</v>
      </c>
      <c r="R56" t="b">
        <f>IF(ROW()-ROW($R$1) &lt;= FILLME!$G$8, TRUE, FALSE)</f>
        <v>1</v>
      </c>
      <c r="S56" t="b">
        <f>IF(ROW()-ROW($S$1) &lt;= FILLME!$G$9, TRUE, FALSE)</f>
        <v>1</v>
      </c>
      <c r="T56" t="b">
        <f>IF(ROW()-ROW($T$1) &lt;= FILLME!$G$10, TRUE, FALSE)</f>
        <v>1</v>
      </c>
      <c r="U56" t="b">
        <f>IF(ROW()-ROW($U$1) &lt;= FILLME!$G$11, TRUE, FALSE)</f>
        <v>1</v>
      </c>
    </row>
    <row r="57" spans="1:21" x14ac:dyDescent="0.25">
      <c r="A57" s="7" t="str">
        <f>FILLME!$B$7</f>
        <v>ISCO</v>
      </c>
      <c r="B57" t="str">
        <f>IF(FILLME!$B$3 = "", "", FILLME!$B$3)</f>
        <v/>
      </c>
      <c r="C57" s="67" t="str">
        <f>IF(FILLME!$B$7="ISCO",FILLME!$E$4,IF(FILLME!$B$7="Grab",FILLME!$E$5))</f>
        <v>IS</v>
      </c>
      <c r="D57" t="str">
        <f>IF(FILLME!$B$4 = "", "", FILLME!$B$4)</f>
        <v>SSEMG</v>
      </c>
      <c r="E57" s="7" t="str">
        <f>TEXT(FILLME!$B$6,"yyyymmdd")</f>
        <v>20260223</v>
      </c>
      <c r="F57" s="8">
        <v>0.58333333333333304</v>
      </c>
      <c r="G57" s="7">
        <f>IF(FILLME!$B$7="ISCO",FILLME!$B$6+FILLME!$B$11+(FILLME!$B$13*(H57-FILLME!$B$14)),FILLME!$B$6)</f>
        <v>46081.583333333336</v>
      </c>
      <c r="H57" s="8">
        <v>56</v>
      </c>
      <c r="I57" s="8">
        <v>8</v>
      </c>
      <c r="J57" s="2" t="str">
        <v>STA</v>
      </c>
      <c r="K57" s="9" t="str">
        <f t="shared" si="0"/>
        <v>STA_56</v>
      </c>
      <c r="L57" s="10" t="str">
        <f t="shared" si="1"/>
        <v>SSEMG_STA_20260223_56</v>
      </c>
      <c r="M57" s="10" t="str">
        <f t="shared" si="2"/>
        <v>SSEMG_STA_IS_20260228_1400</v>
      </c>
      <c r="N57" t="b">
        <f>IF(ROW()-ROW($N$1) &lt;= FILLME!$G$4, TRUE, FALSE)</f>
        <v>1</v>
      </c>
      <c r="O57" t="b">
        <f>IF(ROW()-ROW($O$1) &lt;= FILLME!$G$5, TRUE, FALSE)</f>
        <v>0</v>
      </c>
      <c r="P57" t="b">
        <f>IF(ROW()-ROW($P$1) &lt;= FILLME!$G$7, TRUE, FALSE)</f>
        <v>0</v>
      </c>
      <c r="Q57" t="b">
        <f>IF(ROW()-ROW($Q$1) &lt;= FILLME!$G$6, TRUE, FALSE)</f>
        <v>1</v>
      </c>
      <c r="R57" t="b">
        <f>IF(ROW()-ROW($R$1) &lt;= FILLME!$G$8, TRUE, FALSE)</f>
        <v>1</v>
      </c>
      <c r="S57" t="b">
        <f>IF(ROW()-ROW($S$1) &lt;= FILLME!$G$9, TRUE, FALSE)</f>
        <v>1</v>
      </c>
      <c r="T57" t="b">
        <f>IF(ROW()-ROW($T$1) &lt;= FILLME!$G$10, TRUE, FALSE)</f>
        <v>1</v>
      </c>
      <c r="U57" t="b">
        <f>IF(ROW()-ROW($U$1) &lt;= FILLME!$G$11, TRUE, FALSE)</f>
        <v>1</v>
      </c>
    </row>
    <row r="58" spans="1:21" x14ac:dyDescent="0.25">
      <c r="A58" s="7" t="str">
        <f>FILLME!$B$7</f>
        <v>ISCO</v>
      </c>
      <c r="B58" t="str">
        <f>IF(FILLME!$B$3 = "", "", FILLME!$B$3)</f>
        <v/>
      </c>
      <c r="C58" s="67" t="str">
        <f>IF(FILLME!$B$7="ISCO",FILLME!$E$4,IF(FILLME!$B$7="Grab",FILLME!$E$5))</f>
        <v>IS</v>
      </c>
      <c r="D58" t="str">
        <f>IF(FILLME!$B$4 = "", "", FILLME!$B$4)</f>
        <v>SSEMG</v>
      </c>
      <c r="E58" s="7" t="str">
        <f>TEXT(FILLME!$B$6,"yyyymmdd")</f>
        <v>20260223</v>
      </c>
      <c r="F58" s="8">
        <v>0.66666666666666696</v>
      </c>
      <c r="G58" s="7">
        <f>IF(FILLME!$B$7="ISCO",FILLME!$B$6+FILLME!$B$11+(FILLME!$B$13*(H58-FILLME!$B$14)),FILLME!$B$6)</f>
        <v>46081.666666666664</v>
      </c>
      <c r="H58" s="8">
        <v>57</v>
      </c>
      <c r="I58" s="8">
        <v>9</v>
      </c>
      <c r="J58" s="2" t="str">
        <v>STA</v>
      </c>
      <c r="K58" s="9" t="str">
        <f t="shared" si="0"/>
        <v>STA_57</v>
      </c>
      <c r="L58" s="10" t="str">
        <f t="shared" si="1"/>
        <v>SSEMG_STA_20260223_57</v>
      </c>
      <c r="M58" s="10" t="str">
        <f t="shared" si="2"/>
        <v>SSEMG_STA_IS_20260228_1600</v>
      </c>
      <c r="N58" t="b">
        <f>IF(ROW()-ROW($N$1) &lt;= FILLME!$G$4, TRUE, FALSE)</f>
        <v>1</v>
      </c>
      <c r="O58" t="b">
        <f>IF(ROW()-ROW($O$1) &lt;= FILLME!$G$5, TRUE, FALSE)</f>
        <v>0</v>
      </c>
      <c r="P58" t="b">
        <f>IF(ROW()-ROW($P$1) &lt;= FILLME!$G$7, TRUE, FALSE)</f>
        <v>0</v>
      </c>
      <c r="Q58" t="b">
        <f>IF(ROW()-ROW($Q$1) &lt;= FILLME!$G$6, TRUE, FALSE)</f>
        <v>1</v>
      </c>
      <c r="R58" t="b">
        <f>IF(ROW()-ROW($R$1) &lt;= FILLME!$G$8, TRUE, FALSE)</f>
        <v>1</v>
      </c>
      <c r="S58" t="b">
        <f>IF(ROW()-ROW($S$1) &lt;= FILLME!$G$9, TRUE, FALSE)</f>
        <v>1</v>
      </c>
      <c r="T58" t="b">
        <f>IF(ROW()-ROW($T$1) &lt;= FILLME!$G$10, TRUE, FALSE)</f>
        <v>1</v>
      </c>
      <c r="U58" t="b">
        <f>IF(ROW()-ROW($U$1) &lt;= FILLME!$G$11, TRUE, FALSE)</f>
        <v>1</v>
      </c>
    </row>
    <row r="59" spans="1:21" x14ac:dyDescent="0.25">
      <c r="A59" s="7" t="str">
        <f>FILLME!$B$7</f>
        <v>ISCO</v>
      </c>
      <c r="B59" t="str">
        <f>IF(FILLME!$B$3 = "", "", FILLME!$B$3)</f>
        <v/>
      </c>
      <c r="C59" s="67" t="str">
        <f>IF(FILLME!$B$7="ISCO",FILLME!$E$4,IF(FILLME!$B$7="Grab",FILLME!$E$5))</f>
        <v>IS</v>
      </c>
      <c r="D59" t="str">
        <f>IF(FILLME!$B$4 = "", "", FILLME!$B$4)</f>
        <v>SSEMG</v>
      </c>
      <c r="E59" s="7" t="str">
        <f>TEXT(FILLME!$B$6,"yyyymmdd")</f>
        <v>20260223</v>
      </c>
      <c r="F59" s="8">
        <v>0.75</v>
      </c>
      <c r="G59" s="7">
        <f>IF(FILLME!$B$7="ISCO",FILLME!$B$6+FILLME!$B$11+(FILLME!$B$13*(H59-FILLME!$B$14)),FILLME!$B$6)</f>
        <v>46081.75</v>
      </c>
      <c r="H59" s="8">
        <v>58</v>
      </c>
      <c r="I59" s="8">
        <v>10</v>
      </c>
      <c r="J59" s="2" t="str">
        <v>STA</v>
      </c>
      <c r="K59" s="9" t="str">
        <f t="shared" si="0"/>
        <v>STA_58</v>
      </c>
      <c r="L59" s="10" t="str">
        <f t="shared" si="1"/>
        <v>SSEMG_STA_20260223_58</v>
      </c>
      <c r="M59" s="10" t="str">
        <f t="shared" si="2"/>
        <v>SSEMG_STA_IS_20260228_1800</v>
      </c>
      <c r="N59" t="b">
        <f>IF(ROW()-ROW($N$1) &lt;= FILLME!$G$4, TRUE, FALSE)</f>
        <v>1</v>
      </c>
      <c r="O59" t="b">
        <f>IF(ROW()-ROW($O$1) &lt;= FILLME!$G$5, TRUE, FALSE)</f>
        <v>0</v>
      </c>
      <c r="P59" t="b">
        <f>IF(ROW()-ROW($P$1) &lt;= FILLME!$G$7, TRUE, FALSE)</f>
        <v>0</v>
      </c>
      <c r="Q59" t="b">
        <f>IF(ROW()-ROW($Q$1) &lt;= FILLME!$G$6, TRUE, FALSE)</f>
        <v>1</v>
      </c>
      <c r="R59" t="b">
        <f>IF(ROW()-ROW($R$1) &lt;= FILLME!$G$8, TRUE, FALSE)</f>
        <v>1</v>
      </c>
      <c r="S59" t="b">
        <f>IF(ROW()-ROW($S$1) &lt;= FILLME!$G$9, TRUE, FALSE)</f>
        <v>1</v>
      </c>
      <c r="T59" t="b">
        <f>IF(ROW()-ROW($T$1) &lt;= FILLME!$G$10, TRUE, FALSE)</f>
        <v>1</v>
      </c>
      <c r="U59" t="b">
        <f>IF(ROW()-ROW($U$1) &lt;= FILLME!$G$11, TRUE, FALSE)</f>
        <v>1</v>
      </c>
    </row>
    <row r="60" spans="1:21" x14ac:dyDescent="0.25">
      <c r="A60" s="7" t="str">
        <f>FILLME!$B$7</f>
        <v>ISCO</v>
      </c>
      <c r="B60" t="str">
        <f>IF(FILLME!$B$3 = "", "", FILLME!$B$3)</f>
        <v/>
      </c>
      <c r="C60" s="67" t="str">
        <f>IF(FILLME!$B$7="ISCO",FILLME!$E$4,IF(FILLME!$B$7="Grab",FILLME!$E$5))</f>
        <v>IS</v>
      </c>
      <c r="D60" t="str">
        <f>IF(FILLME!$B$4 = "", "", FILLME!$B$4)</f>
        <v>SSEMG</v>
      </c>
      <c r="E60" s="7" t="str">
        <f>TEXT(FILLME!$B$6,"yyyymmdd")</f>
        <v>20260223</v>
      </c>
      <c r="F60" s="8">
        <v>0.83333333333333304</v>
      </c>
      <c r="G60" s="7">
        <f>IF(FILLME!$B$7="ISCO",FILLME!$B$6+FILLME!$B$11+(FILLME!$B$13*(H60-FILLME!$B$14)),FILLME!$B$6)</f>
        <v>46081.833333333336</v>
      </c>
      <c r="H60" s="8">
        <v>59</v>
      </c>
      <c r="I60" s="8">
        <v>11</v>
      </c>
      <c r="J60" s="2" t="str">
        <v>STA</v>
      </c>
      <c r="K60" s="9" t="str">
        <f t="shared" si="0"/>
        <v>STA_59</v>
      </c>
      <c r="L60" s="10" t="str">
        <f t="shared" si="1"/>
        <v>SSEMG_STA_20260223_59</v>
      </c>
      <c r="M60" s="10" t="str">
        <f t="shared" si="2"/>
        <v>SSEMG_STA_IS_20260228_2000</v>
      </c>
      <c r="N60" t="b">
        <f>IF(ROW()-ROW($N$1) &lt;= FILLME!$G$4, TRUE, FALSE)</f>
        <v>1</v>
      </c>
      <c r="O60" t="b">
        <f>IF(ROW()-ROW($O$1) &lt;= FILLME!$G$5, TRUE, FALSE)</f>
        <v>0</v>
      </c>
      <c r="P60" t="b">
        <f>IF(ROW()-ROW($P$1) &lt;= FILLME!$G$7, TRUE, FALSE)</f>
        <v>0</v>
      </c>
      <c r="Q60" t="b">
        <f>IF(ROW()-ROW($Q$1) &lt;= FILLME!$G$6, TRUE, FALSE)</f>
        <v>1</v>
      </c>
      <c r="R60" t="b">
        <f>IF(ROW()-ROW($R$1) &lt;= FILLME!$G$8, TRUE, FALSE)</f>
        <v>1</v>
      </c>
      <c r="S60" t="b">
        <f>IF(ROW()-ROW($S$1) &lt;= FILLME!$G$9, TRUE, FALSE)</f>
        <v>1</v>
      </c>
      <c r="T60" t="b">
        <f>IF(ROW()-ROW($T$1) &lt;= FILLME!$G$10, TRUE, FALSE)</f>
        <v>1</v>
      </c>
      <c r="U60" t="b">
        <f>IF(ROW()-ROW($U$1) &lt;= FILLME!$G$11, TRUE, FALSE)</f>
        <v>1</v>
      </c>
    </row>
    <row r="61" spans="1:21" x14ac:dyDescent="0.25">
      <c r="A61" s="7" t="str">
        <f>FILLME!$B$7</f>
        <v>ISCO</v>
      </c>
      <c r="B61" t="str">
        <f>IF(FILLME!$B$3 = "", "", FILLME!$B$3)</f>
        <v/>
      </c>
      <c r="C61" s="67" t="str">
        <f>IF(FILLME!$B$7="ISCO",FILLME!$E$4,IF(FILLME!$B$7="Grab",FILLME!$E$5))</f>
        <v>IS</v>
      </c>
      <c r="D61" t="str">
        <f>IF(FILLME!$B$4 = "", "", FILLME!$B$4)</f>
        <v>SSEMG</v>
      </c>
      <c r="E61" s="7" t="str">
        <f>TEXT(FILLME!$B$6,"yyyymmdd")</f>
        <v>20260223</v>
      </c>
      <c r="F61" s="8">
        <v>0.91666666666666696</v>
      </c>
      <c r="G61" s="7">
        <f>IF(FILLME!$B$7="ISCO",FILLME!$B$6+FILLME!$B$11+(FILLME!$B$13*(H61-FILLME!$B$14)),FILLME!$B$6)</f>
        <v>46081.916666666664</v>
      </c>
      <c r="H61" s="8">
        <v>60</v>
      </c>
      <c r="I61" s="8">
        <v>12</v>
      </c>
      <c r="J61" s="2" t="str">
        <v>STA</v>
      </c>
      <c r="K61" s="9" t="str">
        <f t="shared" si="0"/>
        <v>STA_60</v>
      </c>
      <c r="L61" s="10" t="str">
        <f t="shared" si="1"/>
        <v>SSEMG_STA_20260223_60</v>
      </c>
      <c r="M61" s="10" t="str">
        <f t="shared" si="2"/>
        <v>SSEMG_STA_IS_20260228_2200</v>
      </c>
      <c r="N61" t="b">
        <f>IF(ROW()-ROW($N$1) &lt;= FILLME!$G$4, TRUE, FALSE)</f>
        <v>1</v>
      </c>
      <c r="O61" t="b">
        <f>IF(ROW()-ROW($O$1) &lt;= FILLME!$G$5, TRUE, FALSE)</f>
        <v>0</v>
      </c>
      <c r="P61" t="b">
        <f>IF(ROW()-ROW($P$1) &lt;= FILLME!$G$7, TRUE, FALSE)</f>
        <v>0</v>
      </c>
      <c r="Q61" t="b">
        <f>IF(ROW()-ROW($Q$1) &lt;= FILLME!$G$6, TRUE, FALSE)</f>
        <v>1</v>
      </c>
      <c r="R61" t="b">
        <f>IF(ROW()-ROW($R$1) &lt;= FILLME!$G$8, TRUE, FALSE)</f>
        <v>1</v>
      </c>
      <c r="S61" t="b">
        <f>IF(ROW()-ROW($S$1) &lt;= FILLME!$G$9, TRUE, FALSE)</f>
        <v>1</v>
      </c>
      <c r="T61" t="b">
        <f>IF(ROW()-ROW($T$1) &lt;= FILLME!$G$10, TRUE, FALSE)</f>
        <v>1</v>
      </c>
      <c r="U61" t="b">
        <f>IF(ROW()-ROW($U$1) &lt;= FILLME!$G$11, TRUE, FALSE)</f>
        <v>1</v>
      </c>
    </row>
    <row r="62" spans="1:21" x14ac:dyDescent="0.25">
      <c r="A62" s="7" t="str">
        <f>FILLME!$B$7</f>
        <v>ISCO</v>
      </c>
      <c r="B62" t="str">
        <f>IF(FILLME!$B$3 = "", "", FILLME!$B$3)</f>
        <v/>
      </c>
      <c r="C62" s="67" t="str">
        <f>IF(FILLME!$B$7="ISCO",FILLME!$E$4,IF(FILLME!$B$7="Grab",FILLME!$E$5))</f>
        <v>IS</v>
      </c>
      <c r="D62" t="str">
        <f>IF(FILLME!$B$4 = "", "", FILLME!$B$4)</f>
        <v>SSEMG</v>
      </c>
      <c r="E62" s="7" t="str">
        <f>TEXT(FILLME!$B$6,"yyyymmdd")</f>
        <v>20260223</v>
      </c>
      <c r="F62" s="8">
        <v>0</v>
      </c>
      <c r="G62" s="7">
        <f>IF(FILLME!$B$7="ISCO",FILLME!$B$6+FILLME!$B$11+(FILLME!$B$13*(H62-FILLME!$B$14)),FILLME!$B$6)</f>
        <v>46082</v>
      </c>
      <c r="H62" s="8">
        <v>61</v>
      </c>
      <c r="I62" s="8">
        <v>13</v>
      </c>
      <c r="J62" s="2" t="str">
        <v>STA</v>
      </c>
      <c r="K62" s="9" t="str">
        <f t="shared" si="0"/>
        <v>STA_61</v>
      </c>
      <c r="L62" s="10" t="str">
        <f t="shared" si="1"/>
        <v>SSEMG_STA_20260223_61</v>
      </c>
      <c r="M62" s="10" t="str">
        <f t="shared" si="2"/>
        <v>SSEMG_STA_IS_20260301_0000</v>
      </c>
      <c r="N62" t="b">
        <f>IF(ROW()-ROW($N$1) &lt;= FILLME!$G$4, TRUE, FALSE)</f>
        <v>1</v>
      </c>
      <c r="O62" t="b">
        <f>IF(ROW()-ROW($O$1) &lt;= FILLME!$G$5, TRUE, FALSE)</f>
        <v>0</v>
      </c>
      <c r="P62" t="b">
        <f>IF(ROW()-ROW($P$1) &lt;= FILLME!$G$7, TRUE, FALSE)</f>
        <v>0</v>
      </c>
      <c r="Q62" t="b">
        <f>IF(ROW()-ROW($Q$1) &lt;= FILLME!$G$6, TRUE, FALSE)</f>
        <v>1</v>
      </c>
      <c r="R62" t="b">
        <f>IF(ROW()-ROW($R$1) &lt;= FILLME!$G$8, TRUE, FALSE)</f>
        <v>1</v>
      </c>
      <c r="S62" t="b">
        <f>IF(ROW()-ROW($S$1) &lt;= FILLME!$G$9, TRUE, FALSE)</f>
        <v>1</v>
      </c>
      <c r="T62" t="b">
        <f>IF(ROW()-ROW($T$1) &lt;= FILLME!$G$10, TRUE, FALSE)</f>
        <v>1</v>
      </c>
      <c r="U62" t="b">
        <f>IF(ROW()-ROW($U$1) &lt;= FILLME!$G$11, TRUE, FALSE)</f>
        <v>1</v>
      </c>
    </row>
    <row r="63" spans="1:21" x14ac:dyDescent="0.25">
      <c r="A63" s="7" t="str">
        <f>FILLME!$B$7</f>
        <v>ISCO</v>
      </c>
      <c r="B63" t="str">
        <f>IF(FILLME!$B$3 = "", "", FILLME!$B$3)</f>
        <v/>
      </c>
      <c r="C63" s="67" t="str">
        <f>IF(FILLME!$B$7="ISCO",FILLME!$E$4,IF(FILLME!$B$7="Grab",FILLME!$E$5))</f>
        <v>IS</v>
      </c>
      <c r="D63" t="str">
        <f>IF(FILLME!$B$4 = "", "", FILLME!$B$4)</f>
        <v>SSEMG</v>
      </c>
      <c r="E63" s="7" t="str">
        <f>TEXT(FILLME!$B$6,"yyyymmdd")</f>
        <v>20260223</v>
      </c>
      <c r="F63" s="8">
        <v>8.3333333333333037E-2</v>
      </c>
      <c r="G63" s="7">
        <f>IF(FILLME!$B$7="ISCO",FILLME!$B$6+FILLME!$B$11+(FILLME!$B$13*(H63-FILLME!$B$14)),FILLME!$B$6)</f>
        <v>46082.083333333336</v>
      </c>
      <c r="H63" s="8">
        <v>62</v>
      </c>
      <c r="I63" s="8">
        <v>14</v>
      </c>
      <c r="J63" s="2" t="str">
        <v>STA</v>
      </c>
      <c r="K63" s="9" t="str">
        <f t="shared" si="0"/>
        <v>STA_62</v>
      </c>
      <c r="L63" s="10" t="str">
        <f t="shared" si="1"/>
        <v>SSEMG_STA_20260223_62</v>
      </c>
      <c r="M63" s="10" t="str">
        <f t="shared" si="2"/>
        <v>SSEMG_STA_IS_20260301_0200</v>
      </c>
      <c r="N63" t="b">
        <f>IF(ROW()-ROW($N$1) &lt;= FILLME!$G$4, TRUE, FALSE)</f>
        <v>1</v>
      </c>
      <c r="O63" t="b">
        <f>IF(ROW()-ROW($O$1) &lt;= FILLME!$G$5, TRUE, FALSE)</f>
        <v>0</v>
      </c>
      <c r="P63" t="b">
        <f>IF(ROW()-ROW($P$1) &lt;= FILLME!$G$7, TRUE, FALSE)</f>
        <v>0</v>
      </c>
      <c r="Q63" t="b">
        <f>IF(ROW()-ROW($Q$1) &lt;= FILLME!$G$6, TRUE, FALSE)</f>
        <v>1</v>
      </c>
      <c r="R63" t="b">
        <f>IF(ROW()-ROW($R$1) &lt;= FILLME!$G$8, TRUE, FALSE)</f>
        <v>1</v>
      </c>
      <c r="S63" t="b">
        <f>IF(ROW()-ROW($S$1) &lt;= FILLME!$G$9, TRUE, FALSE)</f>
        <v>1</v>
      </c>
      <c r="T63" t="b">
        <f>IF(ROW()-ROW($T$1) &lt;= FILLME!$G$10, TRUE, FALSE)</f>
        <v>1</v>
      </c>
      <c r="U63" t="b">
        <f>IF(ROW()-ROW($U$1) &lt;= FILLME!$G$11, TRUE, FALSE)</f>
        <v>1</v>
      </c>
    </row>
    <row r="64" spans="1:21" x14ac:dyDescent="0.25">
      <c r="A64" s="7" t="str">
        <f>FILLME!$B$7</f>
        <v>ISCO</v>
      </c>
      <c r="B64" t="str">
        <f>IF(FILLME!$B$3 = "", "", FILLME!$B$3)</f>
        <v/>
      </c>
      <c r="C64" s="67" t="str">
        <f>IF(FILLME!$B$7="ISCO",FILLME!$E$4,IF(FILLME!$B$7="Grab",FILLME!$E$5))</f>
        <v>IS</v>
      </c>
      <c r="D64" t="str">
        <f>IF(FILLME!$B$4 = "", "", FILLME!$B$4)</f>
        <v>SSEMG</v>
      </c>
      <c r="E64" s="7" t="str">
        <f>TEXT(FILLME!$B$6,"yyyymmdd")</f>
        <v>20260223</v>
      </c>
      <c r="F64" s="8">
        <v>0.16666666666666696</v>
      </c>
      <c r="G64" s="7">
        <f>IF(FILLME!$B$7="ISCO",FILLME!$B$6+FILLME!$B$11+(FILLME!$B$13*(H64-FILLME!$B$14)),FILLME!$B$6)</f>
        <v>46082.166666666664</v>
      </c>
      <c r="H64" s="8">
        <v>63</v>
      </c>
      <c r="I64" s="8">
        <v>15</v>
      </c>
      <c r="J64" s="2" t="str">
        <v>STA</v>
      </c>
      <c r="K64" s="9" t="str">
        <f t="shared" si="0"/>
        <v>STA_63</v>
      </c>
      <c r="L64" s="10" t="str">
        <f t="shared" si="1"/>
        <v>SSEMG_STA_20260223_63</v>
      </c>
      <c r="M64" s="10" t="str">
        <f t="shared" si="2"/>
        <v>SSEMG_STA_IS_20260301_0400</v>
      </c>
      <c r="N64" t="b">
        <f>IF(ROW()-ROW($N$1) &lt;= FILLME!$G$4, TRUE, FALSE)</f>
        <v>1</v>
      </c>
      <c r="O64" t="b">
        <f>IF(ROW()-ROW($O$1) &lt;= FILLME!$G$5, TRUE, FALSE)</f>
        <v>0</v>
      </c>
      <c r="P64" t="b">
        <f>IF(ROW()-ROW($P$1) &lt;= FILLME!$G$7, TRUE, FALSE)</f>
        <v>0</v>
      </c>
      <c r="Q64" t="b">
        <f>IF(ROW()-ROW($Q$1) &lt;= FILLME!$G$6, TRUE, FALSE)</f>
        <v>1</v>
      </c>
      <c r="R64" t="b">
        <f>IF(ROW()-ROW($R$1) &lt;= FILLME!$G$8, TRUE, FALSE)</f>
        <v>1</v>
      </c>
      <c r="S64" t="b">
        <f>IF(ROW()-ROW($S$1) &lt;= FILLME!$G$9, TRUE, FALSE)</f>
        <v>1</v>
      </c>
      <c r="T64" t="b">
        <f>IF(ROW()-ROW($T$1) &lt;= FILLME!$G$10, TRUE, FALSE)</f>
        <v>1</v>
      </c>
      <c r="U64" t="b">
        <f>IF(ROW()-ROW($U$1) &lt;= FILLME!$G$11, TRUE, FALSE)</f>
        <v>1</v>
      </c>
    </row>
    <row r="65" spans="1:21" x14ac:dyDescent="0.25">
      <c r="A65" s="7" t="str">
        <f>FILLME!$B$7</f>
        <v>ISCO</v>
      </c>
      <c r="B65" t="str">
        <f>IF(FILLME!$B$3 = "", "", FILLME!$B$3)</f>
        <v/>
      </c>
      <c r="C65" s="67" t="str">
        <f>IF(FILLME!$B$7="ISCO",FILLME!$E$4,IF(FILLME!$B$7="Grab",FILLME!$E$5))</f>
        <v>IS</v>
      </c>
      <c r="D65" t="str">
        <f>IF(FILLME!$B$4 = "", "", FILLME!$B$4)</f>
        <v>SSEMG</v>
      </c>
      <c r="E65" s="7" t="str">
        <f>TEXT(FILLME!$B$6,"yyyymmdd")</f>
        <v>20260223</v>
      </c>
      <c r="F65" s="8">
        <v>0.25</v>
      </c>
      <c r="G65" s="7">
        <f>IF(FILLME!$B$7="ISCO",FILLME!$B$6+FILLME!$B$11+(FILLME!$B$13*(H65-FILLME!$B$14)),FILLME!$B$6)</f>
        <v>46082.25</v>
      </c>
      <c r="H65" s="8">
        <v>64</v>
      </c>
      <c r="I65" s="8">
        <v>16</v>
      </c>
      <c r="J65" s="2" t="str">
        <v>STA</v>
      </c>
      <c r="K65" s="9" t="str">
        <f t="shared" si="0"/>
        <v>STA_64</v>
      </c>
      <c r="L65" s="10" t="str">
        <f t="shared" si="1"/>
        <v>SSEMG_STA_20260223_64</v>
      </c>
      <c r="M65" s="10" t="str">
        <f t="shared" si="2"/>
        <v>SSEMG_STA_IS_20260301_0600</v>
      </c>
      <c r="N65" t="b">
        <f>IF(ROW()-ROW($N$1) &lt;= FILLME!$G$4, TRUE, FALSE)</f>
        <v>1</v>
      </c>
      <c r="O65" t="b">
        <f>IF(ROW()-ROW($O$1) &lt;= FILLME!$G$5, TRUE, FALSE)</f>
        <v>0</v>
      </c>
      <c r="P65" t="b">
        <f>IF(ROW()-ROW($P$1) &lt;= FILLME!$G$7, TRUE, FALSE)</f>
        <v>0</v>
      </c>
      <c r="Q65" t="b">
        <f>IF(ROW()-ROW($Q$1) &lt;= FILLME!$G$6, TRUE, FALSE)</f>
        <v>1</v>
      </c>
      <c r="R65" t="b">
        <f>IF(ROW()-ROW($R$1) &lt;= FILLME!$G$8, TRUE, FALSE)</f>
        <v>1</v>
      </c>
      <c r="S65" t="b">
        <f>IF(ROW()-ROW($S$1) &lt;= FILLME!$G$9, TRUE, FALSE)</f>
        <v>1</v>
      </c>
      <c r="T65" t="b">
        <f>IF(ROW()-ROW($T$1) &lt;= FILLME!$G$10, TRUE, FALSE)</f>
        <v>1</v>
      </c>
      <c r="U65" t="b">
        <f>IF(ROW()-ROW($U$1) &lt;= FILLME!$G$11, TRUE, FALSE)</f>
        <v>1</v>
      </c>
    </row>
    <row r="66" spans="1:21" x14ac:dyDescent="0.25">
      <c r="A66" s="7" t="str">
        <f>FILLME!$B$7</f>
        <v>ISCO</v>
      </c>
      <c r="B66" t="str">
        <f>IF(FILLME!$B$3 = "", "", FILLME!$B$3)</f>
        <v/>
      </c>
      <c r="C66" s="67" t="str">
        <f>IF(FILLME!$B$7="ISCO",FILLME!$E$4,IF(FILLME!$B$7="Grab",FILLME!$E$5))</f>
        <v>IS</v>
      </c>
      <c r="D66" t="str">
        <f>IF(FILLME!$B$4 = "", "", FILLME!$B$4)</f>
        <v>SSEMG</v>
      </c>
      <c r="E66" s="7" t="str">
        <f>TEXT(FILLME!$B$6,"yyyymmdd")</f>
        <v>20260223</v>
      </c>
      <c r="F66" s="8">
        <v>0.33333333333333304</v>
      </c>
      <c r="G66" s="7">
        <f>IF(FILLME!$B$7="ISCO",FILLME!$B$6+FILLME!$B$11+(FILLME!$B$13*(H66-FILLME!$B$14)),FILLME!$B$6)</f>
        <v>46082.333333333336</v>
      </c>
      <c r="H66" s="8">
        <v>65</v>
      </c>
      <c r="I66" s="8">
        <v>17</v>
      </c>
      <c r="J66" s="2" t="str">
        <v>STA</v>
      </c>
      <c r="K66" s="9" t="str">
        <f t="shared" ref="K66:K129" si="3">CONCATENATE(J66,"_",TEXT(H66,"00"))</f>
        <v>STA_65</v>
      </c>
      <c r="L66" s="10" t="str">
        <f t="shared" ref="L66:L129" si="4">CONCATENATE(D66,"_", J66,"_",E66,"_",TEXT(H66,"00"))</f>
        <v>SSEMG_STA_20260223_65</v>
      </c>
      <c r="M66" s="10" t="str">
        <f t="shared" ref="M66:M129" si="5">CONCATENATE(D66,"_", J66,"_",C66,"_",TEXT(G66, "yyyymmdd"),"_",TEXT(F66, "hhmm"))</f>
        <v>SSEMG_STA_IS_20260301_0800</v>
      </c>
      <c r="N66" t="b">
        <f>IF(ROW()-ROW($N$1) &lt;= FILLME!$G$4, TRUE, FALSE)</f>
        <v>1</v>
      </c>
      <c r="O66" t="b">
        <f>IF(ROW()-ROW($O$1) &lt;= FILLME!$G$5, TRUE, FALSE)</f>
        <v>0</v>
      </c>
      <c r="P66" t="b">
        <f>IF(ROW()-ROW($P$1) &lt;= FILLME!$G$7, TRUE, FALSE)</f>
        <v>0</v>
      </c>
      <c r="Q66" t="b">
        <f>IF(ROW()-ROW($Q$1) &lt;= FILLME!$G$6, TRUE, FALSE)</f>
        <v>1</v>
      </c>
      <c r="R66" t="b">
        <f>IF(ROW()-ROW($R$1) &lt;= FILLME!$G$8, TRUE, FALSE)</f>
        <v>1</v>
      </c>
      <c r="S66" t="b">
        <f>IF(ROW()-ROW($S$1) &lt;= FILLME!$G$9, TRUE, FALSE)</f>
        <v>1</v>
      </c>
      <c r="T66" t="b">
        <f>IF(ROW()-ROW($T$1) &lt;= FILLME!$G$10, TRUE, FALSE)</f>
        <v>1</v>
      </c>
      <c r="U66" t="b">
        <f>IF(ROW()-ROW($U$1) &lt;= FILLME!$G$11, TRUE, FALSE)</f>
        <v>1</v>
      </c>
    </row>
    <row r="67" spans="1:21" x14ac:dyDescent="0.25">
      <c r="A67" s="7" t="str">
        <f>FILLME!$B$7</f>
        <v>ISCO</v>
      </c>
      <c r="B67" t="str">
        <f>IF(FILLME!$B$3 = "", "", FILLME!$B$3)</f>
        <v/>
      </c>
      <c r="C67" s="67" t="str">
        <f>IF(FILLME!$B$7="ISCO",FILLME!$E$4,IF(FILLME!$B$7="Grab",FILLME!$E$5))</f>
        <v>IS</v>
      </c>
      <c r="D67" t="str">
        <f>IF(FILLME!$B$4 = "", "", FILLME!$B$4)</f>
        <v>SSEMG</v>
      </c>
      <c r="E67" s="7" t="str">
        <f>TEXT(FILLME!$B$6,"yyyymmdd")</f>
        <v>20260223</v>
      </c>
      <c r="F67" s="8">
        <v>0.41666666666666696</v>
      </c>
      <c r="G67" s="7">
        <f>IF(FILLME!$B$7="ISCO",FILLME!$B$6+FILLME!$B$11+(FILLME!$B$13*(H67-FILLME!$B$14)),FILLME!$B$6)</f>
        <v>46082.416666666664</v>
      </c>
      <c r="H67" s="8">
        <v>66</v>
      </c>
      <c r="I67" s="8">
        <v>18</v>
      </c>
      <c r="J67" s="2" t="str">
        <v>STA</v>
      </c>
      <c r="K67" s="9" t="str">
        <f t="shared" si="3"/>
        <v>STA_66</v>
      </c>
      <c r="L67" s="10" t="str">
        <f t="shared" si="4"/>
        <v>SSEMG_STA_20260223_66</v>
      </c>
      <c r="M67" s="10" t="str">
        <f t="shared" si="5"/>
        <v>SSEMG_STA_IS_20260301_1000</v>
      </c>
      <c r="N67" t="b">
        <f>IF(ROW()-ROW($N$1) &lt;= FILLME!$G$4, TRUE, FALSE)</f>
        <v>1</v>
      </c>
      <c r="O67" t="b">
        <f>IF(ROW()-ROW($O$1) &lt;= FILLME!$G$5, TRUE, FALSE)</f>
        <v>0</v>
      </c>
      <c r="P67" t="b">
        <f>IF(ROW()-ROW($P$1) &lt;= FILLME!$G$7, TRUE, FALSE)</f>
        <v>0</v>
      </c>
      <c r="Q67" t="b">
        <f>IF(ROW()-ROW($Q$1) &lt;= FILLME!$G$6, TRUE, FALSE)</f>
        <v>1</v>
      </c>
      <c r="R67" t="b">
        <f>IF(ROW()-ROW($R$1) &lt;= FILLME!$G$8, TRUE, FALSE)</f>
        <v>1</v>
      </c>
      <c r="S67" t="b">
        <f>IF(ROW()-ROW($S$1) &lt;= FILLME!$G$9, TRUE, FALSE)</f>
        <v>1</v>
      </c>
      <c r="T67" t="b">
        <f>IF(ROW()-ROW($T$1) &lt;= FILLME!$G$10, TRUE, FALSE)</f>
        <v>1</v>
      </c>
      <c r="U67" t="b">
        <f>IF(ROW()-ROW($U$1) &lt;= FILLME!$G$11, TRUE, FALSE)</f>
        <v>1</v>
      </c>
    </row>
    <row r="68" spans="1:21" x14ac:dyDescent="0.25">
      <c r="A68" s="7" t="str">
        <f>FILLME!$B$7</f>
        <v>ISCO</v>
      </c>
      <c r="B68" t="str">
        <f>IF(FILLME!$B$3 = "", "", FILLME!$B$3)</f>
        <v/>
      </c>
      <c r="C68" s="67" t="str">
        <f>IF(FILLME!$B$7="ISCO",FILLME!$E$4,IF(FILLME!$B$7="Grab",FILLME!$E$5))</f>
        <v>IS</v>
      </c>
      <c r="D68" t="str">
        <f>IF(FILLME!$B$4 = "", "", FILLME!$B$4)</f>
        <v>SSEMG</v>
      </c>
      <c r="E68" s="7" t="str">
        <f>TEXT(FILLME!$B$6,"yyyymmdd")</f>
        <v>20260223</v>
      </c>
      <c r="F68" s="8">
        <v>0.5</v>
      </c>
      <c r="G68" s="7">
        <f>IF(FILLME!$B$7="ISCO",FILLME!$B$6+FILLME!$B$11+(FILLME!$B$13*(H68-FILLME!$B$14)),FILLME!$B$6)</f>
        <v>46082.5</v>
      </c>
      <c r="H68" s="8">
        <v>67</v>
      </c>
      <c r="I68" s="8">
        <v>19</v>
      </c>
      <c r="J68" s="2" t="str">
        <v>STA</v>
      </c>
      <c r="K68" s="9" t="str">
        <f t="shared" si="3"/>
        <v>STA_67</v>
      </c>
      <c r="L68" s="10" t="str">
        <f t="shared" si="4"/>
        <v>SSEMG_STA_20260223_67</v>
      </c>
      <c r="M68" s="10" t="str">
        <f t="shared" si="5"/>
        <v>SSEMG_STA_IS_20260301_1200</v>
      </c>
      <c r="N68" t="b">
        <f>IF(ROW()-ROW($N$1) &lt;= FILLME!$G$4, TRUE, FALSE)</f>
        <v>1</v>
      </c>
      <c r="O68" t="b">
        <f>IF(ROW()-ROW($O$1) &lt;= FILLME!$G$5, TRUE, FALSE)</f>
        <v>0</v>
      </c>
      <c r="P68" t="b">
        <f>IF(ROW()-ROW($P$1) &lt;= FILLME!$G$7, TRUE, FALSE)</f>
        <v>0</v>
      </c>
      <c r="Q68" t="b">
        <f>IF(ROW()-ROW($Q$1) &lt;= FILLME!$G$6, TRUE, FALSE)</f>
        <v>1</v>
      </c>
      <c r="R68" t="b">
        <f>IF(ROW()-ROW($R$1) &lt;= FILLME!$G$8, TRUE, FALSE)</f>
        <v>1</v>
      </c>
      <c r="S68" t="b">
        <f>IF(ROW()-ROW($S$1) &lt;= FILLME!$G$9, TRUE, FALSE)</f>
        <v>1</v>
      </c>
      <c r="T68" t="b">
        <f>IF(ROW()-ROW($T$1) &lt;= FILLME!$G$10, TRUE, FALSE)</f>
        <v>1</v>
      </c>
      <c r="U68" t="b">
        <f>IF(ROW()-ROW($U$1) &lt;= FILLME!$G$11, TRUE, FALSE)</f>
        <v>1</v>
      </c>
    </row>
    <row r="69" spans="1:21" x14ac:dyDescent="0.25">
      <c r="A69" s="7" t="str">
        <f>FILLME!$B$7</f>
        <v>ISCO</v>
      </c>
      <c r="B69" t="str">
        <f>IF(FILLME!$B$3 = "", "", FILLME!$B$3)</f>
        <v/>
      </c>
      <c r="C69" s="67" t="str">
        <f>IF(FILLME!$B$7="ISCO",FILLME!$E$4,IF(FILLME!$B$7="Grab",FILLME!$E$5))</f>
        <v>IS</v>
      </c>
      <c r="D69" t="str">
        <f>IF(FILLME!$B$4 = "", "", FILLME!$B$4)</f>
        <v>SSEMG</v>
      </c>
      <c r="E69" s="7" t="str">
        <f>TEXT(FILLME!$B$6,"yyyymmdd")</f>
        <v>20260223</v>
      </c>
      <c r="F69" s="8">
        <v>0.58333333333333304</v>
      </c>
      <c r="G69" s="7">
        <f>IF(FILLME!$B$7="ISCO",FILLME!$B$6+FILLME!$B$11+(FILLME!$B$13*(H69-FILLME!$B$14)),FILLME!$B$6)</f>
        <v>46082.583333333336</v>
      </c>
      <c r="H69" s="8">
        <v>68</v>
      </c>
      <c r="I69" s="8">
        <v>20</v>
      </c>
      <c r="J69" s="2" t="str">
        <v>STA</v>
      </c>
      <c r="K69" s="9" t="str">
        <f t="shared" si="3"/>
        <v>STA_68</v>
      </c>
      <c r="L69" s="10" t="str">
        <f t="shared" si="4"/>
        <v>SSEMG_STA_20260223_68</v>
      </c>
      <c r="M69" s="10" t="str">
        <f t="shared" si="5"/>
        <v>SSEMG_STA_IS_20260301_1400</v>
      </c>
      <c r="N69" t="b">
        <f>IF(ROW()-ROW($N$1) &lt;= FILLME!$G$4, TRUE, FALSE)</f>
        <v>1</v>
      </c>
      <c r="O69" t="b">
        <f>IF(ROW()-ROW($O$1) &lt;= FILLME!$G$5, TRUE, FALSE)</f>
        <v>0</v>
      </c>
      <c r="P69" t="b">
        <f>IF(ROW()-ROW($P$1) &lt;= FILLME!$G$7, TRUE, FALSE)</f>
        <v>0</v>
      </c>
      <c r="Q69" t="b">
        <f>IF(ROW()-ROW($Q$1) &lt;= FILLME!$G$6, TRUE, FALSE)</f>
        <v>1</v>
      </c>
      <c r="R69" t="b">
        <f>IF(ROW()-ROW($R$1) &lt;= FILLME!$G$8, TRUE, FALSE)</f>
        <v>1</v>
      </c>
      <c r="S69" t="b">
        <f>IF(ROW()-ROW($S$1) &lt;= FILLME!$G$9, TRUE, FALSE)</f>
        <v>1</v>
      </c>
      <c r="T69" t="b">
        <f>IF(ROW()-ROW($T$1) &lt;= FILLME!$G$10, TRUE, FALSE)</f>
        <v>1</v>
      </c>
      <c r="U69" t="b">
        <f>IF(ROW()-ROW($U$1) &lt;= FILLME!$G$11, TRUE, FALSE)</f>
        <v>1</v>
      </c>
    </row>
    <row r="70" spans="1:21" x14ac:dyDescent="0.25">
      <c r="A70" s="7" t="str">
        <f>FILLME!$B$7</f>
        <v>ISCO</v>
      </c>
      <c r="B70" t="str">
        <f>IF(FILLME!$B$3 = "", "", FILLME!$B$3)</f>
        <v/>
      </c>
      <c r="C70" s="67" t="str">
        <f>IF(FILLME!$B$7="ISCO",FILLME!$E$4,IF(FILLME!$B$7="Grab",FILLME!$E$5))</f>
        <v>IS</v>
      </c>
      <c r="D70" t="str">
        <f>IF(FILLME!$B$4 = "", "", FILLME!$B$4)</f>
        <v>SSEMG</v>
      </c>
      <c r="E70" s="7" t="str">
        <f>TEXT(FILLME!$B$6,"yyyymmdd")</f>
        <v>20260223</v>
      </c>
      <c r="F70" s="8">
        <v>0.66666666666666696</v>
      </c>
      <c r="G70" s="7">
        <f>IF(FILLME!$B$7="ISCO",FILLME!$B$6+FILLME!$B$11+(FILLME!$B$13*(H70-FILLME!$B$14)),FILLME!$B$6)</f>
        <v>46082.666666666664</v>
      </c>
      <c r="H70" s="8">
        <v>69</v>
      </c>
      <c r="I70" s="8">
        <v>21</v>
      </c>
      <c r="J70" s="2" t="str">
        <v>STA</v>
      </c>
      <c r="K70" s="9" t="str">
        <f t="shared" si="3"/>
        <v>STA_69</v>
      </c>
      <c r="L70" s="10" t="str">
        <f t="shared" si="4"/>
        <v>SSEMG_STA_20260223_69</v>
      </c>
      <c r="M70" s="10" t="str">
        <f t="shared" si="5"/>
        <v>SSEMG_STA_IS_20260301_1600</v>
      </c>
      <c r="N70" t="b">
        <f>IF(ROW()-ROW($N$1) &lt;= FILLME!$G$4, TRUE, FALSE)</f>
        <v>1</v>
      </c>
      <c r="O70" t="b">
        <f>IF(ROW()-ROW($O$1) &lt;= FILLME!$G$5, TRUE, FALSE)</f>
        <v>0</v>
      </c>
      <c r="P70" t="b">
        <f>IF(ROW()-ROW($P$1) &lt;= FILLME!$G$7, TRUE, FALSE)</f>
        <v>0</v>
      </c>
      <c r="Q70" t="b">
        <f>IF(ROW()-ROW($Q$1) &lt;= FILLME!$G$6, TRUE, FALSE)</f>
        <v>1</v>
      </c>
      <c r="R70" t="b">
        <f>IF(ROW()-ROW($R$1) &lt;= FILLME!$G$8, TRUE, FALSE)</f>
        <v>1</v>
      </c>
      <c r="S70" t="b">
        <f>IF(ROW()-ROW($S$1) &lt;= FILLME!$G$9, TRUE, FALSE)</f>
        <v>1</v>
      </c>
      <c r="T70" t="b">
        <f>IF(ROW()-ROW($T$1) &lt;= FILLME!$G$10, TRUE, FALSE)</f>
        <v>1</v>
      </c>
      <c r="U70" t="b">
        <f>IF(ROW()-ROW($U$1) &lt;= FILLME!$G$11, TRUE, FALSE)</f>
        <v>1</v>
      </c>
    </row>
    <row r="71" spans="1:21" x14ac:dyDescent="0.25">
      <c r="A71" s="7" t="str">
        <f>FILLME!$B$7</f>
        <v>ISCO</v>
      </c>
      <c r="B71" t="str">
        <f>IF(FILLME!$B$3 = "", "", FILLME!$B$3)</f>
        <v/>
      </c>
      <c r="C71" s="67" t="str">
        <f>IF(FILLME!$B$7="ISCO",FILLME!$E$4,IF(FILLME!$B$7="Grab",FILLME!$E$5))</f>
        <v>IS</v>
      </c>
      <c r="D71" t="str">
        <f>IF(FILLME!$B$4 = "", "", FILLME!$B$4)</f>
        <v>SSEMG</v>
      </c>
      <c r="E71" s="7" t="str">
        <f>TEXT(FILLME!$B$6,"yyyymmdd")</f>
        <v>20260223</v>
      </c>
      <c r="F71" s="8">
        <v>0.75</v>
      </c>
      <c r="G71" s="7">
        <f>IF(FILLME!$B$7="ISCO",FILLME!$B$6+FILLME!$B$11+(FILLME!$B$13*(H71-FILLME!$B$14)),FILLME!$B$6)</f>
        <v>46082.75</v>
      </c>
      <c r="H71" s="8">
        <v>70</v>
      </c>
      <c r="I71" s="8">
        <v>22</v>
      </c>
      <c r="J71" s="2" t="str">
        <v>STA</v>
      </c>
      <c r="K71" s="9" t="str">
        <f t="shared" si="3"/>
        <v>STA_70</v>
      </c>
      <c r="L71" s="10" t="str">
        <f t="shared" si="4"/>
        <v>SSEMG_STA_20260223_70</v>
      </c>
      <c r="M71" s="10" t="str">
        <f t="shared" si="5"/>
        <v>SSEMG_STA_IS_20260301_1800</v>
      </c>
      <c r="N71" t="b">
        <f>IF(ROW()-ROW($N$1) &lt;= FILLME!$G$4, TRUE, FALSE)</f>
        <v>1</v>
      </c>
      <c r="O71" t="b">
        <f>IF(ROW()-ROW($O$1) &lt;= FILLME!$G$5, TRUE, FALSE)</f>
        <v>0</v>
      </c>
      <c r="P71" t="b">
        <f>IF(ROW()-ROW($P$1) &lt;= FILLME!$G$7, TRUE, FALSE)</f>
        <v>0</v>
      </c>
      <c r="Q71" t="b">
        <f>IF(ROW()-ROW($Q$1) &lt;= FILLME!$G$6, TRUE, FALSE)</f>
        <v>1</v>
      </c>
      <c r="R71" t="b">
        <f>IF(ROW()-ROW($R$1) &lt;= FILLME!$G$8, TRUE, FALSE)</f>
        <v>1</v>
      </c>
      <c r="S71" t="b">
        <f>IF(ROW()-ROW($S$1) &lt;= FILLME!$G$9, TRUE, FALSE)</f>
        <v>1</v>
      </c>
      <c r="T71" t="b">
        <f>IF(ROW()-ROW($T$1) &lt;= FILLME!$G$10, TRUE, FALSE)</f>
        <v>1</v>
      </c>
      <c r="U71" t="b">
        <f>IF(ROW()-ROW($U$1) &lt;= FILLME!$G$11, TRUE, FALSE)</f>
        <v>1</v>
      </c>
    </row>
    <row r="72" spans="1:21" x14ac:dyDescent="0.25">
      <c r="A72" s="7" t="str">
        <f>FILLME!$B$7</f>
        <v>ISCO</v>
      </c>
      <c r="B72" t="str">
        <f>IF(FILLME!$B$3 = "", "", FILLME!$B$3)</f>
        <v/>
      </c>
      <c r="C72" s="67" t="str">
        <f>IF(FILLME!$B$7="ISCO",FILLME!$E$4,IF(FILLME!$B$7="Grab",FILLME!$E$5))</f>
        <v>IS</v>
      </c>
      <c r="D72" t="str">
        <f>IF(FILLME!$B$4 = "", "", FILLME!$B$4)</f>
        <v>SSEMG</v>
      </c>
      <c r="E72" s="7" t="str">
        <f>TEXT(FILLME!$B$6,"yyyymmdd")</f>
        <v>20260223</v>
      </c>
      <c r="F72" s="8">
        <v>0.83333333333333304</v>
      </c>
      <c r="G72" s="7">
        <f>IF(FILLME!$B$7="ISCO",FILLME!$B$6+FILLME!$B$11+(FILLME!$B$13*(H72-FILLME!$B$14)),FILLME!$B$6)</f>
        <v>46082.833333333336</v>
      </c>
      <c r="H72" s="8">
        <v>71</v>
      </c>
      <c r="I72" s="8">
        <v>23</v>
      </c>
      <c r="J72" s="2" t="str">
        <v>STA</v>
      </c>
      <c r="K72" s="9" t="str">
        <f t="shared" si="3"/>
        <v>STA_71</v>
      </c>
      <c r="L72" s="10" t="str">
        <f t="shared" si="4"/>
        <v>SSEMG_STA_20260223_71</v>
      </c>
      <c r="M72" s="10" t="str">
        <f t="shared" si="5"/>
        <v>SSEMG_STA_IS_20260301_2000</v>
      </c>
      <c r="N72" t="b">
        <f>IF(ROW()-ROW($N$1) &lt;= FILLME!$G$4, TRUE, FALSE)</f>
        <v>1</v>
      </c>
      <c r="O72" t="b">
        <f>IF(ROW()-ROW($O$1) &lt;= FILLME!$G$5, TRUE, FALSE)</f>
        <v>0</v>
      </c>
      <c r="P72" t="b">
        <f>IF(ROW()-ROW($P$1) &lt;= FILLME!$G$7, TRUE, FALSE)</f>
        <v>0</v>
      </c>
      <c r="Q72" t="b">
        <f>IF(ROW()-ROW($Q$1) &lt;= FILLME!$G$6, TRUE, FALSE)</f>
        <v>1</v>
      </c>
      <c r="R72" t="b">
        <f>IF(ROW()-ROW($R$1) &lt;= FILLME!$G$8, TRUE, FALSE)</f>
        <v>1</v>
      </c>
      <c r="S72" t="b">
        <f>IF(ROW()-ROW($S$1) &lt;= FILLME!$G$9, TRUE, FALSE)</f>
        <v>1</v>
      </c>
      <c r="T72" t="b">
        <f>IF(ROW()-ROW($T$1) &lt;= FILLME!$G$10, TRUE, FALSE)</f>
        <v>1</v>
      </c>
      <c r="U72" t="b">
        <f>IF(ROW()-ROW($U$1) &lt;= FILLME!$G$11, TRUE, FALSE)</f>
        <v>1</v>
      </c>
    </row>
    <row r="73" spans="1:21" x14ac:dyDescent="0.25">
      <c r="A73" s="7" t="str">
        <f>FILLME!$B$7</f>
        <v>ISCO</v>
      </c>
      <c r="B73" t="str">
        <f>IF(FILLME!$B$3 = "", "", FILLME!$B$3)</f>
        <v/>
      </c>
      <c r="C73" s="67" t="str">
        <f>IF(FILLME!$B$7="ISCO",FILLME!$E$4,IF(FILLME!$B$7="Grab",FILLME!$E$5))</f>
        <v>IS</v>
      </c>
      <c r="D73" t="str">
        <f>IF(FILLME!$B$4 = "", "", FILLME!$B$4)</f>
        <v>SSEMG</v>
      </c>
      <c r="E73" s="7" t="str">
        <f>TEXT(FILLME!$B$6,"yyyymmdd")</f>
        <v>20260223</v>
      </c>
      <c r="F73" s="8">
        <v>0.91666666666666696</v>
      </c>
      <c r="G73" s="7">
        <f>IF(FILLME!$B$7="ISCO",FILLME!$B$6+FILLME!$B$11+(FILLME!$B$13*(H73-FILLME!$B$14)),FILLME!$B$6)</f>
        <v>46082.916666666664</v>
      </c>
      <c r="H73" s="8">
        <v>72</v>
      </c>
      <c r="I73" s="8">
        <v>24</v>
      </c>
      <c r="J73" s="2" t="str">
        <v>STA</v>
      </c>
      <c r="K73" s="9" t="str">
        <f t="shared" si="3"/>
        <v>STA_72</v>
      </c>
      <c r="L73" s="10" t="str">
        <f t="shared" si="4"/>
        <v>SSEMG_STA_20260223_72</v>
      </c>
      <c r="M73" s="10" t="str">
        <f t="shared" si="5"/>
        <v>SSEMG_STA_IS_20260301_2200</v>
      </c>
      <c r="N73" t="b">
        <f>IF(ROW()-ROW($N$1) &lt;= FILLME!$G$4, TRUE, FALSE)</f>
        <v>1</v>
      </c>
      <c r="O73" t="b">
        <f>IF(ROW()-ROW($O$1) &lt;= FILLME!$G$5, TRUE, FALSE)</f>
        <v>0</v>
      </c>
      <c r="P73" t="b">
        <f>IF(ROW()-ROW($P$1) &lt;= FILLME!$G$7, TRUE, FALSE)</f>
        <v>0</v>
      </c>
      <c r="Q73" t="b">
        <f>IF(ROW()-ROW($Q$1) &lt;= FILLME!$G$6, TRUE, FALSE)</f>
        <v>1</v>
      </c>
      <c r="R73" t="b">
        <f>IF(ROW()-ROW($R$1) &lt;= FILLME!$G$8, TRUE, FALSE)</f>
        <v>1</v>
      </c>
      <c r="S73" t="b">
        <f>IF(ROW()-ROW($S$1) &lt;= FILLME!$G$9, TRUE, FALSE)</f>
        <v>1</v>
      </c>
      <c r="T73" t="b">
        <f>IF(ROW()-ROW($T$1) &lt;= FILLME!$G$10, TRUE, FALSE)</f>
        <v>1</v>
      </c>
      <c r="U73" t="b">
        <f>IF(ROW()-ROW($U$1) &lt;= FILLME!$G$11, TRUE, FALSE)</f>
        <v>1</v>
      </c>
    </row>
    <row r="74" spans="1:21" x14ac:dyDescent="0.25">
      <c r="A74" s="7" t="str">
        <f>FILLME!$B$7</f>
        <v>ISCO</v>
      </c>
      <c r="B74" t="str">
        <f>IF(FILLME!$B$3 = "", "", FILLME!$B$3)</f>
        <v/>
      </c>
      <c r="C74" s="67" t="str">
        <f>IF(FILLME!$B$7="ISCO",FILLME!$E$4,IF(FILLME!$B$7="Grab",FILLME!$E$5))</f>
        <v>IS</v>
      </c>
      <c r="D74" t="str">
        <f>IF(FILLME!$B$4 = "", "", FILLME!$B$4)</f>
        <v>SSEMG</v>
      </c>
      <c r="E74" s="7" t="str">
        <f>TEXT(FILLME!$B$6,"yyyymmdd")</f>
        <v>20260223</v>
      </c>
      <c r="F74" s="8">
        <v>0</v>
      </c>
      <c r="G74" s="7">
        <f>IF(FILLME!$B$7="ISCO",FILLME!$B$6+FILLME!$B$11+(FILLME!$B$13*(H74-FILLME!$B$14)),FILLME!$B$6)</f>
        <v>46083</v>
      </c>
      <c r="H74" s="8">
        <v>73</v>
      </c>
      <c r="I74" s="8">
        <v>1</v>
      </c>
      <c r="J74" s="2" t="str">
        <v>STA</v>
      </c>
      <c r="K74" s="9" t="str">
        <f t="shared" si="3"/>
        <v>STA_73</v>
      </c>
      <c r="L74" s="10" t="str">
        <f t="shared" si="4"/>
        <v>SSEMG_STA_20260223_73</v>
      </c>
      <c r="M74" s="10" t="str">
        <f t="shared" si="5"/>
        <v>SSEMG_STA_IS_20260302_0000</v>
      </c>
      <c r="N74" t="b">
        <f>IF(ROW()-ROW($N$1) &lt;= FILLME!$G$4, TRUE, FALSE)</f>
        <v>1</v>
      </c>
      <c r="O74" t="b">
        <f>IF(ROW()-ROW($O$1) &lt;= FILLME!$G$5, TRUE, FALSE)</f>
        <v>0</v>
      </c>
      <c r="P74" t="b">
        <f>IF(ROW()-ROW($P$1) &lt;= FILLME!$G$7, TRUE, FALSE)</f>
        <v>0</v>
      </c>
      <c r="Q74" t="b">
        <f>IF(ROW()-ROW($Q$1) &lt;= FILLME!$G$6, TRUE, FALSE)</f>
        <v>1</v>
      </c>
      <c r="R74" t="b">
        <f>IF(ROW()-ROW($R$1) &lt;= FILLME!$G$8, TRUE, FALSE)</f>
        <v>1</v>
      </c>
      <c r="S74" t="b">
        <f>IF(ROW()-ROW($S$1) &lt;= FILLME!$G$9, TRUE, FALSE)</f>
        <v>1</v>
      </c>
      <c r="T74" t="b">
        <f>IF(ROW()-ROW($T$1) &lt;= FILLME!$G$10, TRUE, FALSE)</f>
        <v>1</v>
      </c>
      <c r="U74" t="b">
        <f>IF(ROW()-ROW($U$1) &lt;= FILLME!$G$11, TRUE, FALSE)</f>
        <v>1</v>
      </c>
    </row>
    <row r="75" spans="1:21" x14ac:dyDescent="0.25">
      <c r="A75" s="7" t="str">
        <f>FILLME!$B$7</f>
        <v>ISCO</v>
      </c>
      <c r="B75" t="str">
        <f>IF(FILLME!$B$3 = "", "", FILLME!$B$3)</f>
        <v/>
      </c>
      <c r="C75" s="67" t="str">
        <f>IF(FILLME!$B$7="ISCO",FILLME!$E$4,IF(FILLME!$B$7="Grab",FILLME!$E$5))</f>
        <v>IS</v>
      </c>
      <c r="D75" t="str">
        <f>IF(FILLME!$B$4 = "", "", FILLME!$B$4)</f>
        <v>SSEMG</v>
      </c>
      <c r="E75" s="7" t="str">
        <f>TEXT(FILLME!$B$6,"yyyymmdd")</f>
        <v>20260223</v>
      </c>
      <c r="F75" s="8">
        <v>8.3333333333333037E-2</v>
      </c>
      <c r="G75" s="7">
        <f>IF(FILLME!$B$7="ISCO",FILLME!$B$6+FILLME!$B$11+(FILLME!$B$13*(H75-FILLME!$B$14)),FILLME!$B$6)</f>
        <v>46083.083333333336</v>
      </c>
      <c r="H75" s="8">
        <v>74</v>
      </c>
      <c r="I75" s="8">
        <v>2</v>
      </c>
      <c r="J75" s="2" t="str">
        <v>STA</v>
      </c>
      <c r="K75" s="9" t="str">
        <f t="shared" si="3"/>
        <v>STA_74</v>
      </c>
      <c r="L75" s="10" t="str">
        <f t="shared" si="4"/>
        <v>SSEMG_STA_20260223_74</v>
      </c>
      <c r="M75" s="10" t="str">
        <f t="shared" si="5"/>
        <v>SSEMG_STA_IS_20260302_0200</v>
      </c>
      <c r="N75" t="b">
        <f>IF(ROW()-ROW($N$1) &lt;= FILLME!$G$4, TRUE, FALSE)</f>
        <v>1</v>
      </c>
      <c r="O75" t="b">
        <f>IF(ROW()-ROW($O$1) &lt;= FILLME!$G$5, TRUE, FALSE)</f>
        <v>0</v>
      </c>
      <c r="P75" t="b">
        <f>IF(ROW()-ROW($P$1) &lt;= FILLME!$G$7, TRUE, FALSE)</f>
        <v>0</v>
      </c>
      <c r="Q75" t="b">
        <f>IF(ROW()-ROW($Q$1) &lt;= FILLME!$G$6, TRUE, FALSE)</f>
        <v>1</v>
      </c>
      <c r="R75" t="b">
        <f>IF(ROW()-ROW($R$1) &lt;= FILLME!$G$8, TRUE, FALSE)</f>
        <v>1</v>
      </c>
      <c r="S75" t="b">
        <f>IF(ROW()-ROW($S$1) &lt;= FILLME!$G$9, TRUE, FALSE)</f>
        <v>1</v>
      </c>
      <c r="T75" t="b">
        <f>IF(ROW()-ROW($T$1) &lt;= FILLME!$G$10, TRUE, FALSE)</f>
        <v>1</v>
      </c>
      <c r="U75" t="b">
        <f>IF(ROW()-ROW($U$1) &lt;= FILLME!$G$11, TRUE, FALSE)</f>
        <v>1</v>
      </c>
    </row>
    <row r="76" spans="1:21" x14ac:dyDescent="0.25">
      <c r="A76" s="7" t="str">
        <f>FILLME!$B$7</f>
        <v>ISCO</v>
      </c>
      <c r="B76" t="str">
        <f>IF(FILLME!$B$3 = "", "", FILLME!$B$3)</f>
        <v/>
      </c>
      <c r="C76" s="67" t="str">
        <f>IF(FILLME!$B$7="ISCO",FILLME!$E$4,IF(FILLME!$B$7="Grab",FILLME!$E$5))</f>
        <v>IS</v>
      </c>
      <c r="D76" t="str">
        <f>IF(FILLME!$B$4 = "", "", FILLME!$B$4)</f>
        <v>SSEMG</v>
      </c>
      <c r="E76" s="7" t="str">
        <f>TEXT(FILLME!$B$6,"yyyymmdd")</f>
        <v>20260223</v>
      </c>
      <c r="F76" s="8">
        <v>0.16666666666666696</v>
      </c>
      <c r="G76" s="7">
        <f>IF(FILLME!$B$7="ISCO",FILLME!$B$6+FILLME!$B$11+(FILLME!$B$13*(H76-FILLME!$B$14)),FILLME!$B$6)</f>
        <v>46083.166666666664</v>
      </c>
      <c r="H76" s="8">
        <v>75</v>
      </c>
      <c r="I76" s="8">
        <v>3</v>
      </c>
      <c r="J76" s="2" t="str">
        <v>STA</v>
      </c>
      <c r="K76" s="9" t="str">
        <f t="shared" si="3"/>
        <v>STA_75</v>
      </c>
      <c r="L76" s="10" t="str">
        <f t="shared" si="4"/>
        <v>SSEMG_STA_20260223_75</v>
      </c>
      <c r="M76" s="10" t="str">
        <f t="shared" si="5"/>
        <v>SSEMG_STA_IS_20260302_0400</v>
      </c>
      <c r="N76" t="b">
        <f>IF(ROW()-ROW($N$1) &lt;= FILLME!$G$4, TRUE, FALSE)</f>
        <v>1</v>
      </c>
      <c r="O76" t="b">
        <f>IF(ROW()-ROW($O$1) &lt;= FILLME!$G$5, TRUE, FALSE)</f>
        <v>0</v>
      </c>
      <c r="P76" t="b">
        <f>IF(ROW()-ROW($P$1) &lt;= FILLME!$G$7, TRUE, FALSE)</f>
        <v>0</v>
      </c>
      <c r="Q76" t="b">
        <f>IF(ROW()-ROW($Q$1) &lt;= FILLME!$G$6, TRUE, FALSE)</f>
        <v>1</v>
      </c>
      <c r="R76" t="b">
        <f>IF(ROW()-ROW($R$1) &lt;= FILLME!$G$8, TRUE, FALSE)</f>
        <v>1</v>
      </c>
      <c r="S76" t="b">
        <f>IF(ROW()-ROW($S$1) &lt;= FILLME!$G$9, TRUE, FALSE)</f>
        <v>1</v>
      </c>
      <c r="T76" t="b">
        <f>IF(ROW()-ROW($T$1) &lt;= FILLME!$G$10, TRUE, FALSE)</f>
        <v>1</v>
      </c>
      <c r="U76" t="b">
        <f>IF(ROW()-ROW($U$1) &lt;= FILLME!$G$11, TRUE, FALSE)</f>
        <v>1</v>
      </c>
    </row>
    <row r="77" spans="1:21" x14ac:dyDescent="0.25">
      <c r="A77" s="7" t="str">
        <f>FILLME!$B$7</f>
        <v>ISCO</v>
      </c>
      <c r="B77" t="str">
        <f>IF(FILLME!$B$3 = "", "", FILLME!$B$3)</f>
        <v/>
      </c>
      <c r="C77" s="67" t="str">
        <f>IF(FILLME!$B$7="ISCO",FILLME!$E$4,IF(FILLME!$B$7="Grab",FILLME!$E$5))</f>
        <v>IS</v>
      </c>
      <c r="D77" t="str">
        <f>IF(FILLME!$B$4 = "", "", FILLME!$B$4)</f>
        <v>SSEMG</v>
      </c>
      <c r="E77" s="7" t="str">
        <f>TEXT(FILLME!$B$6,"yyyymmdd")</f>
        <v>20260223</v>
      </c>
      <c r="F77" s="8">
        <v>0.25</v>
      </c>
      <c r="G77" s="7">
        <f>IF(FILLME!$B$7="ISCO",FILLME!$B$6+FILLME!$B$11+(FILLME!$B$13*(H77-FILLME!$B$14)),FILLME!$B$6)</f>
        <v>46083.25</v>
      </c>
      <c r="H77" s="8">
        <v>76</v>
      </c>
      <c r="I77" s="8">
        <v>4</v>
      </c>
      <c r="J77" s="2" t="str">
        <v>STA</v>
      </c>
      <c r="K77" s="9" t="str">
        <f t="shared" si="3"/>
        <v>STA_76</v>
      </c>
      <c r="L77" s="10" t="str">
        <f t="shared" si="4"/>
        <v>SSEMG_STA_20260223_76</v>
      </c>
      <c r="M77" s="10" t="str">
        <f t="shared" si="5"/>
        <v>SSEMG_STA_IS_20260302_0600</v>
      </c>
      <c r="N77" t="b">
        <f>IF(ROW()-ROW($N$1) &lt;= FILLME!$G$4, TRUE, FALSE)</f>
        <v>1</v>
      </c>
      <c r="O77" t="b">
        <f>IF(ROW()-ROW($O$1) &lt;= FILLME!$G$5, TRUE, FALSE)</f>
        <v>0</v>
      </c>
      <c r="P77" t="b">
        <f>IF(ROW()-ROW($P$1) &lt;= FILLME!$G$7, TRUE, FALSE)</f>
        <v>0</v>
      </c>
      <c r="Q77" t="b">
        <f>IF(ROW()-ROW($Q$1) &lt;= FILLME!$G$6, TRUE, FALSE)</f>
        <v>1</v>
      </c>
      <c r="R77" t="b">
        <f>IF(ROW()-ROW($R$1) &lt;= FILLME!$G$8, TRUE, FALSE)</f>
        <v>1</v>
      </c>
      <c r="S77" t="b">
        <f>IF(ROW()-ROW($S$1) &lt;= FILLME!$G$9, TRUE, FALSE)</f>
        <v>1</v>
      </c>
      <c r="T77" t="b">
        <f>IF(ROW()-ROW($T$1) &lt;= FILLME!$G$10, TRUE, FALSE)</f>
        <v>1</v>
      </c>
      <c r="U77" t="b">
        <f>IF(ROW()-ROW($U$1) &lt;= FILLME!$G$11, TRUE, FALSE)</f>
        <v>1</v>
      </c>
    </row>
    <row r="78" spans="1:21" x14ac:dyDescent="0.25">
      <c r="A78" s="7" t="str">
        <f>FILLME!$B$7</f>
        <v>ISCO</v>
      </c>
      <c r="B78" t="str">
        <f>IF(FILLME!$B$3 = "", "", FILLME!$B$3)</f>
        <v/>
      </c>
      <c r="C78" s="67" t="str">
        <f>IF(FILLME!$B$7="ISCO",FILLME!$E$4,IF(FILLME!$B$7="Grab",FILLME!$E$5))</f>
        <v>IS</v>
      </c>
      <c r="D78" t="str">
        <f>IF(FILLME!$B$4 = "", "", FILLME!$B$4)</f>
        <v>SSEMG</v>
      </c>
      <c r="E78" s="7" t="str">
        <f>TEXT(FILLME!$B$6,"yyyymmdd")</f>
        <v>20260223</v>
      </c>
      <c r="F78" s="8">
        <v>0.33333333333333304</v>
      </c>
      <c r="G78" s="7">
        <f>IF(FILLME!$B$7="ISCO",FILLME!$B$6+FILLME!$B$11+(FILLME!$B$13*(H78-FILLME!$B$14)),FILLME!$B$6)</f>
        <v>46083.333333333336</v>
      </c>
      <c r="H78" s="8">
        <v>77</v>
      </c>
      <c r="I78" s="8">
        <v>5</v>
      </c>
      <c r="J78" s="2" t="str">
        <v>STA</v>
      </c>
      <c r="K78" s="9" t="str">
        <f t="shared" si="3"/>
        <v>STA_77</v>
      </c>
      <c r="L78" s="10" t="str">
        <f t="shared" si="4"/>
        <v>SSEMG_STA_20260223_77</v>
      </c>
      <c r="M78" s="10" t="str">
        <f t="shared" si="5"/>
        <v>SSEMG_STA_IS_20260302_0800</v>
      </c>
      <c r="N78" t="b">
        <f>IF(ROW()-ROW($N$1) &lt;= FILLME!$G$4, TRUE, FALSE)</f>
        <v>1</v>
      </c>
      <c r="O78" t="b">
        <f>IF(ROW()-ROW($O$1) &lt;= FILLME!$G$5, TRUE, FALSE)</f>
        <v>0</v>
      </c>
      <c r="P78" t="b">
        <f>IF(ROW()-ROW($P$1) &lt;= FILLME!$G$7, TRUE, FALSE)</f>
        <v>0</v>
      </c>
      <c r="Q78" t="b">
        <f>IF(ROW()-ROW($Q$1) &lt;= FILLME!$G$6, TRUE, FALSE)</f>
        <v>1</v>
      </c>
      <c r="R78" t="b">
        <f>IF(ROW()-ROW($R$1) &lt;= FILLME!$G$8, TRUE, FALSE)</f>
        <v>1</v>
      </c>
      <c r="S78" t="b">
        <f>IF(ROW()-ROW($S$1) &lt;= FILLME!$G$9, TRUE, FALSE)</f>
        <v>1</v>
      </c>
      <c r="T78" t="b">
        <f>IF(ROW()-ROW($T$1) &lt;= FILLME!$G$10, TRUE, FALSE)</f>
        <v>1</v>
      </c>
      <c r="U78" t="b">
        <f>IF(ROW()-ROW($U$1) &lt;= FILLME!$G$11, TRUE, FALSE)</f>
        <v>1</v>
      </c>
    </row>
    <row r="79" spans="1:21" x14ac:dyDescent="0.25">
      <c r="A79" s="7" t="str">
        <f>FILLME!$B$7</f>
        <v>ISCO</v>
      </c>
      <c r="B79" t="str">
        <f>IF(FILLME!$B$3 = "", "", FILLME!$B$3)</f>
        <v/>
      </c>
      <c r="C79" s="67" t="str">
        <f>IF(FILLME!$B$7="ISCO",FILLME!$E$4,IF(FILLME!$B$7="Grab",FILLME!$E$5))</f>
        <v>IS</v>
      </c>
      <c r="D79" t="str">
        <f>IF(FILLME!$B$4 = "", "", FILLME!$B$4)</f>
        <v>SSEMG</v>
      </c>
      <c r="E79" s="7" t="str">
        <f>TEXT(FILLME!$B$6,"yyyymmdd")</f>
        <v>20260223</v>
      </c>
      <c r="F79" s="8">
        <v>0.41666666666666696</v>
      </c>
      <c r="G79" s="7">
        <f>IF(FILLME!$B$7="ISCO",FILLME!$B$6+FILLME!$B$11+(FILLME!$B$13*(H79-FILLME!$B$14)),FILLME!$B$6)</f>
        <v>46083.416666666664</v>
      </c>
      <c r="H79" s="8">
        <v>78</v>
      </c>
      <c r="I79" s="8">
        <v>6</v>
      </c>
      <c r="J79" s="2" t="str">
        <v>STA</v>
      </c>
      <c r="K79" s="9" t="str">
        <f t="shared" si="3"/>
        <v>STA_78</v>
      </c>
      <c r="L79" s="10" t="str">
        <f t="shared" si="4"/>
        <v>SSEMG_STA_20260223_78</v>
      </c>
      <c r="M79" s="10" t="str">
        <f t="shared" si="5"/>
        <v>SSEMG_STA_IS_20260302_1000</v>
      </c>
      <c r="N79" t="b">
        <f>IF(ROW()-ROW($N$1) &lt;= FILLME!$G$4, TRUE, FALSE)</f>
        <v>1</v>
      </c>
      <c r="O79" t="b">
        <f>IF(ROW()-ROW($O$1) &lt;= FILLME!$G$5, TRUE, FALSE)</f>
        <v>0</v>
      </c>
      <c r="P79" t="b">
        <f>IF(ROW()-ROW($P$1) &lt;= FILLME!$G$7, TRUE, FALSE)</f>
        <v>0</v>
      </c>
      <c r="Q79" t="b">
        <f>IF(ROW()-ROW($Q$1) &lt;= FILLME!$G$6, TRUE, FALSE)</f>
        <v>1</v>
      </c>
      <c r="R79" t="b">
        <f>IF(ROW()-ROW($R$1) &lt;= FILLME!$G$8, TRUE, FALSE)</f>
        <v>1</v>
      </c>
      <c r="S79" t="b">
        <f>IF(ROW()-ROW($S$1) &lt;= FILLME!$G$9, TRUE, FALSE)</f>
        <v>1</v>
      </c>
      <c r="T79" t="b">
        <f>IF(ROW()-ROW($T$1) &lt;= FILLME!$G$10, TRUE, FALSE)</f>
        <v>1</v>
      </c>
      <c r="U79" t="b">
        <f>IF(ROW()-ROW($U$1) &lt;= FILLME!$G$11, TRUE, FALSE)</f>
        <v>1</v>
      </c>
    </row>
    <row r="80" spans="1:21" x14ac:dyDescent="0.25">
      <c r="A80" s="7" t="str">
        <f>FILLME!$B$7</f>
        <v>ISCO</v>
      </c>
      <c r="B80" t="str">
        <f>IF(FILLME!$B$3 = "", "", FILLME!$B$3)</f>
        <v/>
      </c>
      <c r="C80" s="67" t="str">
        <f>IF(FILLME!$B$7="ISCO",FILLME!$E$4,IF(FILLME!$B$7="Grab",FILLME!$E$5))</f>
        <v>IS</v>
      </c>
      <c r="D80" t="str">
        <f>IF(FILLME!$B$4 = "", "", FILLME!$B$4)</f>
        <v>SSEMG</v>
      </c>
      <c r="E80" s="7" t="str">
        <f>TEXT(FILLME!$B$6,"yyyymmdd")</f>
        <v>20260223</v>
      </c>
      <c r="F80" s="8">
        <v>0.5</v>
      </c>
      <c r="G80" s="7">
        <f>IF(FILLME!$B$7="ISCO",FILLME!$B$6+FILLME!$B$11+(FILLME!$B$13*(H80-FILLME!$B$14)),FILLME!$B$6)</f>
        <v>46083.5</v>
      </c>
      <c r="H80" s="8">
        <v>79</v>
      </c>
      <c r="I80" s="8">
        <v>7</v>
      </c>
      <c r="J80" s="2" t="str">
        <v>STA</v>
      </c>
      <c r="K80" s="9" t="str">
        <f t="shared" si="3"/>
        <v>STA_79</v>
      </c>
      <c r="L80" s="10" t="str">
        <f t="shared" si="4"/>
        <v>SSEMG_STA_20260223_79</v>
      </c>
      <c r="M80" s="10" t="str">
        <f t="shared" si="5"/>
        <v>SSEMG_STA_IS_20260302_1200</v>
      </c>
      <c r="N80" t="b">
        <f>IF(ROW()-ROW($N$1) &lt;= FILLME!$G$4, TRUE, FALSE)</f>
        <v>1</v>
      </c>
      <c r="O80" t="b">
        <f>IF(ROW()-ROW($O$1) &lt;= FILLME!$G$5, TRUE, FALSE)</f>
        <v>0</v>
      </c>
      <c r="P80" t="b">
        <f>IF(ROW()-ROW($P$1) &lt;= FILLME!$G$7, TRUE, FALSE)</f>
        <v>0</v>
      </c>
      <c r="Q80" t="b">
        <f>IF(ROW()-ROW($Q$1) &lt;= FILLME!$G$6, TRUE, FALSE)</f>
        <v>1</v>
      </c>
      <c r="R80" t="b">
        <f>IF(ROW()-ROW($R$1) &lt;= FILLME!$G$8, TRUE, FALSE)</f>
        <v>1</v>
      </c>
      <c r="S80" t="b">
        <f>IF(ROW()-ROW($S$1) &lt;= FILLME!$G$9, TRUE, FALSE)</f>
        <v>1</v>
      </c>
      <c r="T80" t="b">
        <f>IF(ROW()-ROW($T$1) &lt;= FILLME!$G$10, TRUE, FALSE)</f>
        <v>1</v>
      </c>
      <c r="U80" t="b">
        <f>IF(ROW()-ROW($U$1) &lt;= FILLME!$G$11, TRUE, FALSE)</f>
        <v>1</v>
      </c>
    </row>
    <row r="81" spans="1:21" x14ac:dyDescent="0.25">
      <c r="A81" s="7" t="str">
        <f>FILLME!$B$7</f>
        <v>ISCO</v>
      </c>
      <c r="B81" t="str">
        <f>IF(FILLME!$B$3 = "", "", FILLME!$B$3)</f>
        <v/>
      </c>
      <c r="C81" s="67" t="str">
        <f>IF(FILLME!$B$7="ISCO",FILLME!$E$4,IF(FILLME!$B$7="Grab",FILLME!$E$5))</f>
        <v>IS</v>
      </c>
      <c r="D81" t="str">
        <f>IF(FILLME!$B$4 = "", "", FILLME!$B$4)</f>
        <v>SSEMG</v>
      </c>
      <c r="E81" s="7" t="str">
        <f>TEXT(FILLME!$B$6,"yyyymmdd")</f>
        <v>20260223</v>
      </c>
      <c r="F81" s="8">
        <v>0.58333333333333304</v>
      </c>
      <c r="G81" s="7">
        <f>IF(FILLME!$B$7="ISCO",FILLME!$B$6+FILLME!$B$11+(FILLME!$B$13*(H81-FILLME!$B$14)),FILLME!$B$6)</f>
        <v>46083.583333333336</v>
      </c>
      <c r="H81" s="8">
        <v>80</v>
      </c>
      <c r="I81" s="8">
        <v>8</v>
      </c>
      <c r="J81" s="2" t="str">
        <v>STA</v>
      </c>
      <c r="K81" s="9" t="str">
        <f t="shared" si="3"/>
        <v>STA_80</v>
      </c>
      <c r="L81" s="10" t="str">
        <f t="shared" si="4"/>
        <v>SSEMG_STA_20260223_80</v>
      </c>
      <c r="M81" s="10" t="str">
        <f t="shared" si="5"/>
        <v>SSEMG_STA_IS_20260302_1400</v>
      </c>
      <c r="N81" t="b">
        <f>IF(ROW()-ROW($N$1) &lt;= FILLME!$G$4, TRUE, FALSE)</f>
        <v>1</v>
      </c>
      <c r="O81" t="b">
        <f>IF(ROW()-ROW($O$1) &lt;= FILLME!$G$5, TRUE, FALSE)</f>
        <v>0</v>
      </c>
      <c r="P81" t="b">
        <f>IF(ROW()-ROW($P$1) &lt;= FILLME!$G$7, TRUE, FALSE)</f>
        <v>0</v>
      </c>
      <c r="Q81" t="b">
        <f>IF(ROW()-ROW($Q$1) &lt;= FILLME!$G$6, TRUE, FALSE)</f>
        <v>1</v>
      </c>
      <c r="R81" t="b">
        <f>IF(ROW()-ROW($R$1) &lt;= FILLME!$G$8, TRUE, FALSE)</f>
        <v>1</v>
      </c>
      <c r="S81" t="b">
        <f>IF(ROW()-ROW($S$1) &lt;= FILLME!$G$9, TRUE, FALSE)</f>
        <v>1</v>
      </c>
      <c r="T81" t="b">
        <f>IF(ROW()-ROW($T$1) &lt;= FILLME!$G$10, TRUE, FALSE)</f>
        <v>1</v>
      </c>
      <c r="U81" t="b">
        <f>IF(ROW()-ROW($U$1) &lt;= FILLME!$G$11, TRUE, FALSE)</f>
        <v>1</v>
      </c>
    </row>
    <row r="82" spans="1:21" x14ac:dyDescent="0.25">
      <c r="A82" s="7" t="str">
        <f>FILLME!$B$7</f>
        <v>ISCO</v>
      </c>
      <c r="B82" t="str">
        <f>IF(FILLME!$B$3 = "", "", FILLME!$B$3)</f>
        <v/>
      </c>
      <c r="C82" s="67" t="str">
        <f>IF(FILLME!$B$7="ISCO",FILLME!$E$4,IF(FILLME!$B$7="Grab",FILLME!$E$5))</f>
        <v>IS</v>
      </c>
      <c r="D82" t="str">
        <f>IF(FILLME!$B$4 = "", "", FILLME!$B$4)</f>
        <v>SSEMG</v>
      </c>
      <c r="E82" s="7" t="str">
        <f>TEXT(FILLME!$B$6,"yyyymmdd")</f>
        <v>20260223</v>
      </c>
      <c r="F82" s="8">
        <v>0.66666666666666696</v>
      </c>
      <c r="G82" s="7">
        <f>IF(FILLME!$B$7="ISCO",FILLME!$B$6+FILLME!$B$11+(FILLME!$B$13*(H82-FILLME!$B$14)),FILLME!$B$6)</f>
        <v>46083.666666666664</v>
      </c>
      <c r="H82" s="8">
        <v>81</v>
      </c>
      <c r="I82" s="8">
        <v>9</v>
      </c>
      <c r="J82" s="2" t="str">
        <v>STA</v>
      </c>
      <c r="K82" s="9" t="str">
        <f t="shared" si="3"/>
        <v>STA_81</v>
      </c>
      <c r="L82" s="10" t="str">
        <f t="shared" si="4"/>
        <v>SSEMG_STA_20260223_81</v>
      </c>
      <c r="M82" s="10" t="str">
        <f t="shared" si="5"/>
        <v>SSEMG_STA_IS_20260302_1600</v>
      </c>
      <c r="N82" t="b">
        <f>IF(ROW()-ROW($N$1) &lt;= FILLME!$G$4, TRUE, FALSE)</f>
        <v>1</v>
      </c>
      <c r="O82" t="b">
        <f>IF(ROW()-ROW($O$1) &lt;= FILLME!$G$5, TRUE, FALSE)</f>
        <v>0</v>
      </c>
      <c r="P82" t="b">
        <f>IF(ROW()-ROW($P$1) &lt;= FILLME!$G$7, TRUE, FALSE)</f>
        <v>0</v>
      </c>
      <c r="Q82" t="b">
        <f>IF(ROW()-ROW($Q$1) &lt;= FILLME!$G$6, TRUE, FALSE)</f>
        <v>1</v>
      </c>
      <c r="R82" t="b">
        <f>IF(ROW()-ROW($R$1) &lt;= FILLME!$G$8, TRUE, FALSE)</f>
        <v>1</v>
      </c>
      <c r="S82" t="b">
        <f>IF(ROW()-ROW($S$1) &lt;= FILLME!$G$9, TRUE, FALSE)</f>
        <v>1</v>
      </c>
      <c r="T82" t="b">
        <f>IF(ROW()-ROW($T$1) &lt;= FILLME!$G$10, TRUE, FALSE)</f>
        <v>1</v>
      </c>
      <c r="U82" t="b">
        <f>IF(ROW()-ROW($U$1) &lt;= FILLME!$G$11, TRUE, FALSE)</f>
        <v>1</v>
      </c>
    </row>
    <row r="83" spans="1:21" x14ac:dyDescent="0.25">
      <c r="A83" s="7" t="str">
        <f>FILLME!$B$7</f>
        <v>ISCO</v>
      </c>
      <c r="B83" t="str">
        <f>IF(FILLME!$B$3 = "", "", FILLME!$B$3)</f>
        <v/>
      </c>
      <c r="C83" s="67" t="str">
        <f>IF(FILLME!$B$7="ISCO",FILLME!$E$4,IF(FILLME!$B$7="Grab",FILLME!$E$5))</f>
        <v>IS</v>
      </c>
      <c r="D83" t="str">
        <f>IF(FILLME!$B$4 = "", "", FILLME!$B$4)</f>
        <v>SSEMG</v>
      </c>
      <c r="E83" s="7" t="str">
        <f>TEXT(FILLME!$B$6,"yyyymmdd")</f>
        <v>20260223</v>
      </c>
      <c r="F83" s="8">
        <v>0.75</v>
      </c>
      <c r="G83" s="7">
        <f>IF(FILLME!$B$7="ISCO",FILLME!$B$6+FILLME!$B$11+(FILLME!$B$13*(H83-FILLME!$B$14)),FILLME!$B$6)</f>
        <v>46083.75</v>
      </c>
      <c r="H83" s="8">
        <v>82</v>
      </c>
      <c r="I83" s="8">
        <v>10</v>
      </c>
      <c r="J83" s="2" t="str">
        <v>STA</v>
      </c>
      <c r="K83" s="9" t="str">
        <f t="shared" si="3"/>
        <v>STA_82</v>
      </c>
      <c r="L83" s="10" t="str">
        <f t="shared" si="4"/>
        <v>SSEMG_STA_20260223_82</v>
      </c>
      <c r="M83" s="10" t="str">
        <f t="shared" si="5"/>
        <v>SSEMG_STA_IS_20260302_1800</v>
      </c>
      <c r="N83" t="b">
        <f>IF(ROW()-ROW($N$1) &lt;= FILLME!$G$4, TRUE, FALSE)</f>
        <v>1</v>
      </c>
      <c r="O83" t="b">
        <f>IF(ROW()-ROW($O$1) &lt;= FILLME!$G$5, TRUE, FALSE)</f>
        <v>0</v>
      </c>
      <c r="P83" t="b">
        <f>IF(ROW()-ROW($P$1) &lt;= FILLME!$G$7, TRUE, FALSE)</f>
        <v>0</v>
      </c>
      <c r="Q83" t="b">
        <f>IF(ROW()-ROW($Q$1) &lt;= FILLME!$G$6, TRUE, FALSE)</f>
        <v>1</v>
      </c>
      <c r="R83" t="b">
        <f>IF(ROW()-ROW($R$1) &lt;= FILLME!$G$8, TRUE, FALSE)</f>
        <v>1</v>
      </c>
      <c r="S83" t="b">
        <f>IF(ROW()-ROW($S$1) &lt;= FILLME!$G$9, TRUE, FALSE)</f>
        <v>1</v>
      </c>
      <c r="T83" t="b">
        <f>IF(ROW()-ROW($T$1) &lt;= FILLME!$G$10, TRUE, FALSE)</f>
        <v>1</v>
      </c>
      <c r="U83" t="b">
        <f>IF(ROW()-ROW($U$1) &lt;= FILLME!$G$11, TRUE, FALSE)</f>
        <v>1</v>
      </c>
    </row>
    <row r="84" spans="1:21" x14ac:dyDescent="0.25">
      <c r="A84" s="7" t="str">
        <f>FILLME!$B$7</f>
        <v>ISCO</v>
      </c>
      <c r="B84" t="str">
        <f>IF(FILLME!$B$3 = "", "", FILLME!$B$3)</f>
        <v/>
      </c>
      <c r="C84" s="67" t="str">
        <f>IF(FILLME!$B$7="ISCO",FILLME!$E$4,IF(FILLME!$B$7="Grab",FILLME!$E$5))</f>
        <v>IS</v>
      </c>
      <c r="D84" t="str">
        <f>IF(FILLME!$B$4 = "", "", FILLME!$B$4)</f>
        <v>SSEMG</v>
      </c>
      <c r="E84" s="7" t="str">
        <f>TEXT(FILLME!$B$6,"yyyymmdd")</f>
        <v>20260223</v>
      </c>
      <c r="F84" s="8">
        <v>0.83333333333333304</v>
      </c>
      <c r="G84" s="7">
        <f>IF(FILLME!$B$7="ISCO",FILLME!$B$6+FILLME!$B$11+(FILLME!$B$13*(H84-FILLME!$B$14)),FILLME!$B$6)</f>
        <v>46083.833333333336</v>
      </c>
      <c r="H84" s="8">
        <v>83</v>
      </c>
      <c r="I84" s="8">
        <v>11</v>
      </c>
      <c r="J84" s="2" t="str">
        <v>STA</v>
      </c>
      <c r="K84" s="9" t="str">
        <f t="shared" si="3"/>
        <v>STA_83</v>
      </c>
      <c r="L84" s="10" t="str">
        <f t="shared" si="4"/>
        <v>SSEMG_STA_20260223_83</v>
      </c>
      <c r="M84" s="10" t="str">
        <f t="shared" si="5"/>
        <v>SSEMG_STA_IS_20260302_2000</v>
      </c>
      <c r="N84" t="b">
        <f>IF(ROW()-ROW($N$1) &lt;= FILLME!$G$4, TRUE, FALSE)</f>
        <v>1</v>
      </c>
      <c r="O84" t="b">
        <f>IF(ROW()-ROW($O$1) &lt;= FILLME!$G$5, TRUE, FALSE)</f>
        <v>0</v>
      </c>
      <c r="P84" t="b">
        <f>IF(ROW()-ROW($P$1) &lt;= FILLME!$G$7, TRUE, FALSE)</f>
        <v>0</v>
      </c>
      <c r="Q84" t="b">
        <f>IF(ROW()-ROW($Q$1) &lt;= FILLME!$G$6, TRUE, FALSE)</f>
        <v>1</v>
      </c>
      <c r="R84" t="b">
        <f>IF(ROW()-ROW($R$1) &lt;= FILLME!$G$8, TRUE, FALSE)</f>
        <v>1</v>
      </c>
      <c r="S84" t="b">
        <f>IF(ROW()-ROW($S$1) &lt;= FILLME!$G$9, TRUE, FALSE)</f>
        <v>1</v>
      </c>
      <c r="T84" t="b">
        <f>IF(ROW()-ROW($T$1) &lt;= FILLME!$G$10, TRUE, FALSE)</f>
        <v>1</v>
      </c>
      <c r="U84" t="b">
        <f>IF(ROW()-ROW($U$1) &lt;= FILLME!$G$11, TRUE, FALSE)</f>
        <v>1</v>
      </c>
    </row>
    <row r="85" spans="1:21" x14ac:dyDescent="0.25">
      <c r="A85" s="7" t="str">
        <f>FILLME!$B$7</f>
        <v>ISCO</v>
      </c>
      <c r="B85" t="str">
        <f>IF(FILLME!$B$3 = "", "", FILLME!$B$3)</f>
        <v/>
      </c>
      <c r="C85" s="67" t="str">
        <f>IF(FILLME!$B$7="ISCO",FILLME!$E$4,IF(FILLME!$B$7="Grab",FILLME!$E$5))</f>
        <v>IS</v>
      </c>
      <c r="D85" t="str">
        <f>IF(FILLME!$B$4 = "", "", FILLME!$B$4)</f>
        <v>SSEMG</v>
      </c>
      <c r="E85" s="7" t="str">
        <f>TEXT(FILLME!$B$6,"yyyymmdd")</f>
        <v>20260223</v>
      </c>
      <c r="F85" s="8">
        <v>0.91666666666666696</v>
      </c>
      <c r="G85" s="7">
        <f>IF(FILLME!$B$7="ISCO",FILLME!$B$6+FILLME!$B$11+(FILLME!$B$13*(H85-FILLME!$B$14)),FILLME!$B$6)</f>
        <v>46083.916666666664</v>
      </c>
      <c r="H85" s="8">
        <v>84</v>
      </c>
      <c r="I85" s="8">
        <v>12</v>
      </c>
      <c r="J85" s="2" t="str">
        <v>STA</v>
      </c>
      <c r="K85" s="9" t="str">
        <f t="shared" si="3"/>
        <v>STA_84</v>
      </c>
      <c r="L85" s="10" t="str">
        <f t="shared" si="4"/>
        <v>SSEMG_STA_20260223_84</v>
      </c>
      <c r="M85" s="10" t="str">
        <f t="shared" si="5"/>
        <v>SSEMG_STA_IS_20260302_2200</v>
      </c>
      <c r="N85" t="b">
        <f>IF(ROW()-ROW($N$1) &lt;= FILLME!$G$4, TRUE, FALSE)</f>
        <v>1</v>
      </c>
      <c r="O85" t="b">
        <f>IF(ROW()-ROW($O$1) &lt;= FILLME!$G$5, TRUE, FALSE)</f>
        <v>0</v>
      </c>
      <c r="P85" t="b">
        <f>IF(ROW()-ROW($P$1) &lt;= FILLME!$G$7, TRUE, FALSE)</f>
        <v>0</v>
      </c>
      <c r="Q85" t="b">
        <f>IF(ROW()-ROW($Q$1) &lt;= FILLME!$G$6, TRUE, FALSE)</f>
        <v>1</v>
      </c>
      <c r="R85" t="b">
        <f>IF(ROW()-ROW($R$1) &lt;= FILLME!$G$8, TRUE, FALSE)</f>
        <v>1</v>
      </c>
      <c r="S85" t="b">
        <f>IF(ROW()-ROW($S$1) &lt;= FILLME!$G$9, TRUE, FALSE)</f>
        <v>1</v>
      </c>
      <c r="T85" t="b">
        <f>IF(ROW()-ROW($T$1) &lt;= FILLME!$G$10, TRUE, FALSE)</f>
        <v>1</v>
      </c>
      <c r="U85" t="b">
        <f>IF(ROW()-ROW($U$1) &lt;= FILLME!$G$11, TRUE, FALSE)</f>
        <v>1</v>
      </c>
    </row>
    <row r="86" spans="1:21" x14ac:dyDescent="0.25">
      <c r="A86" s="7" t="str">
        <f>FILLME!$B$7</f>
        <v>ISCO</v>
      </c>
      <c r="B86" t="str">
        <f>IF(FILLME!$B$3 = "", "", FILLME!$B$3)</f>
        <v/>
      </c>
      <c r="C86" s="67" t="str">
        <f>IF(FILLME!$B$7="ISCO",FILLME!$E$4,IF(FILLME!$B$7="Grab",FILLME!$E$5))</f>
        <v>IS</v>
      </c>
      <c r="D86" t="str">
        <f>IF(FILLME!$B$4 = "", "", FILLME!$B$4)</f>
        <v>SSEMG</v>
      </c>
      <c r="E86" s="7" t="str">
        <f>TEXT(FILLME!$B$6,"yyyymmdd")</f>
        <v>20260223</v>
      </c>
      <c r="F86" s="8">
        <v>0</v>
      </c>
      <c r="G86" s="7">
        <f>IF(FILLME!$B$7="ISCO",FILLME!$B$6+FILLME!$B$11+(FILLME!$B$13*(H86-FILLME!$B$14)),FILLME!$B$6)</f>
        <v>46084</v>
      </c>
      <c r="H86" s="8">
        <v>85</v>
      </c>
      <c r="I86" s="8">
        <v>13</v>
      </c>
      <c r="J86" s="2" t="str">
        <v>STA</v>
      </c>
      <c r="K86" s="9" t="str">
        <f t="shared" si="3"/>
        <v>STA_85</v>
      </c>
      <c r="L86" s="10" t="str">
        <f t="shared" si="4"/>
        <v>SSEMG_STA_20260223_85</v>
      </c>
      <c r="M86" s="10" t="str">
        <f t="shared" si="5"/>
        <v>SSEMG_STA_IS_20260303_0000</v>
      </c>
      <c r="N86" t="b">
        <f>IF(ROW()-ROW($N$1) &lt;= FILLME!$G$4, TRUE, FALSE)</f>
        <v>1</v>
      </c>
      <c r="O86" t="b">
        <f>IF(ROW()-ROW($O$1) &lt;= FILLME!$G$5, TRUE, FALSE)</f>
        <v>0</v>
      </c>
      <c r="P86" t="b">
        <f>IF(ROW()-ROW($P$1) &lt;= FILLME!$G$7, TRUE, FALSE)</f>
        <v>0</v>
      </c>
      <c r="Q86" t="b">
        <f>IF(ROW()-ROW($Q$1) &lt;= FILLME!$G$6, TRUE, FALSE)</f>
        <v>1</v>
      </c>
      <c r="R86" t="b">
        <f>IF(ROW()-ROW($R$1) &lt;= FILLME!$G$8, TRUE, FALSE)</f>
        <v>1</v>
      </c>
      <c r="S86" t="b">
        <f>IF(ROW()-ROW($S$1) &lt;= FILLME!$G$9, TRUE, FALSE)</f>
        <v>1</v>
      </c>
      <c r="T86" t="b">
        <f>IF(ROW()-ROW($T$1) &lt;= FILLME!$G$10, TRUE, FALSE)</f>
        <v>1</v>
      </c>
      <c r="U86" t="b">
        <f>IF(ROW()-ROW($U$1) &lt;= FILLME!$G$11, TRUE, FALSE)</f>
        <v>1</v>
      </c>
    </row>
    <row r="87" spans="1:21" x14ac:dyDescent="0.25">
      <c r="A87" s="7" t="str">
        <f>FILLME!$B$7</f>
        <v>ISCO</v>
      </c>
      <c r="B87" t="str">
        <f>IF(FILLME!$B$3 = "", "", FILLME!$B$3)</f>
        <v/>
      </c>
      <c r="C87" s="67" t="str">
        <f>IF(FILLME!$B$7="ISCO",FILLME!$E$4,IF(FILLME!$B$7="Grab",FILLME!$E$5))</f>
        <v>IS</v>
      </c>
      <c r="D87" t="str">
        <f>IF(FILLME!$B$4 = "", "", FILLME!$B$4)</f>
        <v>SSEMG</v>
      </c>
      <c r="E87" s="7" t="str">
        <f>TEXT(FILLME!$B$6,"yyyymmdd")</f>
        <v>20260223</v>
      </c>
      <c r="F87" s="8">
        <v>8.3333333333333037E-2</v>
      </c>
      <c r="G87" s="7">
        <f>IF(FILLME!$B$7="ISCO",FILLME!$B$6+FILLME!$B$11+(FILLME!$B$13*(H87-FILLME!$B$14)),FILLME!$B$6)</f>
        <v>46084.083333333336</v>
      </c>
      <c r="H87" s="8">
        <v>86</v>
      </c>
      <c r="I87" s="8">
        <v>14</v>
      </c>
      <c r="J87" s="2" t="str">
        <v>STA</v>
      </c>
      <c r="K87" s="9" t="str">
        <f t="shared" si="3"/>
        <v>STA_86</v>
      </c>
      <c r="L87" s="10" t="str">
        <f t="shared" si="4"/>
        <v>SSEMG_STA_20260223_86</v>
      </c>
      <c r="M87" s="10" t="str">
        <f t="shared" si="5"/>
        <v>SSEMG_STA_IS_20260303_0200</v>
      </c>
      <c r="N87" t="b">
        <f>IF(ROW()-ROW($N$1) &lt;= FILLME!$G$4, TRUE, FALSE)</f>
        <v>1</v>
      </c>
      <c r="O87" t="b">
        <f>IF(ROW()-ROW($O$1) &lt;= FILLME!$G$5, TRUE, FALSE)</f>
        <v>0</v>
      </c>
      <c r="P87" t="b">
        <f>IF(ROW()-ROW($P$1) &lt;= FILLME!$G$7, TRUE, FALSE)</f>
        <v>0</v>
      </c>
      <c r="Q87" t="b">
        <f>IF(ROW()-ROW($Q$1) &lt;= FILLME!$G$6, TRUE, FALSE)</f>
        <v>1</v>
      </c>
      <c r="R87" t="b">
        <f>IF(ROW()-ROW($R$1) &lt;= FILLME!$G$8, TRUE, FALSE)</f>
        <v>1</v>
      </c>
      <c r="S87" t="b">
        <f>IF(ROW()-ROW($S$1) &lt;= FILLME!$G$9, TRUE, FALSE)</f>
        <v>1</v>
      </c>
      <c r="T87" t="b">
        <f>IF(ROW()-ROW($T$1) &lt;= FILLME!$G$10, TRUE, FALSE)</f>
        <v>1</v>
      </c>
      <c r="U87" t="b">
        <f>IF(ROW()-ROW($U$1) &lt;= FILLME!$G$11, TRUE, FALSE)</f>
        <v>1</v>
      </c>
    </row>
    <row r="88" spans="1:21" x14ac:dyDescent="0.25">
      <c r="A88" s="7" t="str">
        <f>FILLME!$B$7</f>
        <v>ISCO</v>
      </c>
      <c r="B88" t="str">
        <f>IF(FILLME!$B$3 = "", "", FILLME!$B$3)</f>
        <v/>
      </c>
      <c r="C88" s="67" t="str">
        <f>IF(FILLME!$B$7="ISCO",FILLME!$E$4,IF(FILLME!$B$7="Grab",FILLME!$E$5))</f>
        <v>IS</v>
      </c>
      <c r="D88" t="str">
        <f>IF(FILLME!$B$4 = "", "", FILLME!$B$4)</f>
        <v>SSEMG</v>
      </c>
      <c r="E88" s="7" t="str">
        <f>TEXT(FILLME!$B$6,"yyyymmdd")</f>
        <v>20260223</v>
      </c>
      <c r="F88" s="8">
        <v>0.16666666666666696</v>
      </c>
      <c r="G88" s="7">
        <f>IF(FILLME!$B$7="ISCO",FILLME!$B$6+FILLME!$B$11+(FILLME!$B$13*(H88-FILLME!$B$14)),FILLME!$B$6)</f>
        <v>46084.166666666664</v>
      </c>
      <c r="H88" s="8">
        <v>87</v>
      </c>
      <c r="I88" s="8">
        <v>15</v>
      </c>
      <c r="J88" s="2" t="str">
        <v>STA</v>
      </c>
      <c r="K88" s="9" t="str">
        <f t="shared" si="3"/>
        <v>STA_87</v>
      </c>
      <c r="L88" s="10" t="str">
        <f t="shared" si="4"/>
        <v>SSEMG_STA_20260223_87</v>
      </c>
      <c r="M88" s="10" t="str">
        <f t="shared" si="5"/>
        <v>SSEMG_STA_IS_20260303_0400</v>
      </c>
      <c r="N88" t="b">
        <f>IF(ROW()-ROW($N$1) &lt;= FILLME!$G$4, TRUE, FALSE)</f>
        <v>1</v>
      </c>
      <c r="O88" t="b">
        <f>IF(ROW()-ROW($O$1) &lt;= FILLME!$G$5, TRUE, FALSE)</f>
        <v>0</v>
      </c>
      <c r="P88" t="b">
        <f>IF(ROW()-ROW($P$1) &lt;= FILLME!$G$7, TRUE, FALSE)</f>
        <v>0</v>
      </c>
      <c r="Q88" t="b">
        <f>IF(ROW()-ROW($Q$1) &lt;= FILLME!$G$6, TRUE, FALSE)</f>
        <v>1</v>
      </c>
      <c r="R88" t="b">
        <f>IF(ROW()-ROW($R$1) &lt;= FILLME!$G$8, TRUE, FALSE)</f>
        <v>1</v>
      </c>
      <c r="S88" t="b">
        <f>IF(ROW()-ROW($S$1) &lt;= FILLME!$G$9, TRUE, FALSE)</f>
        <v>1</v>
      </c>
      <c r="T88" t="b">
        <f>IF(ROW()-ROW($T$1) &lt;= FILLME!$G$10, TRUE, FALSE)</f>
        <v>1</v>
      </c>
      <c r="U88" t="b">
        <f>IF(ROW()-ROW($U$1) &lt;= FILLME!$G$11, TRUE, FALSE)</f>
        <v>1</v>
      </c>
    </row>
    <row r="89" spans="1:21" x14ac:dyDescent="0.25">
      <c r="A89" s="7" t="str">
        <f>FILLME!$B$7</f>
        <v>ISCO</v>
      </c>
      <c r="B89" t="str">
        <f>IF(FILLME!$B$3 = "", "", FILLME!$B$3)</f>
        <v/>
      </c>
      <c r="C89" s="67" t="str">
        <f>IF(FILLME!$B$7="ISCO",FILLME!$E$4,IF(FILLME!$B$7="Grab",FILLME!$E$5))</f>
        <v>IS</v>
      </c>
      <c r="D89" t="str">
        <f>IF(FILLME!$B$4 = "", "", FILLME!$B$4)</f>
        <v>SSEMG</v>
      </c>
      <c r="E89" s="7" t="str">
        <f>TEXT(FILLME!$B$6,"yyyymmdd")</f>
        <v>20260223</v>
      </c>
      <c r="F89" s="8">
        <v>0.25</v>
      </c>
      <c r="G89" s="7">
        <f>IF(FILLME!$B$7="ISCO",FILLME!$B$6+FILLME!$B$11+(FILLME!$B$13*(H89-FILLME!$B$14)),FILLME!$B$6)</f>
        <v>46084.25</v>
      </c>
      <c r="H89" s="8">
        <v>88</v>
      </c>
      <c r="I89" s="8">
        <v>16</v>
      </c>
      <c r="J89" s="2" t="str">
        <v>STA</v>
      </c>
      <c r="K89" s="9" t="str">
        <f t="shared" si="3"/>
        <v>STA_88</v>
      </c>
      <c r="L89" s="10" t="str">
        <f t="shared" si="4"/>
        <v>SSEMG_STA_20260223_88</v>
      </c>
      <c r="M89" s="10" t="str">
        <f t="shared" si="5"/>
        <v>SSEMG_STA_IS_20260303_0600</v>
      </c>
      <c r="N89" t="b">
        <f>IF(ROW()-ROW($N$1) &lt;= FILLME!$G$4, TRUE, FALSE)</f>
        <v>1</v>
      </c>
      <c r="O89" t="b">
        <f>IF(ROW()-ROW($O$1) &lt;= FILLME!$G$5, TRUE, FALSE)</f>
        <v>0</v>
      </c>
      <c r="P89" t="b">
        <f>IF(ROW()-ROW($P$1) &lt;= FILLME!$G$7, TRUE, FALSE)</f>
        <v>0</v>
      </c>
      <c r="Q89" t="b">
        <f>IF(ROW()-ROW($Q$1) &lt;= FILLME!$G$6, TRUE, FALSE)</f>
        <v>1</v>
      </c>
      <c r="R89" t="b">
        <f>IF(ROW()-ROW($R$1) &lt;= FILLME!$G$8, TRUE, FALSE)</f>
        <v>1</v>
      </c>
      <c r="S89" t="b">
        <f>IF(ROW()-ROW($S$1) &lt;= FILLME!$G$9, TRUE, FALSE)</f>
        <v>1</v>
      </c>
      <c r="T89" t="b">
        <f>IF(ROW()-ROW($T$1) &lt;= FILLME!$G$10, TRUE, FALSE)</f>
        <v>1</v>
      </c>
      <c r="U89" t="b">
        <f>IF(ROW()-ROW($U$1) &lt;= FILLME!$G$11, TRUE, FALSE)</f>
        <v>1</v>
      </c>
    </row>
    <row r="90" spans="1:21" x14ac:dyDescent="0.25">
      <c r="A90" s="7" t="str">
        <f>FILLME!$B$7</f>
        <v>ISCO</v>
      </c>
      <c r="B90" t="str">
        <f>IF(FILLME!$B$3 = "", "", FILLME!$B$3)</f>
        <v/>
      </c>
      <c r="C90" s="67" t="str">
        <f>IF(FILLME!$B$7="ISCO",FILLME!$E$4,IF(FILLME!$B$7="Grab",FILLME!$E$5))</f>
        <v>IS</v>
      </c>
      <c r="D90" t="str">
        <f>IF(FILLME!$B$4 = "", "", FILLME!$B$4)</f>
        <v>SSEMG</v>
      </c>
      <c r="E90" s="7" t="str">
        <f>TEXT(FILLME!$B$6,"yyyymmdd")</f>
        <v>20260223</v>
      </c>
      <c r="F90" s="8">
        <v>0.33333333333333304</v>
      </c>
      <c r="G90" s="7">
        <f>IF(FILLME!$B$7="ISCO",FILLME!$B$6+FILLME!$B$11+(FILLME!$B$13*(H90-FILLME!$B$14)),FILLME!$B$6)</f>
        <v>46084.333333333336</v>
      </c>
      <c r="H90" s="8">
        <v>89</v>
      </c>
      <c r="I90" s="8">
        <v>17</v>
      </c>
      <c r="J90" s="2" t="str">
        <v>STA</v>
      </c>
      <c r="K90" s="9" t="str">
        <f t="shared" si="3"/>
        <v>STA_89</v>
      </c>
      <c r="L90" s="10" t="str">
        <f t="shared" si="4"/>
        <v>SSEMG_STA_20260223_89</v>
      </c>
      <c r="M90" s="10" t="str">
        <f t="shared" si="5"/>
        <v>SSEMG_STA_IS_20260303_0800</v>
      </c>
      <c r="N90" t="b">
        <f>IF(ROW()-ROW($N$1) &lt;= FILLME!$G$4, TRUE, FALSE)</f>
        <v>1</v>
      </c>
      <c r="O90" t="b">
        <f>IF(ROW()-ROW($O$1) &lt;= FILLME!$G$5, TRUE, FALSE)</f>
        <v>0</v>
      </c>
      <c r="P90" t="b">
        <f>IF(ROW()-ROW($P$1) &lt;= FILLME!$G$7, TRUE, FALSE)</f>
        <v>0</v>
      </c>
      <c r="Q90" t="b">
        <f>IF(ROW()-ROW($Q$1) &lt;= FILLME!$G$6, TRUE, FALSE)</f>
        <v>1</v>
      </c>
      <c r="R90" t="b">
        <f>IF(ROW()-ROW($R$1) &lt;= FILLME!$G$8, TRUE, FALSE)</f>
        <v>1</v>
      </c>
      <c r="S90" t="b">
        <f>IF(ROW()-ROW($S$1) &lt;= FILLME!$G$9, TRUE, FALSE)</f>
        <v>1</v>
      </c>
      <c r="T90" t="b">
        <f>IF(ROW()-ROW($T$1) &lt;= FILLME!$G$10, TRUE, FALSE)</f>
        <v>1</v>
      </c>
      <c r="U90" t="b">
        <f>IF(ROW()-ROW($U$1) &lt;= FILLME!$G$11, TRUE, FALSE)</f>
        <v>1</v>
      </c>
    </row>
    <row r="91" spans="1:21" x14ac:dyDescent="0.25">
      <c r="A91" s="7" t="str">
        <f>FILLME!$B$7</f>
        <v>ISCO</v>
      </c>
      <c r="B91" t="str">
        <f>IF(FILLME!$B$3 = "", "", FILLME!$B$3)</f>
        <v/>
      </c>
      <c r="C91" s="67" t="str">
        <f>IF(FILLME!$B$7="ISCO",FILLME!$E$4,IF(FILLME!$B$7="Grab",FILLME!$E$5))</f>
        <v>IS</v>
      </c>
      <c r="D91" t="str">
        <f>IF(FILLME!$B$4 = "", "", FILLME!$B$4)</f>
        <v>SSEMG</v>
      </c>
      <c r="E91" s="7" t="str">
        <f>TEXT(FILLME!$B$6,"yyyymmdd")</f>
        <v>20260223</v>
      </c>
      <c r="F91" s="8">
        <v>0.41666666666666696</v>
      </c>
      <c r="G91" s="7">
        <f>IF(FILLME!$B$7="ISCO",FILLME!$B$6+FILLME!$B$11+(FILLME!$B$13*(H91-FILLME!$B$14)),FILLME!$B$6)</f>
        <v>46084.416666666664</v>
      </c>
      <c r="H91" s="8">
        <v>90</v>
      </c>
      <c r="I91" s="8">
        <v>18</v>
      </c>
      <c r="J91" s="2" t="str">
        <v>STA</v>
      </c>
      <c r="K91" s="9" t="str">
        <f t="shared" si="3"/>
        <v>STA_90</v>
      </c>
      <c r="L91" s="10" t="str">
        <f t="shared" si="4"/>
        <v>SSEMG_STA_20260223_90</v>
      </c>
      <c r="M91" s="10" t="str">
        <f t="shared" si="5"/>
        <v>SSEMG_STA_IS_20260303_1000</v>
      </c>
      <c r="N91" t="b">
        <f>IF(ROW()-ROW($N$1) &lt;= FILLME!$G$4, TRUE, FALSE)</f>
        <v>1</v>
      </c>
      <c r="O91" t="b">
        <f>IF(ROW()-ROW($O$1) &lt;= FILLME!$G$5, TRUE, FALSE)</f>
        <v>0</v>
      </c>
      <c r="P91" t="b">
        <f>IF(ROW()-ROW($P$1) &lt;= FILLME!$G$7, TRUE, FALSE)</f>
        <v>0</v>
      </c>
      <c r="Q91" t="b">
        <f>IF(ROW()-ROW($Q$1) &lt;= FILLME!$G$6, TRUE, FALSE)</f>
        <v>1</v>
      </c>
      <c r="R91" t="b">
        <f>IF(ROW()-ROW($R$1) &lt;= FILLME!$G$8, TRUE, FALSE)</f>
        <v>1</v>
      </c>
      <c r="S91" t="b">
        <f>IF(ROW()-ROW($S$1) &lt;= FILLME!$G$9, TRUE, FALSE)</f>
        <v>1</v>
      </c>
      <c r="T91" t="b">
        <f>IF(ROW()-ROW($T$1) &lt;= FILLME!$G$10, TRUE, FALSE)</f>
        <v>1</v>
      </c>
      <c r="U91" t="b">
        <f>IF(ROW()-ROW($U$1) &lt;= FILLME!$G$11, TRUE, FALSE)</f>
        <v>1</v>
      </c>
    </row>
    <row r="92" spans="1:21" x14ac:dyDescent="0.25">
      <c r="A92" s="7" t="str">
        <f>FILLME!$B$7</f>
        <v>ISCO</v>
      </c>
      <c r="B92" t="str">
        <f>IF(FILLME!$B$3 = "", "", FILLME!$B$3)</f>
        <v/>
      </c>
      <c r="C92" s="67" t="str">
        <f>IF(FILLME!$B$7="ISCO",FILLME!$E$4,IF(FILLME!$B$7="Grab",FILLME!$E$5))</f>
        <v>IS</v>
      </c>
      <c r="D92" t="str">
        <f>IF(FILLME!$B$4 = "", "", FILLME!$B$4)</f>
        <v>SSEMG</v>
      </c>
      <c r="E92" s="7" t="str">
        <f>TEXT(FILLME!$B$6,"yyyymmdd")</f>
        <v>20260223</v>
      </c>
      <c r="F92" s="8">
        <v>0.5</v>
      </c>
      <c r="G92" s="7">
        <f>IF(FILLME!$B$7="ISCO",FILLME!$B$6+FILLME!$B$11+(FILLME!$B$13*(H92-FILLME!$B$14)),FILLME!$B$6)</f>
        <v>46084.5</v>
      </c>
      <c r="H92" s="8">
        <v>91</v>
      </c>
      <c r="I92" s="8">
        <v>19</v>
      </c>
      <c r="J92" s="2" t="str">
        <v>STA</v>
      </c>
      <c r="K92" s="9" t="str">
        <f t="shared" si="3"/>
        <v>STA_91</v>
      </c>
      <c r="L92" s="10" t="str">
        <f t="shared" si="4"/>
        <v>SSEMG_STA_20260223_91</v>
      </c>
      <c r="M92" s="10" t="str">
        <f t="shared" si="5"/>
        <v>SSEMG_STA_IS_20260303_1200</v>
      </c>
      <c r="N92" t="b">
        <f>IF(ROW()-ROW($N$1) &lt;= FILLME!$G$4, TRUE, FALSE)</f>
        <v>1</v>
      </c>
      <c r="O92" t="b">
        <f>IF(ROW()-ROW($O$1) &lt;= FILLME!$G$5, TRUE, FALSE)</f>
        <v>0</v>
      </c>
      <c r="P92" t="b">
        <f>IF(ROW()-ROW($P$1) &lt;= FILLME!$G$7, TRUE, FALSE)</f>
        <v>0</v>
      </c>
      <c r="Q92" t="b">
        <f>IF(ROW()-ROW($Q$1) &lt;= FILLME!$G$6, TRUE, FALSE)</f>
        <v>1</v>
      </c>
      <c r="R92" t="b">
        <f>IF(ROW()-ROW($R$1) &lt;= FILLME!$G$8, TRUE, FALSE)</f>
        <v>1</v>
      </c>
      <c r="S92" t="b">
        <f>IF(ROW()-ROW($S$1) &lt;= FILLME!$G$9, TRUE, FALSE)</f>
        <v>1</v>
      </c>
      <c r="T92" t="b">
        <f>IF(ROW()-ROW($T$1) &lt;= FILLME!$G$10, TRUE, FALSE)</f>
        <v>1</v>
      </c>
      <c r="U92" t="b">
        <f>IF(ROW()-ROW($U$1) &lt;= FILLME!$G$11, TRUE, FALSE)</f>
        <v>1</v>
      </c>
    </row>
    <row r="93" spans="1:21" x14ac:dyDescent="0.25">
      <c r="A93" s="7" t="str">
        <f>FILLME!$B$7</f>
        <v>ISCO</v>
      </c>
      <c r="B93" t="str">
        <f>IF(FILLME!$B$3 = "", "", FILLME!$B$3)</f>
        <v/>
      </c>
      <c r="C93" s="67" t="str">
        <f>IF(FILLME!$B$7="ISCO",FILLME!$E$4,IF(FILLME!$B$7="Grab",FILLME!$E$5))</f>
        <v>IS</v>
      </c>
      <c r="D93" t="str">
        <f>IF(FILLME!$B$4 = "", "", FILLME!$B$4)</f>
        <v>SSEMG</v>
      </c>
      <c r="E93" s="7" t="str">
        <f>TEXT(FILLME!$B$6,"yyyymmdd")</f>
        <v>20260223</v>
      </c>
      <c r="F93" s="8">
        <v>0.58333333333333304</v>
      </c>
      <c r="G93" s="7">
        <f>IF(FILLME!$B$7="ISCO",FILLME!$B$6+FILLME!$B$11+(FILLME!$B$13*(H93-FILLME!$B$14)),FILLME!$B$6)</f>
        <v>46084.583333333336</v>
      </c>
      <c r="H93" s="8">
        <v>92</v>
      </c>
      <c r="I93" s="8">
        <v>20</v>
      </c>
      <c r="J93" s="2" t="str">
        <v>STA</v>
      </c>
      <c r="K93" s="9" t="str">
        <f t="shared" si="3"/>
        <v>STA_92</v>
      </c>
      <c r="L93" s="10" t="str">
        <f t="shared" si="4"/>
        <v>SSEMG_STA_20260223_92</v>
      </c>
      <c r="M93" s="10" t="str">
        <f t="shared" si="5"/>
        <v>SSEMG_STA_IS_20260303_1400</v>
      </c>
      <c r="N93" t="b">
        <f>IF(ROW()-ROW($N$1) &lt;= FILLME!$G$4, TRUE, FALSE)</f>
        <v>1</v>
      </c>
      <c r="O93" t="b">
        <f>IF(ROW()-ROW($O$1) &lt;= FILLME!$G$5, TRUE, FALSE)</f>
        <v>0</v>
      </c>
      <c r="P93" t="b">
        <f>IF(ROW()-ROW($P$1) &lt;= FILLME!$G$7, TRUE, FALSE)</f>
        <v>0</v>
      </c>
      <c r="Q93" t="b">
        <f>IF(ROW()-ROW($Q$1) &lt;= FILLME!$G$6, TRUE, FALSE)</f>
        <v>1</v>
      </c>
      <c r="R93" t="b">
        <f>IF(ROW()-ROW($R$1) &lt;= FILLME!$G$8, TRUE, FALSE)</f>
        <v>1</v>
      </c>
      <c r="S93" t="b">
        <f>IF(ROW()-ROW($S$1) &lt;= FILLME!$G$9, TRUE, FALSE)</f>
        <v>1</v>
      </c>
      <c r="T93" t="b">
        <f>IF(ROW()-ROW($T$1) &lt;= FILLME!$G$10, TRUE, FALSE)</f>
        <v>1</v>
      </c>
      <c r="U93" t="b">
        <f>IF(ROW()-ROW($U$1) &lt;= FILLME!$G$11, TRUE, FALSE)</f>
        <v>1</v>
      </c>
    </row>
    <row r="94" spans="1:21" x14ac:dyDescent="0.25">
      <c r="A94" s="7" t="str">
        <f>FILLME!$B$7</f>
        <v>ISCO</v>
      </c>
      <c r="B94" t="str">
        <f>IF(FILLME!$B$3 = "", "", FILLME!$B$3)</f>
        <v/>
      </c>
      <c r="C94" s="67" t="str">
        <f>IF(FILLME!$B$7="ISCO",FILLME!$E$4,IF(FILLME!$B$7="Grab",FILLME!$E$5))</f>
        <v>IS</v>
      </c>
      <c r="D94" t="str">
        <f>IF(FILLME!$B$4 = "", "", FILLME!$B$4)</f>
        <v>SSEMG</v>
      </c>
      <c r="E94" s="7" t="str">
        <f>TEXT(FILLME!$B$6,"yyyymmdd")</f>
        <v>20260223</v>
      </c>
      <c r="F94" s="8">
        <v>0.66666666666666696</v>
      </c>
      <c r="G94" s="7">
        <f>IF(FILLME!$B$7="ISCO",FILLME!$B$6+FILLME!$B$11+(FILLME!$B$13*(H94-FILLME!$B$14)),FILLME!$B$6)</f>
        <v>46084.666666666664</v>
      </c>
      <c r="H94" s="8">
        <v>93</v>
      </c>
      <c r="I94" s="8">
        <v>21</v>
      </c>
      <c r="J94" s="2" t="str">
        <v>STA</v>
      </c>
      <c r="K94" s="9" t="str">
        <f t="shared" si="3"/>
        <v>STA_93</v>
      </c>
      <c r="L94" s="10" t="str">
        <f t="shared" si="4"/>
        <v>SSEMG_STA_20260223_93</v>
      </c>
      <c r="M94" s="10" t="str">
        <f t="shared" si="5"/>
        <v>SSEMG_STA_IS_20260303_1600</v>
      </c>
      <c r="N94" t="b">
        <f>IF(ROW()-ROW($N$1) &lt;= FILLME!$G$4, TRUE, FALSE)</f>
        <v>1</v>
      </c>
      <c r="O94" t="b">
        <f>IF(ROW()-ROW($O$1) &lt;= FILLME!$G$5, TRUE, FALSE)</f>
        <v>0</v>
      </c>
      <c r="P94" t="b">
        <f>IF(ROW()-ROW($P$1) &lt;= FILLME!$G$7, TRUE, FALSE)</f>
        <v>0</v>
      </c>
      <c r="Q94" t="b">
        <f>IF(ROW()-ROW($Q$1) &lt;= FILLME!$G$6, TRUE, FALSE)</f>
        <v>1</v>
      </c>
      <c r="R94" t="b">
        <f>IF(ROW()-ROW($R$1) &lt;= FILLME!$G$8, TRUE, FALSE)</f>
        <v>1</v>
      </c>
      <c r="S94" t="b">
        <f>IF(ROW()-ROW($S$1) &lt;= FILLME!$G$9, TRUE, FALSE)</f>
        <v>1</v>
      </c>
      <c r="T94" t="b">
        <f>IF(ROW()-ROW($T$1) &lt;= FILLME!$G$10, TRUE, FALSE)</f>
        <v>1</v>
      </c>
      <c r="U94" t="b">
        <f>IF(ROW()-ROW($U$1) &lt;= FILLME!$G$11, TRUE, FALSE)</f>
        <v>1</v>
      </c>
    </row>
    <row r="95" spans="1:21" x14ac:dyDescent="0.25">
      <c r="A95" s="7" t="str">
        <f>FILLME!$B$7</f>
        <v>ISCO</v>
      </c>
      <c r="B95" t="str">
        <f>IF(FILLME!$B$3 = "", "", FILLME!$B$3)</f>
        <v/>
      </c>
      <c r="C95" s="67" t="str">
        <f>IF(FILLME!$B$7="ISCO",FILLME!$E$4,IF(FILLME!$B$7="Grab",FILLME!$E$5))</f>
        <v>IS</v>
      </c>
      <c r="D95" t="str">
        <f>IF(FILLME!$B$4 = "", "", FILLME!$B$4)</f>
        <v>SSEMG</v>
      </c>
      <c r="E95" s="7" t="str">
        <f>TEXT(FILLME!$B$6,"yyyymmdd")</f>
        <v>20260223</v>
      </c>
      <c r="F95" s="8">
        <v>0.75</v>
      </c>
      <c r="G95" s="7">
        <f>IF(FILLME!$B$7="ISCO",FILLME!$B$6+FILLME!$B$11+(FILLME!$B$13*(H95-FILLME!$B$14)),FILLME!$B$6)</f>
        <v>46084.75</v>
      </c>
      <c r="H95" s="8">
        <v>94</v>
      </c>
      <c r="I95" s="8">
        <v>22</v>
      </c>
      <c r="J95" s="2" t="str">
        <v>STA</v>
      </c>
      <c r="K95" s="9" t="str">
        <f t="shared" si="3"/>
        <v>STA_94</v>
      </c>
      <c r="L95" s="10" t="str">
        <f t="shared" si="4"/>
        <v>SSEMG_STA_20260223_94</v>
      </c>
      <c r="M95" s="10" t="str">
        <f t="shared" si="5"/>
        <v>SSEMG_STA_IS_20260303_1800</v>
      </c>
      <c r="N95" t="b">
        <f>IF(ROW()-ROW($N$1) &lt;= FILLME!$G$4, TRUE, FALSE)</f>
        <v>1</v>
      </c>
      <c r="O95" t="b">
        <f>IF(ROW()-ROW($O$1) &lt;= FILLME!$G$5, TRUE, FALSE)</f>
        <v>0</v>
      </c>
      <c r="P95" t="b">
        <f>IF(ROW()-ROW($P$1) &lt;= FILLME!$G$7, TRUE, FALSE)</f>
        <v>0</v>
      </c>
      <c r="Q95" t="b">
        <f>IF(ROW()-ROW($Q$1) &lt;= FILLME!$G$6, TRUE, FALSE)</f>
        <v>1</v>
      </c>
      <c r="R95" t="b">
        <f>IF(ROW()-ROW($R$1) &lt;= FILLME!$G$8, TRUE, FALSE)</f>
        <v>1</v>
      </c>
      <c r="S95" t="b">
        <f>IF(ROW()-ROW($S$1) &lt;= FILLME!$G$9, TRUE, FALSE)</f>
        <v>1</v>
      </c>
      <c r="T95" t="b">
        <f>IF(ROW()-ROW($T$1) &lt;= FILLME!$G$10, TRUE, FALSE)</f>
        <v>1</v>
      </c>
      <c r="U95" t="b">
        <f>IF(ROW()-ROW($U$1) &lt;= FILLME!$G$11, TRUE, FALSE)</f>
        <v>1</v>
      </c>
    </row>
    <row r="96" spans="1:21" x14ac:dyDescent="0.25">
      <c r="A96" s="7" t="str">
        <f>FILLME!$B$7</f>
        <v>ISCO</v>
      </c>
      <c r="B96" t="str">
        <f>IF(FILLME!$B$3 = "", "", FILLME!$B$3)</f>
        <v/>
      </c>
      <c r="C96" s="67" t="str">
        <f>IF(FILLME!$B$7="ISCO",FILLME!$E$4,IF(FILLME!$B$7="Grab",FILLME!$E$5))</f>
        <v>IS</v>
      </c>
      <c r="D96" t="str">
        <f>IF(FILLME!$B$4 = "", "", FILLME!$B$4)</f>
        <v>SSEMG</v>
      </c>
      <c r="E96" s="7" t="str">
        <f>TEXT(FILLME!$B$6,"yyyymmdd")</f>
        <v>20260223</v>
      </c>
      <c r="F96" s="8">
        <v>0.83333333333333304</v>
      </c>
      <c r="G96" s="7">
        <f>IF(FILLME!$B$7="ISCO",FILLME!$B$6+FILLME!$B$11+(FILLME!$B$13*(H96-FILLME!$B$14)),FILLME!$B$6)</f>
        <v>46084.833333333336</v>
      </c>
      <c r="H96" s="8">
        <v>95</v>
      </c>
      <c r="I96" s="8">
        <v>23</v>
      </c>
      <c r="J96" s="2" t="str">
        <v>STA</v>
      </c>
      <c r="K96" s="9" t="str">
        <f t="shared" si="3"/>
        <v>STA_95</v>
      </c>
      <c r="L96" s="10" t="str">
        <f t="shared" si="4"/>
        <v>SSEMG_STA_20260223_95</v>
      </c>
      <c r="M96" s="10" t="str">
        <f t="shared" si="5"/>
        <v>SSEMG_STA_IS_20260303_2000</v>
      </c>
      <c r="N96" t="b">
        <f>IF(ROW()-ROW($N$1) &lt;= FILLME!$G$4, TRUE, FALSE)</f>
        <v>1</v>
      </c>
      <c r="O96" t="b">
        <f>IF(ROW()-ROW($O$1) &lt;= FILLME!$G$5, TRUE, FALSE)</f>
        <v>0</v>
      </c>
      <c r="P96" t="b">
        <f>IF(ROW()-ROW($P$1) &lt;= FILLME!$G$7, TRUE, FALSE)</f>
        <v>0</v>
      </c>
      <c r="Q96" t="b">
        <f>IF(ROW()-ROW($Q$1) &lt;= FILLME!$G$6, TRUE, FALSE)</f>
        <v>1</v>
      </c>
      <c r="R96" t="b">
        <f>IF(ROW()-ROW($R$1) &lt;= FILLME!$G$8, TRUE, FALSE)</f>
        <v>1</v>
      </c>
      <c r="S96" t="b">
        <f>IF(ROW()-ROW($S$1) &lt;= FILLME!$G$9, TRUE, FALSE)</f>
        <v>1</v>
      </c>
      <c r="T96" t="b">
        <f>IF(ROW()-ROW($T$1) &lt;= FILLME!$G$10, TRUE, FALSE)</f>
        <v>1</v>
      </c>
      <c r="U96" t="b">
        <f>IF(ROW()-ROW($U$1) &lt;= FILLME!$G$11, TRUE, FALSE)</f>
        <v>1</v>
      </c>
    </row>
    <row r="97" spans="1:21" x14ac:dyDescent="0.25">
      <c r="A97" s="7" t="str">
        <f>FILLME!$B$7</f>
        <v>ISCO</v>
      </c>
      <c r="B97" t="str">
        <f>IF(FILLME!$B$3 = "", "", FILLME!$B$3)</f>
        <v/>
      </c>
      <c r="C97" s="67" t="str">
        <f>IF(FILLME!$B$7="ISCO",FILLME!$E$4,IF(FILLME!$B$7="Grab",FILLME!$E$5))</f>
        <v>IS</v>
      </c>
      <c r="D97" t="str">
        <f>IF(FILLME!$B$4 = "", "", FILLME!$B$4)</f>
        <v>SSEMG</v>
      </c>
      <c r="E97" s="7" t="str">
        <f>TEXT(FILLME!$B$6,"yyyymmdd")</f>
        <v>20260223</v>
      </c>
      <c r="F97" s="8">
        <v>0.91666666666666696</v>
      </c>
      <c r="G97" s="7">
        <f>IF(FILLME!$B$7="ISCO",FILLME!$B$6+FILLME!$B$11+(FILLME!$B$13*(H97-FILLME!$B$14)),FILLME!$B$6)</f>
        <v>46084.916666666664</v>
      </c>
      <c r="H97" s="8">
        <v>96</v>
      </c>
      <c r="I97" s="8">
        <v>24</v>
      </c>
      <c r="J97" s="2" t="str">
        <v>STA</v>
      </c>
      <c r="K97" s="9" t="str">
        <f t="shared" si="3"/>
        <v>STA_96</v>
      </c>
      <c r="L97" s="10" t="str">
        <f t="shared" si="4"/>
        <v>SSEMG_STA_20260223_96</v>
      </c>
      <c r="M97" s="10" t="str">
        <f t="shared" si="5"/>
        <v>SSEMG_STA_IS_20260303_2200</v>
      </c>
      <c r="N97" t="b">
        <f>IF(ROW()-ROW($N$1) &lt;= FILLME!$G$4, TRUE, FALSE)</f>
        <v>1</v>
      </c>
      <c r="O97" t="b">
        <f>IF(ROW()-ROW($O$1) &lt;= FILLME!$G$5, TRUE, FALSE)</f>
        <v>0</v>
      </c>
      <c r="P97" t="b">
        <f>IF(ROW()-ROW($P$1) &lt;= FILLME!$G$7, TRUE, FALSE)</f>
        <v>0</v>
      </c>
      <c r="Q97" t="b">
        <f>IF(ROW()-ROW($Q$1) &lt;= FILLME!$G$6, TRUE, FALSE)</f>
        <v>1</v>
      </c>
      <c r="R97" t="b">
        <f>IF(ROW()-ROW($R$1) &lt;= FILLME!$G$8, TRUE, FALSE)</f>
        <v>1</v>
      </c>
      <c r="S97" t="b">
        <f>IF(ROW()-ROW($S$1) &lt;= FILLME!$G$9, TRUE, FALSE)</f>
        <v>1</v>
      </c>
      <c r="T97" t="b">
        <f>IF(ROW()-ROW($T$1) &lt;= FILLME!$G$10, TRUE, FALSE)</f>
        <v>1</v>
      </c>
      <c r="U97" t="b">
        <f>IF(ROW()-ROW($U$1) &lt;= FILLME!$G$11, TRUE, FALSE)</f>
        <v>1</v>
      </c>
    </row>
    <row r="98" spans="1:21" x14ac:dyDescent="0.25">
      <c r="A98" s="7" t="str">
        <f>FILLME!$B$7</f>
        <v>ISCO</v>
      </c>
      <c r="B98" t="str">
        <f>IF(FILLME!$B$3 = "", "", FILLME!$B$3)</f>
        <v/>
      </c>
      <c r="C98" s="67" t="str">
        <f>IF(FILLME!$B$7="ISCO",FILLME!$E$4,IF(FILLME!$B$7="Grab",FILLME!$E$5))</f>
        <v>IS</v>
      </c>
      <c r="D98" t="str">
        <f>IF(FILLME!$B$4 = "", "", FILLME!$B$4)</f>
        <v>SSEMG</v>
      </c>
      <c r="E98" s="7" t="str">
        <f>TEXT(FILLME!$B$6,"yyyymmdd")</f>
        <v>20260223</v>
      </c>
      <c r="F98" s="8">
        <v>0</v>
      </c>
      <c r="G98" s="7">
        <f>IF(FILLME!$B$7="ISCO",FILLME!$B$6+FILLME!$B$11+(FILLME!$B$13*(H98-FILLME!$B$14)),FILLME!$B$6)</f>
        <v>46085</v>
      </c>
      <c r="H98" s="8">
        <v>97</v>
      </c>
      <c r="I98" s="8">
        <v>1</v>
      </c>
      <c r="J98" s="2" t="str">
        <v>STA</v>
      </c>
      <c r="K98" s="9" t="str">
        <f t="shared" si="3"/>
        <v>STA_97</v>
      </c>
      <c r="L98" s="10" t="str">
        <f t="shared" si="4"/>
        <v>SSEMG_STA_20260223_97</v>
      </c>
      <c r="M98" s="10" t="str">
        <f t="shared" si="5"/>
        <v>SSEMG_STA_IS_20260304_0000</v>
      </c>
      <c r="N98" t="b">
        <f>IF(ROW()-ROW($N$1) &lt;= FILLME!$G$4, TRUE, FALSE)</f>
        <v>1</v>
      </c>
      <c r="O98" t="b">
        <f>IF(ROW()-ROW($O$1) &lt;= FILLME!$G$5, TRUE, FALSE)</f>
        <v>0</v>
      </c>
      <c r="P98" t="b">
        <f>IF(ROW()-ROW($P$1) &lt;= FILLME!$G$7, TRUE, FALSE)</f>
        <v>0</v>
      </c>
      <c r="Q98" t="b">
        <f>IF(ROW()-ROW($Q$1) &lt;= FILLME!$G$6, TRUE, FALSE)</f>
        <v>1</v>
      </c>
      <c r="R98" t="b">
        <f>IF(ROW()-ROW($R$1) &lt;= FILLME!$G$8, TRUE, FALSE)</f>
        <v>1</v>
      </c>
      <c r="S98" t="b">
        <f>IF(ROW()-ROW($S$1) &lt;= FILLME!$G$9, TRUE, FALSE)</f>
        <v>1</v>
      </c>
      <c r="T98" t="b">
        <f>IF(ROW()-ROW($T$1) &lt;= FILLME!$G$10, TRUE, FALSE)</f>
        <v>1</v>
      </c>
      <c r="U98" t="b">
        <f>IF(ROW()-ROW($U$1) &lt;= FILLME!$G$11, TRUE, FALSE)</f>
        <v>1</v>
      </c>
    </row>
    <row r="99" spans="1:21" x14ac:dyDescent="0.25">
      <c r="A99" s="7" t="str">
        <f>FILLME!$B$7</f>
        <v>ISCO</v>
      </c>
      <c r="B99" t="str">
        <f>IF(FILLME!$B$3 = "", "", FILLME!$B$3)</f>
        <v/>
      </c>
      <c r="C99" s="67" t="str">
        <f>IF(FILLME!$B$7="ISCO",FILLME!$E$4,IF(FILLME!$B$7="Grab",FILLME!$E$5))</f>
        <v>IS</v>
      </c>
      <c r="D99" t="str">
        <f>IF(FILLME!$B$4 = "", "", FILLME!$B$4)</f>
        <v>SSEMG</v>
      </c>
      <c r="E99" s="7" t="str">
        <f>TEXT(FILLME!$B$6,"yyyymmdd")</f>
        <v>20260223</v>
      </c>
      <c r="F99" s="8">
        <v>8.3333333333333925E-2</v>
      </c>
      <c r="G99" s="7">
        <f>IF(FILLME!$B$7="ISCO",FILLME!$B$6+FILLME!$B$11+(FILLME!$B$13*(H99-FILLME!$B$14)),FILLME!$B$6)</f>
        <v>46085.083333333336</v>
      </c>
      <c r="H99" s="8">
        <v>98</v>
      </c>
      <c r="I99" s="8">
        <v>2</v>
      </c>
      <c r="J99" s="2" t="str">
        <v>STA</v>
      </c>
      <c r="K99" s="9" t="str">
        <f t="shared" si="3"/>
        <v>STA_98</v>
      </c>
      <c r="L99" s="10" t="str">
        <f t="shared" si="4"/>
        <v>SSEMG_STA_20260223_98</v>
      </c>
      <c r="M99" s="10" t="str">
        <f t="shared" si="5"/>
        <v>SSEMG_STA_IS_20260304_0200</v>
      </c>
      <c r="N99" t="b">
        <f>IF(ROW()-ROW($N$1) &lt;= FILLME!$G$4, TRUE, FALSE)</f>
        <v>1</v>
      </c>
      <c r="O99" t="b">
        <f>IF(ROW()-ROW($O$1) &lt;= FILLME!$G$5, TRUE, FALSE)</f>
        <v>0</v>
      </c>
      <c r="P99" t="b">
        <f>IF(ROW()-ROW($P$1) &lt;= FILLME!$G$7, TRUE, FALSE)</f>
        <v>0</v>
      </c>
      <c r="Q99" t="b">
        <f>IF(ROW()-ROW($Q$1) &lt;= FILLME!$G$6, TRUE, FALSE)</f>
        <v>1</v>
      </c>
      <c r="R99" t="b">
        <f>IF(ROW()-ROW($R$1) &lt;= FILLME!$G$8, TRUE, FALSE)</f>
        <v>1</v>
      </c>
      <c r="S99" t="b">
        <f>IF(ROW()-ROW($S$1) &lt;= FILLME!$G$9, TRUE, FALSE)</f>
        <v>1</v>
      </c>
      <c r="T99" t="b">
        <f>IF(ROW()-ROW($T$1) &lt;= FILLME!$G$10, TRUE, FALSE)</f>
        <v>1</v>
      </c>
      <c r="U99" t="b">
        <f>IF(ROW()-ROW($U$1) &lt;= FILLME!$G$11, TRUE, FALSE)</f>
        <v>1</v>
      </c>
    </row>
    <row r="100" spans="1:21" x14ac:dyDescent="0.25">
      <c r="A100" s="7" t="str">
        <f>FILLME!$B$7</f>
        <v>ISCO</v>
      </c>
      <c r="B100" t="str">
        <f>IF(FILLME!$B$3 = "", "", FILLME!$B$3)</f>
        <v/>
      </c>
      <c r="C100" s="67" t="str">
        <f>IF(FILLME!$B$7="ISCO",FILLME!$E$4,IF(FILLME!$B$7="Grab",FILLME!$E$5))</f>
        <v>IS</v>
      </c>
      <c r="D100" t="str">
        <f>IF(FILLME!$B$4 = "", "", FILLME!$B$4)</f>
        <v>SSEMG</v>
      </c>
      <c r="E100" s="7" t="str">
        <f>TEXT(FILLME!$B$6,"yyyymmdd")</f>
        <v>20260223</v>
      </c>
      <c r="F100" s="8">
        <v>0.16666666666666607</v>
      </c>
      <c r="G100" s="7">
        <f>IF(FILLME!$B$7="ISCO",FILLME!$B$6+FILLME!$B$11+(FILLME!$B$13*(H100-FILLME!$B$14)),FILLME!$B$6)</f>
        <v>46085.166666666664</v>
      </c>
      <c r="H100" s="8">
        <v>99</v>
      </c>
      <c r="I100" s="8">
        <v>3</v>
      </c>
      <c r="J100" s="2" t="str">
        <v>STA</v>
      </c>
      <c r="K100" s="9" t="str">
        <f t="shared" si="3"/>
        <v>STA_99</v>
      </c>
      <c r="L100" s="10" t="str">
        <f t="shared" si="4"/>
        <v>SSEMG_STA_20260223_99</v>
      </c>
      <c r="M100" s="10" t="str">
        <f t="shared" si="5"/>
        <v>SSEMG_STA_IS_20260304_0400</v>
      </c>
      <c r="N100" t="b">
        <f>IF(ROW()-ROW($N$1) &lt;= FILLME!$G$4, TRUE, FALSE)</f>
        <v>1</v>
      </c>
      <c r="O100" t="b">
        <f>IF(ROW()-ROW($O$1) &lt;= FILLME!$G$5, TRUE, FALSE)</f>
        <v>0</v>
      </c>
      <c r="P100" t="b">
        <f>IF(ROW()-ROW($P$1) &lt;= FILLME!$G$7, TRUE, FALSE)</f>
        <v>0</v>
      </c>
      <c r="Q100" t="b">
        <f>IF(ROW()-ROW($Q$1) &lt;= FILLME!$G$6, TRUE, FALSE)</f>
        <v>1</v>
      </c>
      <c r="R100" t="b">
        <f>IF(ROW()-ROW($R$1) &lt;= FILLME!$G$8, TRUE, FALSE)</f>
        <v>1</v>
      </c>
      <c r="S100" t="b">
        <f>IF(ROW()-ROW($S$1) &lt;= FILLME!$G$9, TRUE, FALSE)</f>
        <v>1</v>
      </c>
      <c r="T100" t="b">
        <f>IF(ROW()-ROW($T$1) &lt;= FILLME!$G$10, TRUE, FALSE)</f>
        <v>1</v>
      </c>
      <c r="U100" t="b">
        <f>IF(ROW()-ROW($U$1) &lt;= FILLME!$G$11, TRUE, FALSE)</f>
        <v>1</v>
      </c>
    </row>
    <row r="101" spans="1:21" x14ac:dyDescent="0.25">
      <c r="A101" s="7" t="str">
        <f>FILLME!$B$7</f>
        <v>ISCO</v>
      </c>
      <c r="B101" t="str">
        <f>IF(FILLME!$B$3 = "", "", FILLME!$B$3)</f>
        <v/>
      </c>
      <c r="C101" s="67" t="str">
        <f>IF(FILLME!$B$7="ISCO",FILLME!$E$4,IF(FILLME!$B$7="Grab",FILLME!$E$5))</f>
        <v>IS</v>
      </c>
      <c r="D101" t="str">
        <f>IF(FILLME!$B$4 = "", "", FILLME!$B$4)</f>
        <v>SSEMG</v>
      </c>
      <c r="E101" s="7" t="str">
        <f>TEXT(FILLME!$B$6,"yyyymmdd")</f>
        <v>20260223</v>
      </c>
      <c r="F101" s="8">
        <v>0.25</v>
      </c>
      <c r="G101" s="7">
        <f>IF(FILLME!$B$7="ISCO",FILLME!$B$6+FILLME!$B$11+(FILLME!$B$13*(H101-FILLME!$B$14)),FILLME!$B$6)</f>
        <v>46085.25</v>
      </c>
      <c r="H101" s="8">
        <v>100</v>
      </c>
      <c r="I101" s="8">
        <v>4</v>
      </c>
      <c r="J101" s="2" t="str">
        <v>STA</v>
      </c>
      <c r="K101" s="9" t="str">
        <f t="shared" si="3"/>
        <v>STA_100</v>
      </c>
      <c r="L101" s="10" t="str">
        <f t="shared" si="4"/>
        <v>SSEMG_STA_20260223_100</v>
      </c>
      <c r="M101" s="10" t="str">
        <f t="shared" si="5"/>
        <v>SSEMG_STA_IS_20260304_0600</v>
      </c>
      <c r="N101" t="b">
        <f>IF(ROW()-ROW($N$1) &lt;= FILLME!$G$4, TRUE, FALSE)</f>
        <v>1</v>
      </c>
      <c r="O101" t="b">
        <f>IF(ROW()-ROW($O$1) &lt;= FILLME!$G$5, TRUE, FALSE)</f>
        <v>0</v>
      </c>
      <c r="P101" t="b">
        <f>IF(ROW()-ROW($P$1) &lt;= FILLME!$G$7, TRUE, FALSE)</f>
        <v>0</v>
      </c>
      <c r="Q101" t="b">
        <f>IF(ROW()-ROW($Q$1) &lt;= FILLME!$G$6, TRUE, FALSE)</f>
        <v>1</v>
      </c>
      <c r="R101" t="b">
        <f>IF(ROW()-ROW($R$1) &lt;= FILLME!$G$8, TRUE, FALSE)</f>
        <v>1</v>
      </c>
      <c r="S101" t="b">
        <f>IF(ROW()-ROW($S$1) &lt;= FILLME!$G$9, TRUE, FALSE)</f>
        <v>1</v>
      </c>
      <c r="T101" t="b">
        <f>IF(ROW()-ROW($T$1) &lt;= FILLME!$G$10, TRUE, FALSE)</f>
        <v>1</v>
      </c>
      <c r="U101" t="b">
        <f>IF(ROW()-ROW($U$1) &lt;= FILLME!$G$11, TRUE, FALSE)</f>
        <v>1</v>
      </c>
    </row>
    <row r="102" spans="1:21" x14ac:dyDescent="0.25">
      <c r="A102" s="7" t="str">
        <f>FILLME!$B$7</f>
        <v>ISCO</v>
      </c>
      <c r="B102" t="str">
        <f>IF(FILLME!$B$3 = "", "", FILLME!$B$3)</f>
        <v/>
      </c>
      <c r="C102" s="67" t="str">
        <f>IF(FILLME!$B$7="ISCO",FILLME!$E$4,IF(FILLME!$B$7="Grab",FILLME!$E$5))</f>
        <v>IS</v>
      </c>
      <c r="D102" t="str">
        <f>IF(FILLME!$B$4 = "", "", FILLME!$B$4)</f>
        <v>SSEMG</v>
      </c>
      <c r="E102" s="7" t="str">
        <f>TEXT(FILLME!$B$6,"yyyymmdd")</f>
        <v>20260223</v>
      </c>
      <c r="F102" s="8"/>
      <c r="G102" s="7">
        <f>IF(FILLME!$B$7="ISCO",FILLME!$B$6+FILLME!$B$11+(FILLME!$B$13*(H102-FILLME!$B$14)),FILLME!$B$6)</f>
        <v>46076.916666666664</v>
      </c>
      <c r="H102" s="8"/>
      <c r="I102" s="8"/>
      <c r="J102" s="2"/>
      <c r="K102" s="9" t="str">
        <f t="shared" si="3"/>
        <v>_00</v>
      </c>
      <c r="L102" s="10" t="str">
        <f t="shared" si="4"/>
        <v>SSEMG__20260223_00</v>
      </c>
      <c r="M102" s="10" t="str">
        <f t="shared" si="5"/>
        <v>SSEMG__IS_20260223_0000</v>
      </c>
      <c r="N102" t="b">
        <f>IF(ROW()-ROW($N$1) &lt;= FILLME!$G$4, TRUE, FALSE)</f>
        <v>0</v>
      </c>
      <c r="O102" t="b">
        <f>IF(ROW()-ROW($O$1) &lt;= FILLME!$G$5, TRUE, FALSE)</f>
        <v>0</v>
      </c>
      <c r="P102" t="b">
        <f>IF(ROW()-ROW($P$1) &lt;= FILLME!$G$7, TRUE, FALSE)</f>
        <v>0</v>
      </c>
      <c r="Q102" t="b">
        <f>IF(ROW()-ROW($Q$1) &lt;= FILLME!$G$6, TRUE, FALSE)</f>
        <v>0</v>
      </c>
      <c r="R102" t="b">
        <f>IF(ROW()-ROW($R$1) &lt;= FILLME!$G$8, TRUE, FALSE)</f>
        <v>0</v>
      </c>
      <c r="S102" t="b">
        <f>IF(ROW()-ROW($S$1) &lt;= FILLME!$G$9, TRUE, FALSE)</f>
        <v>0</v>
      </c>
      <c r="T102" t="b">
        <f>IF(ROW()-ROW($T$1) &lt;= FILLME!$G$10, TRUE, FALSE)</f>
        <v>0</v>
      </c>
      <c r="U102" t="b">
        <f>IF(ROW()-ROW($U$1) &lt;= FILLME!$G$11, TRUE, FALSE)</f>
        <v>0</v>
      </c>
    </row>
    <row r="103" spans="1:21" x14ac:dyDescent="0.25">
      <c r="A103" s="7" t="str">
        <f>FILLME!$B$7</f>
        <v>ISCO</v>
      </c>
      <c r="B103" t="str">
        <f>IF(FILLME!$B$3 = "", "", FILLME!$B$3)</f>
        <v/>
      </c>
      <c r="C103" s="67" t="str">
        <f>IF(FILLME!$B$7="ISCO",FILLME!$E$4,IF(FILLME!$B$7="Grab",FILLME!$E$5))</f>
        <v>IS</v>
      </c>
      <c r="D103" t="str">
        <f>IF(FILLME!$B$4 = "", "", FILLME!$B$4)</f>
        <v>SSEMG</v>
      </c>
      <c r="E103" s="7" t="str">
        <f>TEXT(FILLME!$B$6,"yyyymmdd")</f>
        <v>20260223</v>
      </c>
      <c r="F103" s="8"/>
      <c r="G103" s="7">
        <f>IF(FILLME!$B$7="ISCO",FILLME!$B$6+FILLME!$B$11+(FILLME!$B$13*(H103-FILLME!$B$14)),FILLME!$B$6)</f>
        <v>46076.916666666664</v>
      </c>
      <c r="H103" s="8"/>
      <c r="I103" s="8"/>
      <c r="J103" s="2"/>
      <c r="K103" s="9" t="str">
        <f t="shared" si="3"/>
        <v>_00</v>
      </c>
      <c r="L103" s="10" t="str">
        <f t="shared" si="4"/>
        <v>SSEMG__20260223_00</v>
      </c>
      <c r="M103" s="10" t="str">
        <f t="shared" si="5"/>
        <v>SSEMG__IS_20260223_0000</v>
      </c>
      <c r="N103" t="b">
        <f>IF(ROW()-ROW($N$1) &lt;= FILLME!$G$4, TRUE, FALSE)</f>
        <v>0</v>
      </c>
      <c r="O103" t="b">
        <f>IF(ROW()-ROW($O$1) &lt;= FILLME!$G$5, TRUE, FALSE)</f>
        <v>0</v>
      </c>
      <c r="P103" t="b">
        <f>IF(ROW()-ROW($P$1) &lt;= FILLME!$G$7, TRUE, FALSE)</f>
        <v>0</v>
      </c>
      <c r="Q103" t="b">
        <f>IF(ROW()-ROW($Q$1) &lt;= FILLME!$G$6, TRUE, FALSE)</f>
        <v>0</v>
      </c>
      <c r="R103" t="b">
        <f>IF(ROW()-ROW($R$1) &lt;= FILLME!$G$8, TRUE, FALSE)</f>
        <v>0</v>
      </c>
      <c r="S103" t="b">
        <f>IF(ROW()-ROW($S$1) &lt;= FILLME!$G$9, TRUE, FALSE)</f>
        <v>0</v>
      </c>
      <c r="T103" t="b">
        <f>IF(ROW()-ROW($T$1) &lt;= FILLME!$G$10, TRUE, FALSE)</f>
        <v>0</v>
      </c>
      <c r="U103" t="b">
        <f>IF(ROW()-ROW($U$1) &lt;= FILLME!$G$11, TRUE, FALSE)</f>
        <v>0</v>
      </c>
    </row>
    <row r="104" spans="1:21" x14ac:dyDescent="0.25">
      <c r="A104" s="7" t="str">
        <f>FILLME!$B$7</f>
        <v>ISCO</v>
      </c>
      <c r="B104" t="str">
        <f>IF(FILLME!$B$3 = "", "", FILLME!$B$3)</f>
        <v/>
      </c>
      <c r="C104" s="67" t="str">
        <f>IF(FILLME!$B$7="ISCO",FILLME!$E$4,IF(FILLME!$B$7="Grab",FILLME!$E$5))</f>
        <v>IS</v>
      </c>
      <c r="D104" t="str">
        <f>IF(FILLME!$B$4 = "", "", FILLME!$B$4)</f>
        <v>SSEMG</v>
      </c>
      <c r="E104" s="7" t="str">
        <f>TEXT(FILLME!$B$6,"yyyymmdd")</f>
        <v>20260223</v>
      </c>
      <c r="F104" s="8"/>
      <c r="G104" s="7">
        <f>IF(FILLME!$B$7="ISCO",FILLME!$B$6+FILLME!$B$11+(FILLME!$B$13*(H104-FILLME!$B$14)),FILLME!$B$6)</f>
        <v>46076.916666666664</v>
      </c>
      <c r="H104" s="8"/>
      <c r="I104" s="8"/>
      <c r="J104" s="2"/>
      <c r="K104" s="9" t="str">
        <f t="shared" si="3"/>
        <v>_00</v>
      </c>
      <c r="L104" s="10" t="str">
        <f t="shared" si="4"/>
        <v>SSEMG__20260223_00</v>
      </c>
      <c r="M104" s="10" t="str">
        <f t="shared" si="5"/>
        <v>SSEMG__IS_20260223_0000</v>
      </c>
      <c r="N104" t="b">
        <f>IF(ROW()-ROW($N$1) &lt;= FILLME!$G$4, TRUE, FALSE)</f>
        <v>0</v>
      </c>
      <c r="O104" t="b">
        <f>IF(ROW()-ROW($O$1) &lt;= FILLME!$G$5, TRUE, FALSE)</f>
        <v>0</v>
      </c>
      <c r="P104" t="b">
        <f>IF(ROW()-ROW($P$1) &lt;= FILLME!$G$7, TRUE, FALSE)</f>
        <v>0</v>
      </c>
      <c r="Q104" t="b">
        <f>IF(ROW()-ROW($Q$1) &lt;= FILLME!$G$6, TRUE, FALSE)</f>
        <v>0</v>
      </c>
      <c r="R104" t="b">
        <f>IF(ROW()-ROW($R$1) &lt;= FILLME!$G$8, TRUE, FALSE)</f>
        <v>0</v>
      </c>
      <c r="S104" t="b">
        <f>IF(ROW()-ROW($S$1) &lt;= FILLME!$G$9, TRUE, FALSE)</f>
        <v>0</v>
      </c>
      <c r="T104" t="b">
        <f>IF(ROW()-ROW($T$1) &lt;= FILLME!$G$10, TRUE, FALSE)</f>
        <v>0</v>
      </c>
      <c r="U104" t="b">
        <f>IF(ROW()-ROW($U$1) &lt;= FILLME!$G$11, TRUE, FALSE)</f>
        <v>0</v>
      </c>
    </row>
    <row r="105" spans="1:21" x14ac:dyDescent="0.25">
      <c r="A105" s="7" t="str">
        <f>FILLME!$B$7</f>
        <v>ISCO</v>
      </c>
      <c r="B105" t="str">
        <f>IF(FILLME!$B$3 = "", "", FILLME!$B$3)</f>
        <v/>
      </c>
      <c r="C105" s="67" t="str">
        <f>IF(FILLME!$B$7="ISCO",FILLME!$E$4,IF(FILLME!$B$7="Grab",FILLME!$E$5))</f>
        <v>IS</v>
      </c>
      <c r="D105" t="str">
        <f>IF(FILLME!$B$4 = "", "", FILLME!$B$4)</f>
        <v>SSEMG</v>
      </c>
      <c r="E105" s="7" t="str">
        <f>TEXT(FILLME!$B$6,"yyyymmdd")</f>
        <v>20260223</v>
      </c>
      <c r="F105" s="8"/>
      <c r="G105" s="7">
        <f>IF(FILLME!$B$7="ISCO",FILLME!$B$6+FILLME!$B$11+(FILLME!$B$13*(H105-FILLME!$B$14)),FILLME!$B$6)</f>
        <v>46076.916666666664</v>
      </c>
      <c r="H105" s="8"/>
      <c r="I105" s="8"/>
      <c r="J105" s="2"/>
      <c r="K105" s="9" t="str">
        <f t="shared" si="3"/>
        <v>_00</v>
      </c>
      <c r="L105" s="10" t="str">
        <f t="shared" si="4"/>
        <v>SSEMG__20260223_00</v>
      </c>
      <c r="M105" s="10" t="str">
        <f t="shared" si="5"/>
        <v>SSEMG__IS_20260223_0000</v>
      </c>
      <c r="N105" t="b">
        <f>IF(ROW()-ROW($N$1) &lt;= FILLME!$G$4, TRUE, FALSE)</f>
        <v>0</v>
      </c>
      <c r="O105" t="b">
        <f>IF(ROW()-ROW($O$1) &lt;= FILLME!$G$5, TRUE, FALSE)</f>
        <v>0</v>
      </c>
      <c r="P105" t="b">
        <f>IF(ROW()-ROW($P$1) &lt;= FILLME!$G$7, TRUE, FALSE)</f>
        <v>0</v>
      </c>
      <c r="Q105" t="b">
        <f>IF(ROW()-ROW($Q$1) &lt;= FILLME!$G$6, TRUE, FALSE)</f>
        <v>0</v>
      </c>
      <c r="R105" t="b">
        <f>IF(ROW()-ROW($R$1) &lt;= FILLME!$G$8, TRUE, FALSE)</f>
        <v>0</v>
      </c>
      <c r="S105" t="b">
        <f>IF(ROW()-ROW($S$1) &lt;= FILLME!$G$9, TRUE, FALSE)</f>
        <v>0</v>
      </c>
      <c r="T105" t="b">
        <f>IF(ROW()-ROW($T$1) &lt;= FILLME!$G$10, TRUE, FALSE)</f>
        <v>0</v>
      </c>
      <c r="U105" t="b">
        <f>IF(ROW()-ROW($U$1) &lt;= FILLME!$G$11, TRUE, FALSE)</f>
        <v>0</v>
      </c>
    </row>
    <row r="106" spans="1:21" x14ac:dyDescent="0.25">
      <c r="A106" s="7" t="str">
        <f>FILLME!$B$7</f>
        <v>ISCO</v>
      </c>
      <c r="B106" t="str">
        <f>IF(FILLME!$B$3 = "", "", FILLME!$B$3)</f>
        <v/>
      </c>
      <c r="C106" s="67" t="str">
        <f>IF(FILLME!$B$7="ISCO",FILLME!$E$4,IF(FILLME!$B$7="Grab",FILLME!$E$5))</f>
        <v>IS</v>
      </c>
      <c r="D106" t="str">
        <f>IF(FILLME!$B$4 = "", "", FILLME!$B$4)</f>
        <v>SSEMG</v>
      </c>
      <c r="E106" s="7" t="str">
        <f>TEXT(FILLME!$B$6,"yyyymmdd")</f>
        <v>20260223</v>
      </c>
      <c r="F106" s="8"/>
      <c r="G106" s="7">
        <f>IF(FILLME!$B$7="ISCO",FILLME!$B$6+FILLME!$B$11+(FILLME!$B$13*(H106-FILLME!$B$14)),FILLME!$B$6)</f>
        <v>46076.916666666664</v>
      </c>
      <c r="H106" s="8"/>
      <c r="I106" s="8"/>
      <c r="J106" s="2"/>
      <c r="K106" s="9" t="str">
        <f t="shared" si="3"/>
        <v>_00</v>
      </c>
      <c r="L106" s="10" t="str">
        <f t="shared" si="4"/>
        <v>SSEMG__20260223_00</v>
      </c>
      <c r="M106" s="10" t="str">
        <f t="shared" si="5"/>
        <v>SSEMG__IS_20260223_0000</v>
      </c>
      <c r="N106" t="b">
        <f>IF(ROW()-ROW($N$1) &lt;= FILLME!$G$4, TRUE, FALSE)</f>
        <v>0</v>
      </c>
      <c r="O106" t="b">
        <f>IF(ROW()-ROW($O$1) &lt;= FILLME!$G$5, TRUE, FALSE)</f>
        <v>0</v>
      </c>
      <c r="P106" t="b">
        <f>IF(ROW()-ROW($P$1) &lt;= FILLME!$G$7, TRUE, FALSE)</f>
        <v>0</v>
      </c>
      <c r="Q106" t="b">
        <f>IF(ROW()-ROW($Q$1) &lt;= FILLME!$G$6, TRUE, FALSE)</f>
        <v>0</v>
      </c>
      <c r="R106" t="b">
        <f>IF(ROW()-ROW($R$1) &lt;= FILLME!$G$8, TRUE, FALSE)</f>
        <v>0</v>
      </c>
      <c r="S106" t="b">
        <f>IF(ROW()-ROW($S$1) &lt;= FILLME!$G$9, TRUE, FALSE)</f>
        <v>0</v>
      </c>
      <c r="T106" t="b">
        <f>IF(ROW()-ROW($T$1) &lt;= FILLME!$G$10, TRUE, FALSE)</f>
        <v>0</v>
      </c>
      <c r="U106" t="b">
        <f>IF(ROW()-ROW($U$1) &lt;= FILLME!$G$11, TRUE, FALSE)</f>
        <v>0</v>
      </c>
    </row>
    <row r="107" spans="1:21" x14ac:dyDescent="0.25">
      <c r="A107" s="7" t="str">
        <f>FILLME!$B$7</f>
        <v>ISCO</v>
      </c>
      <c r="B107" t="str">
        <f>IF(FILLME!$B$3 = "", "", FILLME!$B$3)</f>
        <v/>
      </c>
      <c r="C107" s="67" t="str">
        <f>IF(FILLME!$B$7="ISCO",FILLME!$E$4,IF(FILLME!$B$7="Grab",FILLME!$E$5))</f>
        <v>IS</v>
      </c>
      <c r="D107" t="str">
        <f>IF(FILLME!$B$4 = "", "", FILLME!$B$4)</f>
        <v>SSEMG</v>
      </c>
      <c r="E107" s="7" t="str">
        <f>TEXT(FILLME!$B$6,"yyyymmdd")</f>
        <v>20260223</v>
      </c>
      <c r="F107" s="8"/>
      <c r="G107" s="7">
        <f>IF(FILLME!$B$7="ISCO",FILLME!$B$6+FILLME!$B$11+(FILLME!$B$13*(H107-FILLME!$B$14)),FILLME!$B$6)</f>
        <v>46076.916666666664</v>
      </c>
      <c r="H107" s="8"/>
      <c r="I107" s="8"/>
      <c r="J107" s="2"/>
      <c r="K107" s="9" t="str">
        <f t="shared" si="3"/>
        <v>_00</v>
      </c>
      <c r="L107" s="10" t="str">
        <f t="shared" si="4"/>
        <v>SSEMG__20260223_00</v>
      </c>
      <c r="M107" s="10" t="str">
        <f t="shared" si="5"/>
        <v>SSEMG__IS_20260223_0000</v>
      </c>
      <c r="N107" t="b">
        <f>IF(ROW()-ROW($N$1) &lt;= FILLME!$G$4, TRUE, FALSE)</f>
        <v>0</v>
      </c>
      <c r="O107" t="b">
        <f>IF(ROW()-ROW($O$1) &lt;= FILLME!$G$5, TRUE, FALSE)</f>
        <v>0</v>
      </c>
      <c r="P107" t="b">
        <f>IF(ROW()-ROW($P$1) &lt;= FILLME!$G$7, TRUE, FALSE)</f>
        <v>0</v>
      </c>
      <c r="Q107" t="b">
        <f>IF(ROW()-ROW($Q$1) &lt;= FILLME!$G$6, TRUE, FALSE)</f>
        <v>0</v>
      </c>
      <c r="R107" t="b">
        <f>IF(ROW()-ROW($R$1) &lt;= FILLME!$G$8, TRUE, FALSE)</f>
        <v>0</v>
      </c>
      <c r="S107" t="b">
        <f>IF(ROW()-ROW($S$1) &lt;= FILLME!$G$9, TRUE, FALSE)</f>
        <v>0</v>
      </c>
      <c r="T107" t="b">
        <f>IF(ROW()-ROW($T$1) &lt;= FILLME!$G$10, TRUE, FALSE)</f>
        <v>0</v>
      </c>
      <c r="U107" t="b">
        <f>IF(ROW()-ROW($U$1) &lt;= FILLME!$G$11, TRUE, FALSE)</f>
        <v>0</v>
      </c>
    </row>
    <row r="108" spans="1:21" x14ac:dyDescent="0.25">
      <c r="A108" s="7" t="str">
        <f>FILLME!$B$7</f>
        <v>ISCO</v>
      </c>
      <c r="B108" t="str">
        <f>IF(FILLME!$B$3 = "", "", FILLME!$B$3)</f>
        <v/>
      </c>
      <c r="C108" s="67" t="str">
        <f>IF(FILLME!$B$7="ISCO",FILLME!$E$4,IF(FILLME!$B$7="Grab",FILLME!$E$5))</f>
        <v>IS</v>
      </c>
      <c r="D108" t="str">
        <f>IF(FILLME!$B$4 = "", "", FILLME!$B$4)</f>
        <v>SSEMG</v>
      </c>
      <c r="E108" s="7" t="str">
        <f>TEXT(FILLME!$B$6,"yyyymmdd")</f>
        <v>20260223</v>
      </c>
      <c r="F108" s="8"/>
      <c r="G108" s="7">
        <f>IF(FILLME!$B$7="ISCO",FILLME!$B$6+FILLME!$B$11+(FILLME!$B$13*(H108-FILLME!$B$14)),FILLME!$B$6)</f>
        <v>46076.916666666664</v>
      </c>
      <c r="H108" s="8"/>
      <c r="I108" s="8"/>
      <c r="J108" s="2"/>
      <c r="K108" s="9" t="str">
        <f t="shared" si="3"/>
        <v>_00</v>
      </c>
      <c r="L108" s="10" t="str">
        <f t="shared" si="4"/>
        <v>SSEMG__20260223_00</v>
      </c>
      <c r="M108" s="10" t="str">
        <f t="shared" si="5"/>
        <v>SSEMG__IS_20260223_0000</v>
      </c>
      <c r="N108" t="b">
        <f>IF(ROW()-ROW($N$1) &lt;= FILLME!$G$4, TRUE, FALSE)</f>
        <v>0</v>
      </c>
      <c r="O108" t="b">
        <f>IF(ROW()-ROW($O$1) &lt;= FILLME!$G$5, TRUE, FALSE)</f>
        <v>0</v>
      </c>
      <c r="P108" t="b">
        <f>IF(ROW()-ROW($P$1) &lt;= FILLME!$G$7, TRUE, FALSE)</f>
        <v>0</v>
      </c>
      <c r="Q108" t="b">
        <f>IF(ROW()-ROW($Q$1) &lt;= FILLME!$G$6, TRUE, FALSE)</f>
        <v>0</v>
      </c>
      <c r="R108" t="b">
        <f>IF(ROW()-ROW($R$1) &lt;= FILLME!$G$8, TRUE, FALSE)</f>
        <v>0</v>
      </c>
      <c r="S108" t="b">
        <f>IF(ROW()-ROW($S$1) &lt;= FILLME!$G$9, TRUE, FALSE)</f>
        <v>0</v>
      </c>
      <c r="T108" t="b">
        <f>IF(ROW()-ROW($T$1) &lt;= FILLME!$G$10, TRUE, FALSE)</f>
        <v>0</v>
      </c>
      <c r="U108" t="b">
        <f>IF(ROW()-ROW($U$1) &lt;= FILLME!$G$11, TRUE, FALSE)</f>
        <v>0</v>
      </c>
    </row>
    <row r="109" spans="1:21" x14ac:dyDescent="0.25">
      <c r="A109" s="7" t="str">
        <f>FILLME!$B$7</f>
        <v>ISCO</v>
      </c>
      <c r="B109" t="str">
        <f>IF(FILLME!$B$3 = "", "", FILLME!$B$3)</f>
        <v/>
      </c>
      <c r="C109" s="67" t="str">
        <f>IF(FILLME!$B$7="ISCO",FILLME!$E$4,IF(FILLME!$B$7="Grab",FILLME!$E$5))</f>
        <v>IS</v>
      </c>
      <c r="D109" t="str">
        <f>IF(FILLME!$B$4 = "", "", FILLME!$B$4)</f>
        <v>SSEMG</v>
      </c>
      <c r="E109" s="7" t="str">
        <f>TEXT(FILLME!$B$6,"yyyymmdd")</f>
        <v>20260223</v>
      </c>
      <c r="F109" s="8"/>
      <c r="G109" s="7">
        <f>IF(FILLME!$B$7="ISCO",FILLME!$B$6+FILLME!$B$11+(FILLME!$B$13*(H109-FILLME!$B$14)),FILLME!$B$6)</f>
        <v>46076.916666666664</v>
      </c>
      <c r="H109" s="8"/>
      <c r="I109" s="8"/>
      <c r="J109" s="2"/>
      <c r="K109" s="9" t="str">
        <f t="shared" si="3"/>
        <v>_00</v>
      </c>
      <c r="L109" s="10" t="str">
        <f t="shared" si="4"/>
        <v>SSEMG__20260223_00</v>
      </c>
      <c r="M109" s="10" t="str">
        <f t="shared" si="5"/>
        <v>SSEMG__IS_20260223_0000</v>
      </c>
      <c r="N109" t="b">
        <f>IF(ROW()-ROW($N$1) &lt;= FILLME!$G$4, TRUE, FALSE)</f>
        <v>0</v>
      </c>
      <c r="O109" t="b">
        <f>IF(ROW()-ROW($O$1) &lt;= FILLME!$G$5, TRUE, FALSE)</f>
        <v>0</v>
      </c>
      <c r="P109" t="b">
        <f>IF(ROW()-ROW($P$1) &lt;= FILLME!$G$7, TRUE, FALSE)</f>
        <v>0</v>
      </c>
      <c r="Q109" t="b">
        <f>IF(ROW()-ROW($Q$1) &lt;= FILLME!$G$6, TRUE, FALSE)</f>
        <v>0</v>
      </c>
      <c r="R109" t="b">
        <f>IF(ROW()-ROW($R$1) &lt;= FILLME!$G$8, TRUE, FALSE)</f>
        <v>0</v>
      </c>
      <c r="S109" t="b">
        <f>IF(ROW()-ROW($S$1) &lt;= FILLME!$G$9, TRUE, FALSE)</f>
        <v>0</v>
      </c>
      <c r="T109" t="b">
        <f>IF(ROW()-ROW($T$1) &lt;= FILLME!$G$10, TRUE, FALSE)</f>
        <v>0</v>
      </c>
      <c r="U109" t="b">
        <f>IF(ROW()-ROW($U$1) &lt;= FILLME!$G$11, TRUE, FALSE)</f>
        <v>0</v>
      </c>
    </row>
    <row r="110" spans="1:21" x14ac:dyDescent="0.25">
      <c r="A110" s="7" t="str">
        <f>FILLME!$B$7</f>
        <v>ISCO</v>
      </c>
      <c r="B110" t="str">
        <f>IF(FILLME!$B$3 = "", "", FILLME!$B$3)</f>
        <v/>
      </c>
      <c r="C110" s="67" t="str">
        <f>IF(FILLME!$B$7="ISCO",FILLME!$E$4,IF(FILLME!$B$7="Grab",FILLME!$E$5))</f>
        <v>IS</v>
      </c>
      <c r="D110" t="str">
        <f>IF(FILLME!$B$4 = "", "", FILLME!$B$4)</f>
        <v>SSEMG</v>
      </c>
      <c r="E110" s="7" t="str">
        <f>TEXT(FILLME!$B$6,"yyyymmdd")</f>
        <v>20260223</v>
      </c>
      <c r="F110" s="8"/>
      <c r="G110" s="7">
        <f>IF(FILLME!$B$7="ISCO",FILLME!$B$6+FILLME!$B$11+(FILLME!$B$13*(H110-FILLME!$B$14)),FILLME!$B$6)</f>
        <v>46076.916666666664</v>
      </c>
      <c r="H110" s="8"/>
      <c r="I110" s="8"/>
      <c r="J110" s="2"/>
      <c r="K110" s="9" t="str">
        <f t="shared" si="3"/>
        <v>_00</v>
      </c>
      <c r="L110" s="10" t="str">
        <f t="shared" si="4"/>
        <v>SSEMG__20260223_00</v>
      </c>
      <c r="M110" s="10" t="str">
        <f t="shared" si="5"/>
        <v>SSEMG__IS_20260223_0000</v>
      </c>
      <c r="N110" t="b">
        <f>IF(ROW()-ROW($N$1) &lt;= FILLME!$G$4, TRUE, FALSE)</f>
        <v>0</v>
      </c>
      <c r="O110" t="b">
        <f>IF(ROW()-ROW($O$1) &lt;= FILLME!$G$5, TRUE, FALSE)</f>
        <v>0</v>
      </c>
      <c r="P110" t="b">
        <f>IF(ROW()-ROW($P$1) &lt;= FILLME!$G$7, TRUE, FALSE)</f>
        <v>0</v>
      </c>
      <c r="Q110" t="b">
        <f>IF(ROW()-ROW($Q$1) &lt;= FILLME!$G$6, TRUE, FALSE)</f>
        <v>0</v>
      </c>
      <c r="R110" t="b">
        <f>IF(ROW()-ROW($R$1) &lt;= FILLME!$G$8, TRUE, FALSE)</f>
        <v>0</v>
      </c>
      <c r="S110" t="b">
        <f>IF(ROW()-ROW($S$1) &lt;= FILLME!$G$9, TRUE, FALSE)</f>
        <v>0</v>
      </c>
      <c r="T110" t="b">
        <f>IF(ROW()-ROW($T$1) &lt;= FILLME!$G$10, TRUE, FALSE)</f>
        <v>0</v>
      </c>
      <c r="U110" t="b">
        <f>IF(ROW()-ROW($U$1) &lt;= FILLME!$G$11, TRUE, FALSE)</f>
        <v>0</v>
      </c>
    </row>
    <row r="111" spans="1:21" x14ac:dyDescent="0.25">
      <c r="A111" s="7" t="str">
        <f>FILLME!$B$7</f>
        <v>ISCO</v>
      </c>
      <c r="B111" t="str">
        <f>IF(FILLME!$B$3 = "", "", FILLME!$B$3)</f>
        <v/>
      </c>
      <c r="C111" s="67" t="str">
        <f>IF(FILLME!$B$7="ISCO",FILLME!$E$4,IF(FILLME!$B$7="Grab",FILLME!$E$5))</f>
        <v>IS</v>
      </c>
      <c r="D111" t="str">
        <f>IF(FILLME!$B$4 = "", "", FILLME!$B$4)</f>
        <v>SSEMG</v>
      </c>
      <c r="E111" s="7" t="str">
        <f>TEXT(FILLME!$B$6,"yyyymmdd")</f>
        <v>20260223</v>
      </c>
      <c r="F111" s="8"/>
      <c r="G111" s="7">
        <f>IF(FILLME!$B$7="ISCO",FILLME!$B$6+FILLME!$B$11+(FILLME!$B$13*(H111-FILLME!$B$14)),FILLME!$B$6)</f>
        <v>46076.916666666664</v>
      </c>
      <c r="H111" s="8"/>
      <c r="I111" s="8"/>
      <c r="J111" s="2"/>
      <c r="K111" s="9" t="str">
        <f t="shared" si="3"/>
        <v>_00</v>
      </c>
      <c r="L111" s="10" t="str">
        <f t="shared" si="4"/>
        <v>SSEMG__20260223_00</v>
      </c>
      <c r="M111" s="10" t="str">
        <f t="shared" si="5"/>
        <v>SSEMG__IS_20260223_0000</v>
      </c>
      <c r="N111" t="b">
        <f>IF(ROW()-ROW($N$1) &lt;= FILLME!$G$4, TRUE, FALSE)</f>
        <v>0</v>
      </c>
      <c r="O111" t="b">
        <f>IF(ROW()-ROW($O$1) &lt;= FILLME!$G$5, TRUE, FALSE)</f>
        <v>0</v>
      </c>
      <c r="P111" t="b">
        <f>IF(ROW()-ROW($P$1) &lt;= FILLME!$G$7, TRUE, FALSE)</f>
        <v>0</v>
      </c>
      <c r="Q111" t="b">
        <f>IF(ROW()-ROW($Q$1) &lt;= FILLME!$G$6, TRUE, FALSE)</f>
        <v>0</v>
      </c>
      <c r="R111" t="b">
        <f>IF(ROW()-ROW($R$1) &lt;= FILLME!$G$8, TRUE, FALSE)</f>
        <v>0</v>
      </c>
      <c r="S111" t="b">
        <f>IF(ROW()-ROW($S$1) &lt;= FILLME!$G$9, TRUE, FALSE)</f>
        <v>0</v>
      </c>
      <c r="T111" t="b">
        <f>IF(ROW()-ROW($T$1) &lt;= FILLME!$G$10, TRUE, FALSE)</f>
        <v>0</v>
      </c>
      <c r="U111" t="b">
        <f>IF(ROW()-ROW($U$1) &lt;= FILLME!$G$11, TRUE, FALSE)</f>
        <v>0</v>
      </c>
    </row>
    <row r="112" spans="1:21" x14ac:dyDescent="0.25">
      <c r="A112" s="7" t="str">
        <f>FILLME!$B$7</f>
        <v>ISCO</v>
      </c>
      <c r="B112" t="str">
        <f>IF(FILLME!$B$3 = "", "", FILLME!$B$3)</f>
        <v/>
      </c>
      <c r="C112" s="67" t="str">
        <f>IF(FILLME!$B$7="ISCO",FILLME!$E$4,IF(FILLME!$B$7="Grab",FILLME!$E$5))</f>
        <v>IS</v>
      </c>
      <c r="D112" t="str">
        <f>IF(FILLME!$B$4 = "", "", FILLME!$B$4)</f>
        <v>SSEMG</v>
      </c>
      <c r="E112" s="7" t="str">
        <f>TEXT(FILLME!$B$6,"yyyymmdd")</f>
        <v>20260223</v>
      </c>
      <c r="F112" s="8"/>
      <c r="G112" s="7">
        <f>IF(FILLME!$B$7="ISCO",FILLME!$B$6+FILLME!$B$11+(FILLME!$B$13*(H112-FILLME!$B$14)),FILLME!$B$6)</f>
        <v>46076.916666666664</v>
      </c>
      <c r="H112" s="8"/>
      <c r="I112" s="8"/>
      <c r="J112" s="2"/>
      <c r="K112" s="9" t="str">
        <f t="shared" si="3"/>
        <v>_00</v>
      </c>
      <c r="L112" s="10" t="str">
        <f t="shared" si="4"/>
        <v>SSEMG__20260223_00</v>
      </c>
      <c r="M112" s="10" t="str">
        <f t="shared" si="5"/>
        <v>SSEMG__IS_20260223_0000</v>
      </c>
      <c r="N112" t="b">
        <f>IF(ROW()-ROW($N$1) &lt;= FILLME!$G$4, TRUE, FALSE)</f>
        <v>0</v>
      </c>
      <c r="O112" t="b">
        <f>IF(ROW()-ROW($O$1) &lt;= FILLME!$G$5, TRUE, FALSE)</f>
        <v>0</v>
      </c>
      <c r="P112" t="b">
        <f>IF(ROW()-ROW($P$1) &lt;= FILLME!$G$7, TRUE, FALSE)</f>
        <v>0</v>
      </c>
      <c r="Q112" t="b">
        <f>IF(ROW()-ROW($Q$1) &lt;= FILLME!$G$6, TRUE, FALSE)</f>
        <v>0</v>
      </c>
      <c r="R112" t="b">
        <f>IF(ROW()-ROW($R$1) &lt;= FILLME!$G$8, TRUE, FALSE)</f>
        <v>0</v>
      </c>
      <c r="S112" t="b">
        <f>IF(ROW()-ROW($S$1) &lt;= FILLME!$G$9, TRUE, FALSE)</f>
        <v>0</v>
      </c>
      <c r="T112" t="b">
        <f>IF(ROW()-ROW($T$1) &lt;= FILLME!$G$10, TRUE, FALSE)</f>
        <v>0</v>
      </c>
      <c r="U112" t="b">
        <f>IF(ROW()-ROW($U$1) &lt;= FILLME!$G$11, TRUE, FALSE)</f>
        <v>0</v>
      </c>
    </row>
    <row r="113" spans="1:21" x14ac:dyDescent="0.25">
      <c r="A113" s="7" t="str">
        <f>FILLME!$B$7</f>
        <v>ISCO</v>
      </c>
      <c r="B113" t="str">
        <f>IF(FILLME!$B$3 = "", "", FILLME!$B$3)</f>
        <v/>
      </c>
      <c r="C113" s="67" t="str">
        <f>IF(FILLME!$B$7="ISCO",FILLME!$E$4,IF(FILLME!$B$7="Grab",FILLME!$E$5))</f>
        <v>IS</v>
      </c>
      <c r="D113" t="str">
        <f>IF(FILLME!$B$4 = "", "", FILLME!$B$4)</f>
        <v>SSEMG</v>
      </c>
      <c r="E113" s="7" t="str">
        <f>TEXT(FILLME!$B$6,"yyyymmdd")</f>
        <v>20260223</v>
      </c>
      <c r="F113" s="8"/>
      <c r="G113" s="7">
        <f>IF(FILLME!$B$7="ISCO",FILLME!$B$6+FILLME!$B$11+(FILLME!$B$13*(H113-FILLME!$B$14)),FILLME!$B$6)</f>
        <v>46076.916666666664</v>
      </c>
      <c r="H113" s="8"/>
      <c r="I113" s="8"/>
      <c r="J113" s="2"/>
      <c r="K113" s="9" t="str">
        <f t="shared" si="3"/>
        <v>_00</v>
      </c>
      <c r="L113" s="10" t="str">
        <f t="shared" si="4"/>
        <v>SSEMG__20260223_00</v>
      </c>
      <c r="M113" s="10" t="str">
        <f t="shared" si="5"/>
        <v>SSEMG__IS_20260223_0000</v>
      </c>
      <c r="N113" t="b">
        <f>IF(ROW()-ROW($N$1) &lt;= FILLME!$G$4, TRUE, FALSE)</f>
        <v>0</v>
      </c>
      <c r="O113" t="b">
        <f>IF(ROW()-ROW($O$1) &lt;= FILLME!$G$5, TRUE, FALSE)</f>
        <v>0</v>
      </c>
      <c r="P113" t="b">
        <f>IF(ROW()-ROW($P$1) &lt;= FILLME!$G$7, TRUE, FALSE)</f>
        <v>0</v>
      </c>
      <c r="Q113" t="b">
        <f>IF(ROW()-ROW($Q$1) &lt;= FILLME!$G$6, TRUE, FALSE)</f>
        <v>0</v>
      </c>
      <c r="R113" t="b">
        <f>IF(ROW()-ROW($R$1) &lt;= FILLME!$G$8, TRUE, FALSE)</f>
        <v>0</v>
      </c>
      <c r="S113" t="b">
        <f>IF(ROW()-ROW($S$1) &lt;= FILLME!$G$9, TRUE, FALSE)</f>
        <v>0</v>
      </c>
      <c r="T113" t="b">
        <f>IF(ROW()-ROW($T$1) &lt;= FILLME!$G$10, TRUE, FALSE)</f>
        <v>0</v>
      </c>
      <c r="U113" t="b">
        <f>IF(ROW()-ROW($U$1) &lt;= FILLME!$G$11, TRUE, FALSE)</f>
        <v>0</v>
      </c>
    </row>
    <row r="114" spans="1:21" x14ac:dyDescent="0.25">
      <c r="A114" s="7" t="str">
        <f>FILLME!$B$7</f>
        <v>ISCO</v>
      </c>
      <c r="B114" t="str">
        <f>IF(FILLME!$B$3 = "", "", FILLME!$B$3)</f>
        <v/>
      </c>
      <c r="C114" s="67" t="str">
        <f>IF(FILLME!$B$7="ISCO",FILLME!$E$4,IF(FILLME!$B$7="Grab",FILLME!$E$5))</f>
        <v>IS</v>
      </c>
      <c r="D114" t="str">
        <f>IF(FILLME!$B$4 = "", "", FILLME!$B$4)</f>
        <v>SSEMG</v>
      </c>
      <c r="E114" s="7" t="str">
        <f>TEXT(FILLME!$B$6,"yyyymmdd")</f>
        <v>20260223</v>
      </c>
      <c r="F114" s="8"/>
      <c r="G114" s="7">
        <f>IF(FILLME!$B$7="ISCO",FILLME!$B$6+FILLME!$B$11+(FILLME!$B$13*(H114-FILLME!$B$14)),FILLME!$B$6)</f>
        <v>46076.916666666664</v>
      </c>
      <c r="H114" s="8"/>
      <c r="I114" s="8"/>
      <c r="J114" s="2"/>
      <c r="K114" s="9" t="str">
        <f t="shared" si="3"/>
        <v>_00</v>
      </c>
      <c r="L114" s="10" t="str">
        <f t="shared" si="4"/>
        <v>SSEMG__20260223_00</v>
      </c>
      <c r="M114" s="10" t="str">
        <f t="shared" si="5"/>
        <v>SSEMG__IS_20260223_0000</v>
      </c>
      <c r="N114" t="b">
        <f>IF(ROW()-ROW($N$1) &lt;= FILLME!$G$4, TRUE, FALSE)</f>
        <v>0</v>
      </c>
      <c r="O114" t="b">
        <f>IF(ROW()-ROW($O$1) &lt;= FILLME!$G$5, TRUE, FALSE)</f>
        <v>0</v>
      </c>
      <c r="P114" t="b">
        <f>IF(ROW()-ROW($P$1) &lt;= FILLME!$G$7, TRUE, FALSE)</f>
        <v>0</v>
      </c>
      <c r="Q114" t="b">
        <f>IF(ROW()-ROW($Q$1) &lt;= FILLME!$G$6, TRUE, FALSE)</f>
        <v>0</v>
      </c>
      <c r="R114" t="b">
        <f>IF(ROW()-ROW($R$1) &lt;= FILLME!$G$8, TRUE, FALSE)</f>
        <v>0</v>
      </c>
      <c r="S114" t="b">
        <f>IF(ROW()-ROW($S$1) &lt;= FILLME!$G$9, TRUE, FALSE)</f>
        <v>0</v>
      </c>
      <c r="T114" t="b">
        <f>IF(ROW()-ROW($T$1) &lt;= FILLME!$G$10, TRUE, FALSE)</f>
        <v>0</v>
      </c>
      <c r="U114" t="b">
        <f>IF(ROW()-ROW($U$1) &lt;= FILLME!$G$11, TRUE, FALSE)</f>
        <v>0</v>
      </c>
    </row>
    <row r="115" spans="1:21" x14ac:dyDescent="0.25">
      <c r="A115" s="7" t="str">
        <f>FILLME!$B$7</f>
        <v>ISCO</v>
      </c>
      <c r="B115" t="str">
        <f>IF(FILLME!$B$3 = "", "", FILLME!$B$3)</f>
        <v/>
      </c>
      <c r="C115" s="67" t="str">
        <f>IF(FILLME!$B$7="ISCO",FILLME!$E$4,IF(FILLME!$B$7="Grab",FILLME!$E$5))</f>
        <v>IS</v>
      </c>
      <c r="D115" t="str">
        <f>IF(FILLME!$B$4 = "", "", FILLME!$B$4)</f>
        <v>SSEMG</v>
      </c>
      <c r="E115" s="7" t="str">
        <f>TEXT(FILLME!$B$6,"yyyymmdd")</f>
        <v>20260223</v>
      </c>
      <c r="F115" s="8"/>
      <c r="G115" s="7">
        <f>IF(FILLME!$B$7="ISCO",FILLME!$B$6+FILLME!$B$11+(FILLME!$B$13*(H115-FILLME!$B$14)),FILLME!$B$6)</f>
        <v>46076.916666666664</v>
      </c>
      <c r="H115" s="8"/>
      <c r="I115" s="8"/>
      <c r="J115" s="2"/>
      <c r="K115" s="9" t="str">
        <f t="shared" si="3"/>
        <v>_00</v>
      </c>
      <c r="L115" s="10" t="str">
        <f t="shared" si="4"/>
        <v>SSEMG__20260223_00</v>
      </c>
      <c r="M115" s="10" t="str">
        <f t="shared" si="5"/>
        <v>SSEMG__IS_20260223_0000</v>
      </c>
      <c r="N115" t="b">
        <f>IF(ROW()-ROW($N$1) &lt;= FILLME!$G$4, TRUE, FALSE)</f>
        <v>0</v>
      </c>
      <c r="O115" t="b">
        <f>IF(ROW()-ROW($O$1) &lt;= FILLME!$G$5, TRUE, FALSE)</f>
        <v>0</v>
      </c>
      <c r="P115" t="b">
        <f>IF(ROW()-ROW($P$1) &lt;= FILLME!$G$7, TRUE, FALSE)</f>
        <v>0</v>
      </c>
      <c r="Q115" t="b">
        <f>IF(ROW()-ROW($Q$1) &lt;= FILLME!$G$6, TRUE, FALSE)</f>
        <v>0</v>
      </c>
      <c r="R115" t="b">
        <f>IF(ROW()-ROW($R$1) &lt;= FILLME!$G$8, TRUE, FALSE)</f>
        <v>0</v>
      </c>
      <c r="S115" t="b">
        <f>IF(ROW()-ROW($S$1) &lt;= FILLME!$G$9, TRUE, FALSE)</f>
        <v>0</v>
      </c>
      <c r="T115" t="b">
        <f>IF(ROW()-ROW($T$1) &lt;= FILLME!$G$10, TRUE, FALSE)</f>
        <v>0</v>
      </c>
      <c r="U115" t="b">
        <f>IF(ROW()-ROW($U$1) &lt;= FILLME!$G$11, TRUE, FALSE)</f>
        <v>0</v>
      </c>
    </row>
    <row r="116" spans="1:21" x14ac:dyDescent="0.25">
      <c r="A116" s="7" t="str">
        <f>FILLME!$B$7</f>
        <v>ISCO</v>
      </c>
      <c r="B116" t="str">
        <f>IF(FILLME!$B$3 = "", "", FILLME!$B$3)</f>
        <v/>
      </c>
      <c r="C116" s="67" t="str">
        <f>IF(FILLME!$B$7="ISCO",FILLME!$E$4,IF(FILLME!$B$7="Grab",FILLME!$E$5))</f>
        <v>IS</v>
      </c>
      <c r="D116" t="str">
        <f>IF(FILLME!$B$4 = "", "", FILLME!$B$4)</f>
        <v>SSEMG</v>
      </c>
      <c r="E116" s="7" t="str">
        <f>TEXT(FILLME!$B$6,"yyyymmdd")</f>
        <v>20260223</v>
      </c>
      <c r="F116" s="8"/>
      <c r="G116" s="7">
        <f>IF(FILLME!$B$7="ISCO",FILLME!$B$6+FILLME!$B$11+(FILLME!$B$13*(H116-FILLME!$B$14)),FILLME!$B$6)</f>
        <v>46076.916666666664</v>
      </c>
      <c r="H116" s="8"/>
      <c r="I116" s="8"/>
      <c r="J116" s="2"/>
      <c r="K116" s="9" t="str">
        <f t="shared" si="3"/>
        <v>_00</v>
      </c>
      <c r="L116" s="10" t="str">
        <f t="shared" si="4"/>
        <v>SSEMG__20260223_00</v>
      </c>
      <c r="M116" s="10" t="str">
        <f t="shared" si="5"/>
        <v>SSEMG__IS_20260223_0000</v>
      </c>
      <c r="N116" t="b">
        <f>IF(ROW()-ROW($N$1) &lt;= FILLME!$G$4, TRUE, FALSE)</f>
        <v>0</v>
      </c>
      <c r="O116" t="b">
        <f>IF(ROW()-ROW($O$1) &lt;= FILLME!$G$5, TRUE, FALSE)</f>
        <v>0</v>
      </c>
      <c r="P116" t="b">
        <f>IF(ROW()-ROW($P$1) &lt;= FILLME!$G$7, TRUE, FALSE)</f>
        <v>0</v>
      </c>
      <c r="Q116" t="b">
        <f>IF(ROW()-ROW($Q$1) &lt;= FILLME!$G$6, TRUE, FALSE)</f>
        <v>0</v>
      </c>
      <c r="R116" t="b">
        <f>IF(ROW()-ROW($R$1) &lt;= FILLME!$G$8, TRUE, FALSE)</f>
        <v>0</v>
      </c>
      <c r="S116" t="b">
        <f>IF(ROW()-ROW($S$1) &lt;= FILLME!$G$9, TRUE, FALSE)</f>
        <v>0</v>
      </c>
      <c r="T116" t="b">
        <f>IF(ROW()-ROW($T$1) &lt;= FILLME!$G$10, TRUE, FALSE)</f>
        <v>0</v>
      </c>
      <c r="U116" t="b">
        <f>IF(ROW()-ROW($U$1) &lt;= FILLME!$G$11, TRUE, FALSE)</f>
        <v>0</v>
      </c>
    </row>
    <row r="117" spans="1:21" x14ac:dyDescent="0.25">
      <c r="A117" s="7" t="str">
        <f>FILLME!$B$7</f>
        <v>ISCO</v>
      </c>
      <c r="B117" t="str">
        <f>IF(FILLME!$B$3 = "", "", FILLME!$B$3)</f>
        <v/>
      </c>
      <c r="C117" s="67" t="str">
        <f>IF(FILLME!$B$7="ISCO",FILLME!$E$4,IF(FILLME!$B$7="Grab",FILLME!$E$5))</f>
        <v>IS</v>
      </c>
      <c r="D117" t="str">
        <f>IF(FILLME!$B$4 = "", "", FILLME!$B$4)</f>
        <v>SSEMG</v>
      </c>
      <c r="E117" s="7" t="str">
        <f>TEXT(FILLME!$B$6,"yyyymmdd")</f>
        <v>20260223</v>
      </c>
      <c r="F117" s="8"/>
      <c r="G117" s="7">
        <f>IF(FILLME!$B$7="ISCO",FILLME!$B$6+FILLME!$B$11+(FILLME!$B$13*(H117-FILLME!$B$14)),FILLME!$B$6)</f>
        <v>46076.916666666664</v>
      </c>
      <c r="H117" s="8"/>
      <c r="I117" s="8"/>
      <c r="J117" s="2"/>
      <c r="K117" s="9" t="str">
        <f t="shared" si="3"/>
        <v>_00</v>
      </c>
      <c r="L117" s="10" t="str">
        <f t="shared" si="4"/>
        <v>SSEMG__20260223_00</v>
      </c>
      <c r="M117" s="10" t="str">
        <f t="shared" si="5"/>
        <v>SSEMG__IS_20260223_0000</v>
      </c>
      <c r="N117" t="b">
        <f>IF(ROW()-ROW($N$1) &lt;= FILLME!$G$4, TRUE, FALSE)</f>
        <v>0</v>
      </c>
      <c r="O117" t="b">
        <f>IF(ROW()-ROW($O$1) &lt;= FILLME!$G$5, TRUE, FALSE)</f>
        <v>0</v>
      </c>
      <c r="P117" t="b">
        <f>IF(ROW()-ROW($P$1) &lt;= FILLME!$G$7, TRUE, FALSE)</f>
        <v>0</v>
      </c>
      <c r="Q117" t="b">
        <f>IF(ROW()-ROW($Q$1) &lt;= FILLME!$G$6, TRUE, FALSE)</f>
        <v>0</v>
      </c>
      <c r="R117" t="b">
        <f>IF(ROW()-ROW($R$1) &lt;= FILLME!$G$8, TRUE, FALSE)</f>
        <v>0</v>
      </c>
      <c r="S117" t="b">
        <f>IF(ROW()-ROW($S$1) &lt;= FILLME!$G$9, TRUE, FALSE)</f>
        <v>0</v>
      </c>
      <c r="T117" t="b">
        <f>IF(ROW()-ROW($T$1) &lt;= FILLME!$G$10, TRUE, FALSE)</f>
        <v>0</v>
      </c>
      <c r="U117" t="b">
        <f>IF(ROW()-ROW($U$1) &lt;= FILLME!$G$11, TRUE, FALSE)</f>
        <v>0</v>
      </c>
    </row>
    <row r="118" spans="1:21" x14ac:dyDescent="0.25">
      <c r="A118" s="7" t="str">
        <f>FILLME!$B$7</f>
        <v>ISCO</v>
      </c>
      <c r="B118" t="str">
        <f>IF(FILLME!$B$3 = "", "", FILLME!$B$3)</f>
        <v/>
      </c>
      <c r="C118" s="67" t="str">
        <f>IF(FILLME!$B$7="ISCO",FILLME!$E$4,IF(FILLME!$B$7="Grab",FILLME!$E$5))</f>
        <v>IS</v>
      </c>
      <c r="D118" t="str">
        <f>IF(FILLME!$B$4 = "", "", FILLME!$B$4)</f>
        <v>SSEMG</v>
      </c>
      <c r="E118" s="7" t="str">
        <f>TEXT(FILLME!$B$6,"yyyymmdd")</f>
        <v>20260223</v>
      </c>
      <c r="F118" s="8"/>
      <c r="G118" s="7">
        <f>IF(FILLME!$B$7="ISCO",FILLME!$B$6+FILLME!$B$11+(FILLME!$B$13*(H118-FILLME!$B$14)),FILLME!$B$6)</f>
        <v>46076.916666666664</v>
      </c>
      <c r="H118" s="8"/>
      <c r="I118" s="8"/>
      <c r="J118" s="2"/>
      <c r="K118" s="9" t="str">
        <f t="shared" si="3"/>
        <v>_00</v>
      </c>
      <c r="L118" s="10" t="str">
        <f t="shared" si="4"/>
        <v>SSEMG__20260223_00</v>
      </c>
      <c r="M118" s="10" t="str">
        <f t="shared" si="5"/>
        <v>SSEMG__IS_20260223_0000</v>
      </c>
      <c r="N118" t="b">
        <f>IF(ROW()-ROW($N$1) &lt;= FILLME!$G$4, TRUE, FALSE)</f>
        <v>0</v>
      </c>
      <c r="O118" t="b">
        <f>IF(ROW()-ROW($O$1) &lt;= FILLME!$G$5, TRUE, FALSE)</f>
        <v>0</v>
      </c>
      <c r="P118" t="b">
        <f>IF(ROW()-ROW($P$1) &lt;= FILLME!$G$7, TRUE, FALSE)</f>
        <v>0</v>
      </c>
      <c r="Q118" t="b">
        <f>IF(ROW()-ROW($Q$1) &lt;= FILLME!$G$6, TRUE, FALSE)</f>
        <v>0</v>
      </c>
      <c r="R118" t="b">
        <f>IF(ROW()-ROW($R$1) &lt;= FILLME!$G$8, TRUE, FALSE)</f>
        <v>0</v>
      </c>
      <c r="S118" t="b">
        <f>IF(ROW()-ROW($S$1) &lt;= FILLME!$G$9, TRUE, FALSE)</f>
        <v>0</v>
      </c>
      <c r="T118" t="b">
        <f>IF(ROW()-ROW($T$1) &lt;= FILLME!$G$10, TRUE, FALSE)</f>
        <v>0</v>
      </c>
      <c r="U118" t="b">
        <f>IF(ROW()-ROW($U$1) &lt;= FILLME!$G$11, TRUE, FALSE)</f>
        <v>0</v>
      </c>
    </row>
    <row r="119" spans="1:21" x14ac:dyDescent="0.25">
      <c r="A119" s="7" t="str">
        <f>FILLME!$B$7</f>
        <v>ISCO</v>
      </c>
      <c r="B119" t="str">
        <f>IF(FILLME!$B$3 = "", "", FILLME!$B$3)</f>
        <v/>
      </c>
      <c r="C119" s="67" t="str">
        <f>IF(FILLME!$B$7="ISCO",FILLME!$E$4,IF(FILLME!$B$7="Grab",FILLME!$E$5))</f>
        <v>IS</v>
      </c>
      <c r="D119" t="str">
        <f>IF(FILLME!$B$4 = "", "", FILLME!$B$4)</f>
        <v>SSEMG</v>
      </c>
      <c r="E119" s="7" t="str">
        <f>TEXT(FILLME!$B$6,"yyyymmdd")</f>
        <v>20260223</v>
      </c>
      <c r="F119" s="8"/>
      <c r="G119" s="7">
        <f>IF(FILLME!$B$7="ISCO",FILLME!$B$6+FILLME!$B$11+(FILLME!$B$13*(H119-FILLME!$B$14)),FILLME!$B$6)</f>
        <v>46076.916666666664</v>
      </c>
      <c r="H119" s="8"/>
      <c r="I119" s="8"/>
      <c r="J119" s="2"/>
      <c r="K119" s="9" t="str">
        <f t="shared" si="3"/>
        <v>_00</v>
      </c>
      <c r="L119" s="10" t="str">
        <f t="shared" si="4"/>
        <v>SSEMG__20260223_00</v>
      </c>
      <c r="M119" s="10" t="str">
        <f t="shared" si="5"/>
        <v>SSEMG__IS_20260223_0000</v>
      </c>
      <c r="N119" t="b">
        <f>IF(ROW()-ROW($N$1) &lt;= FILLME!$G$4, TRUE, FALSE)</f>
        <v>0</v>
      </c>
      <c r="O119" t="b">
        <f>IF(ROW()-ROW($O$1) &lt;= FILLME!$G$5, TRUE, FALSE)</f>
        <v>0</v>
      </c>
      <c r="P119" t="b">
        <f>IF(ROW()-ROW($P$1) &lt;= FILLME!$G$7, TRUE, FALSE)</f>
        <v>0</v>
      </c>
      <c r="Q119" t="b">
        <f>IF(ROW()-ROW($Q$1) &lt;= FILLME!$G$6, TRUE, FALSE)</f>
        <v>0</v>
      </c>
      <c r="R119" t="b">
        <f>IF(ROW()-ROW($R$1) &lt;= FILLME!$G$8, TRUE, FALSE)</f>
        <v>0</v>
      </c>
      <c r="S119" t="b">
        <f>IF(ROW()-ROW($S$1) &lt;= FILLME!$G$9, TRUE, FALSE)</f>
        <v>0</v>
      </c>
      <c r="T119" t="b">
        <f>IF(ROW()-ROW($T$1) &lt;= FILLME!$G$10, TRUE, FALSE)</f>
        <v>0</v>
      </c>
      <c r="U119" t="b">
        <f>IF(ROW()-ROW($U$1) &lt;= FILLME!$G$11, TRUE, FALSE)</f>
        <v>0</v>
      </c>
    </row>
    <row r="120" spans="1:21" x14ac:dyDescent="0.25">
      <c r="A120" s="7" t="str">
        <f>FILLME!$B$7</f>
        <v>ISCO</v>
      </c>
      <c r="B120" t="str">
        <f>IF(FILLME!$B$3 = "", "", FILLME!$B$3)</f>
        <v/>
      </c>
      <c r="C120" s="67" t="str">
        <f>IF(FILLME!$B$7="ISCO",FILLME!$E$4,IF(FILLME!$B$7="Grab",FILLME!$E$5))</f>
        <v>IS</v>
      </c>
      <c r="D120" t="str">
        <f>IF(FILLME!$B$4 = "", "", FILLME!$B$4)</f>
        <v>SSEMG</v>
      </c>
      <c r="E120" s="7" t="str">
        <f>TEXT(FILLME!$B$6,"yyyymmdd")</f>
        <v>20260223</v>
      </c>
      <c r="F120" s="8"/>
      <c r="G120" s="7">
        <f>IF(FILLME!$B$7="ISCO",FILLME!$B$6+FILLME!$B$11+(FILLME!$B$13*(H120-FILLME!$B$14)),FILLME!$B$6)</f>
        <v>46076.916666666664</v>
      </c>
      <c r="H120" s="8"/>
      <c r="I120" s="8"/>
      <c r="J120" s="2"/>
      <c r="K120" s="9" t="str">
        <f t="shared" si="3"/>
        <v>_00</v>
      </c>
      <c r="L120" s="10" t="str">
        <f t="shared" si="4"/>
        <v>SSEMG__20260223_00</v>
      </c>
      <c r="M120" s="10" t="str">
        <f t="shared" si="5"/>
        <v>SSEMG__IS_20260223_0000</v>
      </c>
      <c r="N120" t="b">
        <f>IF(ROW()-ROW($N$1) &lt;= FILLME!$G$4, TRUE, FALSE)</f>
        <v>0</v>
      </c>
      <c r="O120" t="b">
        <f>IF(ROW()-ROW($O$1) &lt;= FILLME!$G$5, TRUE, FALSE)</f>
        <v>0</v>
      </c>
      <c r="P120" t="b">
        <f>IF(ROW()-ROW($P$1) &lt;= FILLME!$G$7, TRUE, FALSE)</f>
        <v>0</v>
      </c>
      <c r="Q120" t="b">
        <f>IF(ROW()-ROW($Q$1) &lt;= FILLME!$G$6, TRUE, FALSE)</f>
        <v>0</v>
      </c>
      <c r="R120" t="b">
        <f>IF(ROW()-ROW($R$1) &lt;= FILLME!$G$8, TRUE, FALSE)</f>
        <v>0</v>
      </c>
      <c r="S120" t="b">
        <f>IF(ROW()-ROW($S$1) &lt;= FILLME!$G$9, TRUE, FALSE)</f>
        <v>0</v>
      </c>
      <c r="T120" t="b">
        <f>IF(ROW()-ROW($T$1) &lt;= FILLME!$G$10, TRUE, FALSE)</f>
        <v>0</v>
      </c>
      <c r="U120" t="b">
        <f>IF(ROW()-ROW($U$1) &lt;= FILLME!$G$11, TRUE, FALSE)</f>
        <v>0</v>
      </c>
    </row>
    <row r="121" spans="1:21" x14ac:dyDescent="0.25">
      <c r="A121" s="7" t="str">
        <f>FILLME!$B$7</f>
        <v>ISCO</v>
      </c>
      <c r="B121" t="str">
        <f>IF(FILLME!$B$3 = "", "", FILLME!$B$3)</f>
        <v/>
      </c>
      <c r="C121" s="67" t="str">
        <f>IF(FILLME!$B$7="ISCO",FILLME!$E$4,IF(FILLME!$B$7="Grab",FILLME!$E$5))</f>
        <v>IS</v>
      </c>
      <c r="D121" t="str">
        <f>IF(FILLME!$B$4 = "", "", FILLME!$B$4)</f>
        <v>SSEMG</v>
      </c>
      <c r="E121" s="7" t="str">
        <f>TEXT(FILLME!$B$6,"yyyymmdd")</f>
        <v>20260223</v>
      </c>
      <c r="F121" s="8"/>
      <c r="G121" s="7">
        <f>IF(FILLME!$B$7="ISCO",FILLME!$B$6+FILLME!$B$11+(FILLME!$B$13*(H121-FILLME!$B$14)),FILLME!$B$6)</f>
        <v>46076.916666666664</v>
      </c>
      <c r="H121" s="8"/>
      <c r="I121" s="8"/>
      <c r="J121" s="2"/>
      <c r="K121" s="9" t="str">
        <f t="shared" si="3"/>
        <v>_00</v>
      </c>
      <c r="L121" s="10" t="str">
        <f t="shared" si="4"/>
        <v>SSEMG__20260223_00</v>
      </c>
      <c r="M121" s="10" t="str">
        <f t="shared" si="5"/>
        <v>SSEMG__IS_20260223_0000</v>
      </c>
      <c r="N121" t="b">
        <f>IF(ROW()-ROW($N$1) &lt;= FILLME!$G$4, TRUE, FALSE)</f>
        <v>0</v>
      </c>
      <c r="O121" t="b">
        <f>IF(ROW()-ROW($O$1) &lt;= FILLME!$G$5, TRUE, FALSE)</f>
        <v>0</v>
      </c>
      <c r="P121" t="b">
        <f>IF(ROW()-ROW($P$1) &lt;= FILLME!$G$7, TRUE, FALSE)</f>
        <v>0</v>
      </c>
      <c r="Q121" t="b">
        <f>IF(ROW()-ROW($Q$1) &lt;= FILLME!$G$6, TRUE, FALSE)</f>
        <v>0</v>
      </c>
      <c r="R121" t="b">
        <f>IF(ROW()-ROW($R$1) &lt;= FILLME!$G$8, TRUE, FALSE)</f>
        <v>0</v>
      </c>
      <c r="S121" t="b">
        <f>IF(ROW()-ROW($S$1) &lt;= FILLME!$G$9, TRUE, FALSE)</f>
        <v>0</v>
      </c>
      <c r="T121" t="b">
        <f>IF(ROW()-ROW($T$1) &lt;= FILLME!$G$10, TRUE, FALSE)</f>
        <v>0</v>
      </c>
      <c r="U121" t="b">
        <f>IF(ROW()-ROW($U$1) &lt;= FILLME!$G$11, TRUE, FALSE)</f>
        <v>0</v>
      </c>
    </row>
    <row r="122" spans="1:21" x14ac:dyDescent="0.25">
      <c r="A122" s="7" t="str">
        <f>FILLME!$B$7</f>
        <v>ISCO</v>
      </c>
      <c r="B122" t="str">
        <f>IF(FILLME!$B$3 = "", "", FILLME!$B$3)</f>
        <v/>
      </c>
      <c r="C122" s="67" t="str">
        <f>IF(FILLME!$B$7="ISCO",FILLME!$E$4,IF(FILLME!$B$7="Grab",FILLME!$E$5))</f>
        <v>IS</v>
      </c>
      <c r="D122" t="str">
        <f>IF(FILLME!$B$4 = "", "", FILLME!$B$4)</f>
        <v>SSEMG</v>
      </c>
      <c r="E122" s="7" t="str">
        <f>TEXT(FILLME!$B$6,"yyyymmdd")</f>
        <v>20260223</v>
      </c>
      <c r="F122" s="8"/>
      <c r="G122" s="7">
        <f>IF(FILLME!$B$7="ISCO",FILLME!$B$6+FILLME!$B$11+(FILLME!$B$13*(H122-FILLME!$B$14)),FILLME!$B$6)</f>
        <v>46076.916666666664</v>
      </c>
      <c r="H122" s="8"/>
      <c r="I122" s="8"/>
      <c r="J122" s="2"/>
      <c r="K122" s="9" t="str">
        <f t="shared" si="3"/>
        <v>_00</v>
      </c>
      <c r="L122" s="10" t="str">
        <f t="shared" si="4"/>
        <v>SSEMG__20260223_00</v>
      </c>
      <c r="M122" s="10" t="str">
        <f t="shared" si="5"/>
        <v>SSEMG__IS_20260223_0000</v>
      </c>
      <c r="N122" t="b">
        <f>IF(ROW()-ROW($N$1) &lt;= FILLME!$G$4, TRUE, FALSE)</f>
        <v>0</v>
      </c>
      <c r="O122" t="b">
        <f>IF(ROW()-ROW($O$1) &lt;= FILLME!$G$5, TRUE, FALSE)</f>
        <v>0</v>
      </c>
      <c r="P122" t="b">
        <f>IF(ROW()-ROW($P$1) &lt;= FILLME!$G$7, TRUE, FALSE)</f>
        <v>0</v>
      </c>
      <c r="Q122" t="b">
        <f>IF(ROW()-ROW($Q$1) &lt;= FILLME!$G$6, TRUE, FALSE)</f>
        <v>0</v>
      </c>
      <c r="R122" t="b">
        <f>IF(ROW()-ROW($R$1) &lt;= FILLME!$G$8, TRUE, FALSE)</f>
        <v>0</v>
      </c>
      <c r="S122" t="b">
        <f>IF(ROW()-ROW($S$1) &lt;= FILLME!$G$9, TRUE, FALSE)</f>
        <v>0</v>
      </c>
      <c r="T122" t="b">
        <f>IF(ROW()-ROW($T$1) &lt;= FILLME!$G$10, TRUE, FALSE)</f>
        <v>0</v>
      </c>
      <c r="U122" t="b">
        <f>IF(ROW()-ROW($U$1) &lt;= FILLME!$G$11, TRUE, FALSE)</f>
        <v>0</v>
      </c>
    </row>
    <row r="123" spans="1:21" x14ac:dyDescent="0.25">
      <c r="A123" s="7" t="str">
        <f>FILLME!$B$7</f>
        <v>ISCO</v>
      </c>
      <c r="B123" t="str">
        <f>IF(FILLME!$B$3 = "", "", FILLME!$B$3)</f>
        <v/>
      </c>
      <c r="C123" s="67" t="str">
        <f>IF(FILLME!$B$7="ISCO",FILLME!$E$4,IF(FILLME!$B$7="Grab",FILLME!$E$5))</f>
        <v>IS</v>
      </c>
      <c r="D123" t="str">
        <f>IF(FILLME!$B$4 = "", "", FILLME!$B$4)</f>
        <v>SSEMG</v>
      </c>
      <c r="E123" s="7" t="str">
        <f>TEXT(FILLME!$B$6,"yyyymmdd")</f>
        <v>20260223</v>
      </c>
      <c r="F123" s="8"/>
      <c r="G123" s="7">
        <f>IF(FILLME!$B$7="ISCO",FILLME!$B$6+FILLME!$B$11+(FILLME!$B$13*(H123-FILLME!$B$14)),FILLME!$B$6)</f>
        <v>46076.916666666664</v>
      </c>
      <c r="H123" s="8"/>
      <c r="I123" s="8"/>
      <c r="J123" s="2"/>
      <c r="K123" s="9" t="str">
        <f t="shared" si="3"/>
        <v>_00</v>
      </c>
      <c r="L123" s="10" t="str">
        <f t="shared" si="4"/>
        <v>SSEMG__20260223_00</v>
      </c>
      <c r="M123" s="10" t="str">
        <f t="shared" si="5"/>
        <v>SSEMG__IS_20260223_0000</v>
      </c>
      <c r="N123" t="b">
        <f>IF(ROW()-ROW($N$1) &lt;= FILLME!$G$4, TRUE, FALSE)</f>
        <v>0</v>
      </c>
      <c r="O123" t="b">
        <f>IF(ROW()-ROW($O$1) &lt;= FILLME!$G$5, TRUE, FALSE)</f>
        <v>0</v>
      </c>
      <c r="P123" t="b">
        <f>IF(ROW()-ROW($P$1) &lt;= FILLME!$G$7, TRUE, FALSE)</f>
        <v>0</v>
      </c>
      <c r="Q123" t="b">
        <f>IF(ROW()-ROW($Q$1) &lt;= FILLME!$G$6, TRUE, FALSE)</f>
        <v>0</v>
      </c>
      <c r="R123" t="b">
        <f>IF(ROW()-ROW($R$1) &lt;= FILLME!$G$8, TRUE, FALSE)</f>
        <v>0</v>
      </c>
      <c r="S123" t="b">
        <f>IF(ROW()-ROW($S$1) &lt;= FILLME!$G$9, TRUE, FALSE)</f>
        <v>0</v>
      </c>
      <c r="T123" t="b">
        <f>IF(ROW()-ROW($T$1) &lt;= FILLME!$G$10, TRUE, FALSE)</f>
        <v>0</v>
      </c>
      <c r="U123" t="b">
        <f>IF(ROW()-ROW($U$1) &lt;= FILLME!$G$11, TRUE, FALSE)</f>
        <v>0</v>
      </c>
    </row>
    <row r="124" spans="1:21" x14ac:dyDescent="0.25">
      <c r="A124" s="7" t="str">
        <f>FILLME!$B$7</f>
        <v>ISCO</v>
      </c>
      <c r="B124" t="str">
        <f>IF(FILLME!$B$3 = "", "", FILLME!$B$3)</f>
        <v/>
      </c>
      <c r="C124" s="67" t="str">
        <f>IF(FILLME!$B$7="ISCO",FILLME!$E$4,IF(FILLME!$B$7="Grab",FILLME!$E$5))</f>
        <v>IS</v>
      </c>
      <c r="D124" t="str">
        <f>IF(FILLME!$B$4 = "", "", FILLME!$B$4)</f>
        <v>SSEMG</v>
      </c>
      <c r="E124" s="7" t="str">
        <f>TEXT(FILLME!$B$6,"yyyymmdd")</f>
        <v>20260223</v>
      </c>
      <c r="F124" s="8"/>
      <c r="G124" s="7">
        <f>IF(FILLME!$B$7="ISCO",FILLME!$B$6+FILLME!$B$11+(FILLME!$B$13*(H124-FILLME!$B$14)),FILLME!$B$6)</f>
        <v>46076.916666666664</v>
      </c>
      <c r="H124" s="8"/>
      <c r="I124" s="8"/>
      <c r="J124" s="2"/>
      <c r="K124" s="9" t="str">
        <f t="shared" si="3"/>
        <v>_00</v>
      </c>
      <c r="L124" s="10" t="str">
        <f t="shared" si="4"/>
        <v>SSEMG__20260223_00</v>
      </c>
      <c r="M124" s="10" t="str">
        <f t="shared" si="5"/>
        <v>SSEMG__IS_20260223_0000</v>
      </c>
      <c r="N124" t="b">
        <f>IF(ROW()-ROW($N$1) &lt;= FILLME!$G$4, TRUE, FALSE)</f>
        <v>0</v>
      </c>
      <c r="O124" t="b">
        <f>IF(ROW()-ROW($O$1) &lt;= FILLME!$G$5, TRUE, FALSE)</f>
        <v>0</v>
      </c>
      <c r="P124" t="b">
        <f>IF(ROW()-ROW($P$1) &lt;= FILLME!$G$7, TRUE, FALSE)</f>
        <v>0</v>
      </c>
      <c r="Q124" t="b">
        <f>IF(ROW()-ROW($Q$1) &lt;= FILLME!$G$6, TRUE, FALSE)</f>
        <v>0</v>
      </c>
      <c r="R124" t="b">
        <f>IF(ROW()-ROW($R$1) &lt;= FILLME!$G$8, TRUE, FALSE)</f>
        <v>0</v>
      </c>
      <c r="S124" t="b">
        <f>IF(ROW()-ROW($S$1) &lt;= FILLME!$G$9, TRUE, FALSE)</f>
        <v>0</v>
      </c>
      <c r="T124" t="b">
        <f>IF(ROW()-ROW($T$1) &lt;= FILLME!$G$10, TRUE, FALSE)</f>
        <v>0</v>
      </c>
      <c r="U124" t="b">
        <f>IF(ROW()-ROW($U$1) &lt;= FILLME!$G$11, TRUE, FALSE)</f>
        <v>0</v>
      </c>
    </row>
    <row r="125" spans="1:21" x14ac:dyDescent="0.25">
      <c r="A125" s="7" t="str">
        <f>FILLME!$B$7</f>
        <v>ISCO</v>
      </c>
      <c r="B125" t="str">
        <f>IF(FILLME!$B$3 = "", "", FILLME!$B$3)</f>
        <v/>
      </c>
      <c r="C125" s="67" t="str">
        <f>IF(FILLME!$B$7="ISCO",FILLME!$E$4,IF(FILLME!$B$7="Grab",FILLME!$E$5))</f>
        <v>IS</v>
      </c>
      <c r="D125" t="str">
        <f>IF(FILLME!$B$4 = "", "", FILLME!$B$4)</f>
        <v>SSEMG</v>
      </c>
      <c r="E125" s="7" t="str">
        <f>TEXT(FILLME!$B$6,"yyyymmdd")</f>
        <v>20260223</v>
      </c>
      <c r="F125" s="8"/>
      <c r="G125" s="7">
        <f>IF(FILLME!$B$7="ISCO",FILLME!$B$6+FILLME!$B$11+(FILLME!$B$13*(H125-FILLME!$B$14)),FILLME!$B$6)</f>
        <v>46076.916666666664</v>
      </c>
      <c r="H125" s="8"/>
      <c r="I125" s="8"/>
      <c r="J125" s="2"/>
      <c r="K125" s="9" t="str">
        <f t="shared" si="3"/>
        <v>_00</v>
      </c>
      <c r="L125" s="10" t="str">
        <f t="shared" si="4"/>
        <v>SSEMG__20260223_00</v>
      </c>
      <c r="M125" s="10" t="str">
        <f t="shared" si="5"/>
        <v>SSEMG__IS_20260223_0000</v>
      </c>
      <c r="N125" t="b">
        <f>IF(ROW()-ROW($N$1) &lt;= FILLME!$G$4, TRUE, FALSE)</f>
        <v>0</v>
      </c>
      <c r="O125" t="b">
        <f>IF(ROW()-ROW($O$1) &lt;= FILLME!$G$5, TRUE, FALSE)</f>
        <v>0</v>
      </c>
      <c r="P125" t="b">
        <f>IF(ROW()-ROW($P$1) &lt;= FILLME!$G$7, TRUE, FALSE)</f>
        <v>0</v>
      </c>
      <c r="Q125" t="b">
        <f>IF(ROW()-ROW($Q$1) &lt;= FILLME!$G$6, TRUE, FALSE)</f>
        <v>0</v>
      </c>
      <c r="R125" t="b">
        <f>IF(ROW()-ROW($R$1) &lt;= FILLME!$G$8, TRUE, FALSE)</f>
        <v>0</v>
      </c>
      <c r="S125" t="b">
        <f>IF(ROW()-ROW($S$1) &lt;= FILLME!$G$9, TRUE, FALSE)</f>
        <v>0</v>
      </c>
      <c r="T125" t="b">
        <f>IF(ROW()-ROW($T$1) &lt;= FILLME!$G$10, TRUE, FALSE)</f>
        <v>0</v>
      </c>
      <c r="U125" t="b">
        <f>IF(ROW()-ROW($U$1) &lt;= FILLME!$G$11, TRUE, FALSE)</f>
        <v>0</v>
      </c>
    </row>
    <row r="126" spans="1:21" x14ac:dyDescent="0.25">
      <c r="A126" s="7" t="str">
        <f>FILLME!$B$7</f>
        <v>ISCO</v>
      </c>
      <c r="B126" t="str">
        <f>IF(FILLME!$B$3 = "", "", FILLME!$B$3)</f>
        <v/>
      </c>
      <c r="C126" s="67" t="str">
        <f>IF(FILLME!$B$7="ISCO",FILLME!$E$4,IF(FILLME!$B$7="Grab",FILLME!$E$5))</f>
        <v>IS</v>
      </c>
      <c r="D126" t="str">
        <f>IF(FILLME!$B$4 = "", "", FILLME!$B$4)</f>
        <v>SSEMG</v>
      </c>
      <c r="E126" s="7" t="str">
        <f>TEXT(FILLME!$B$6,"yyyymmdd")</f>
        <v>20260223</v>
      </c>
      <c r="F126" s="8"/>
      <c r="G126" s="7">
        <f>IF(FILLME!$B$7="ISCO",FILLME!$B$6+FILLME!$B$11+(FILLME!$B$13*(H126-FILLME!$B$14)),FILLME!$B$6)</f>
        <v>46076.916666666664</v>
      </c>
      <c r="H126" s="8"/>
      <c r="I126" s="8"/>
      <c r="J126" s="2"/>
      <c r="K126" s="9" t="str">
        <f t="shared" si="3"/>
        <v>_00</v>
      </c>
      <c r="L126" s="10" t="str">
        <f t="shared" si="4"/>
        <v>SSEMG__20260223_00</v>
      </c>
      <c r="M126" s="10" t="str">
        <f t="shared" si="5"/>
        <v>SSEMG__IS_20260223_0000</v>
      </c>
      <c r="N126" t="b">
        <f>IF(ROW()-ROW($N$1) &lt;= FILLME!$G$4, TRUE, FALSE)</f>
        <v>0</v>
      </c>
      <c r="O126" t="b">
        <f>IF(ROW()-ROW($O$1) &lt;= FILLME!$G$5, TRUE, FALSE)</f>
        <v>0</v>
      </c>
      <c r="P126" t="b">
        <f>IF(ROW()-ROW($P$1) &lt;= FILLME!$G$7, TRUE, FALSE)</f>
        <v>0</v>
      </c>
      <c r="Q126" t="b">
        <f>IF(ROW()-ROW($Q$1) &lt;= FILLME!$G$6, TRUE, FALSE)</f>
        <v>0</v>
      </c>
      <c r="R126" t="b">
        <f>IF(ROW()-ROW($R$1) &lt;= FILLME!$G$8, TRUE, FALSE)</f>
        <v>0</v>
      </c>
      <c r="S126" t="b">
        <f>IF(ROW()-ROW($S$1) &lt;= FILLME!$G$9, TRUE, FALSE)</f>
        <v>0</v>
      </c>
      <c r="T126" t="b">
        <f>IF(ROW()-ROW($T$1) &lt;= FILLME!$G$10, TRUE, FALSE)</f>
        <v>0</v>
      </c>
      <c r="U126" t="b">
        <f>IF(ROW()-ROW($U$1) &lt;= FILLME!$G$11, TRUE, FALSE)</f>
        <v>0</v>
      </c>
    </row>
    <row r="127" spans="1:21" x14ac:dyDescent="0.25">
      <c r="A127" s="7" t="str">
        <f>FILLME!$B$7</f>
        <v>ISCO</v>
      </c>
      <c r="B127" t="str">
        <f>IF(FILLME!$B$3 = "", "", FILLME!$B$3)</f>
        <v/>
      </c>
      <c r="C127" s="67" t="str">
        <f>IF(FILLME!$B$7="ISCO",FILLME!$E$4,IF(FILLME!$B$7="Grab",FILLME!$E$5))</f>
        <v>IS</v>
      </c>
      <c r="D127" t="str">
        <f>IF(FILLME!$B$4 = "", "", FILLME!$B$4)</f>
        <v>SSEMG</v>
      </c>
      <c r="E127" s="7" t="str">
        <f>TEXT(FILLME!$B$6,"yyyymmdd")</f>
        <v>20260223</v>
      </c>
      <c r="F127" s="8"/>
      <c r="G127" s="7">
        <f>IF(FILLME!$B$7="ISCO",FILLME!$B$6+FILLME!$B$11+(FILLME!$B$13*(H127-FILLME!$B$14)),FILLME!$B$6)</f>
        <v>46076.916666666664</v>
      </c>
      <c r="H127" s="8"/>
      <c r="I127" s="8"/>
      <c r="J127" s="2"/>
      <c r="K127" s="9" t="str">
        <f t="shared" si="3"/>
        <v>_00</v>
      </c>
      <c r="L127" s="10" t="str">
        <f t="shared" si="4"/>
        <v>SSEMG__20260223_00</v>
      </c>
      <c r="M127" s="10" t="str">
        <f t="shared" si="5"/>
        <v>SSEMG__IS_20260223_0000</v>
      </c>
      <c r="N127" t="b">
        <f>IF(ROW()-ROW($N$1) &lt;= FILLME!$G$4, TRUE, FALSE)</f>
        <v>0</v>
      </c>
      <c r="O127" t="b">
        <f>IF(ROW()-ROW($O$1) &lt;= FILLME!$G$5, TRUE, FALSE)</f>
        <v>0</v>
      </c>
      <c r="P127" t="b">
        <f>IF(ROW()-ROW($P$1) &lt;= FILLME!$G$7, TRUE, FALSE)</f>
        <v>0</v>
      </c>
      <c r="Q127" t="b">
        <f>IF(ROW()-ROW($Q$1) &lt;= FILLME!$G$6, TRUE, FALSE)</f>
        <v>0</v>
      </c>
      <c r="R127" t="b">
        <f>IF(ROW()-ROW($R$1) &lt;= FILLME!$G$8, TRUE, FALSE)</f>
        <v>0</v>
      </c>
      <c r="S127" t="b">
        <f>IF(ROW()-ROW($S$1) &lt;= FILLME!$G$9, TRUE, FALSE)</f>
        <v>0</v>
      </c>
      <c r="T127" t="b">
        <f>IF(ROW()-ROW($T$1) &lt;= FILLME!$G$10, TRUE, FALSE)</f>
        <v>0</v>
      </c>
      <c r="U127" t="b">
        <f>IF(ROW()-ROW($U$1) &lt;= FILLME!$G$11, TRUE, FALSE)</f>
        <v>0</v>
      </c>
    </row>
    <row r="128" spans="1:21" x14ac:dyDescent="0.25">
      <c r="A128" s="7" t="str">
        <f>FILLME!$B$7</f>
        <v>ISCO</v>
      </c>
      <c r="B128" t="str">
        <f>IF(FILLME!$B$3 = "", "", FILLME!$B$3)</f>
        <v/>
      </c>
      <c r="C128" s="67" t="str">
        <f>IF(FILLME!$B$7="ISCO",FILLME!$E$4,IF(FILLME!$B$7="Grab",FILLME!$E$5))</f>
        <v>IS</v>
      </c>
      <c r="D128" t="str">
        <f>IF(FILLME!$B$4 = "", "", FILLME!$B$4)</f>
        <v>SSEMG</v>
      </c>
      <c r="E128" s="7" t="str">
        <f>TEXT(FILLME!$B$6,"yyyymmdd")</f>
        <v>20260223</v>
      </c>
      <c r="F128" s="8"/>
      <c r="G128" s="7">
        <f>IF(FILLME!$B$7="ISCO",FILLME!$B$6+FILLME!$B$11+(FILLME!$B$13*(H128-FILLME!$B$14)),FILLME!$B$6)</f>
        <v>46076.916666666664</v>
      </c>
      <c r="H128" s="8"/>
      <c r="I128" s="8"/>
      <c r="J128" s="2"/>
      <c r="K128" s="9" t="str">
        <f t="shared" si="3"/>
        <v>_00</v>
      </c>
      <c r="L128" s="10" t="str">
        <f t="shared" si="4"/>
        <v>SSEMG__20260223_00</v>
      </c>
      <c r="M128" s="10" t="str">
        <f t="shared" si="5"/>
        <v>SSEMG__IS_20260223_0000</v>
      </c>
      <c r="N128" t="b">
        <f>IF(ROW()-ROW($N$1) &lt;= FILLME!$G$4, TRUE, FALSE)</f>
        <v>0</v>
      </c>
      <c r="O128" t="b">
        <f>IF(ROW()-ROW($O$1) &lt;= FILLME!$G$5, TRUE, FALSE)</f>
        <v>0</v>
      </c>
      <c r="P128" t="b">
        <f>IF(ROW()-ROW($P$1) &lt;= FILLME!$G$7, TRUE, FALSE)</f>
        <v>0</v>
      </c>
      <c r="Q128" t="b">
        <f>IF(ROW()-ROW($Q$1) &lt;= FILLME!$G$6, TRUE, FALSE)</f>
        <v>0</v>
      </c>
      <c r="R128" t="b">
        <f>IF(ROW()-ROW($R$1) &lt;= FILLME!$G$8, TRUE, FALSE)</f>
        <v>0</v>
      </c>
      <c r="S128" t="b">
        <f>IF(ROW()-ROW($S$1) &lt;= FILLME!$G$9, TRUE, FALSE)</f>
        <v>0</v>
      </c>
      <c r="T128" t="b">
        <f>IF(ROW()-ROW($T$1) &lt;= FILLME!$G$10, TRUE, FALSE)</f>
        <v>0</v>
      </c>
      <c r="U128" t="b">
        <f>IF(ROW()-ROW($U$1) &lt;= FILLME!$G$11, TRUE, FALSE)</f>
        <v>0</v>
      </c>
    </row>
    <row r="129" spans="1:21" x14ac:dyDescent="0.25">
      <c r="A129" s="7" t="str">
        <f>FILLME!$B$7</f>
        <v>ISCO</v>
      </c>
      <c r="B129" t="str">
        <f>IF(FILLME!$B$3 = "", "", FILLME!$B$3)</f>
        <v/>
      </c>
      <c r="C129" s="67" t="str">
        <f>IF(FILLME!$B$7="ISCO",FILLME!$E$4,IF(FILLME!$B$7="Grab",FILLME!$E$5))</f>
        <v>IS</v>
      </c>
      <c r="D129" t="str">
        <f>IF(FILLME!$B$4 = "", "", FILLME!$B$4)</f>
        <v>SSEMG</v>
      </c>
      <c r="E129" s="7" t="str">
        <f>TEXT(FILLME!$B$6,"yyyymmdd")</f>
        <v>20260223</v>
      </c>
      <c r="F129" s="8"/>
      <c r="G129" s="7">
        <f>IF(FILLME!$B$7="ISCO",FILLME!$B$6+FILLME!$B$11+(FILLME!$B$13*(H129-FILLME!$B$14)),FILLME!$B$6)</f>
        <v>46076.916666666664</v>
      </c>
      <c r="H129" s="8"/>
      <c r="I129" s="8"/>
      <c r="J129" s="2"/>
      <c r="K129" s="9" t="str">
        <f t="shared" si="3"/>
        <v>_00</v>
      </c>
      <c r="L129" s="10" t="str">
        <f t="shared" si="4"/>
        <v>SSEMG__20260223_00</v>
      </c>
      <c r="M129" s="10" t="str">
        <f t="shared" si="5"/>
        <v>SSEMG__IS_20260223_0000</v>
      </c>
      <c r="N129" t="b">
        <f>IF(ROW()-ROW($N$1) &lt;= FILLME!$G$4, TRUE, FALSE)</f>
        <v>0</v>
      </c>
      <c r="O129" t="b">
        <f>IF(ROW()-ROW($O$1) &lt;= FILLME!$G$5, TRUE, FALSE)</f>
        <v>0</v>
      </c>
      <c r="P129" t="b">
        <f>IF(ROW()-ROW($P$1) &lt;= FILLME!$G$7, TRUE, FALSE)</f>
        <v>0</v>
      </c>
      <c r="Q129" t="b">
        <f>IF(ROW()-ROW($Q$1) &lt;= FILLME!$G$6, TRUE, FALSE)</f>
        <v>0</v>
      </c>
      <c r="R129" t="b">
        <f>IF(ROW()-ROW($R$1) &lt;= FILLME!$G$8, TRUE, FALSE)</f>
        <v>0</v>
      </c>
      <c r="S129" t="b">
        <f>IF(ROW()-ROW($S$1) &lt;= FILLME!$G$9, TRUE, FALSE)</f>
        <v>0</v>
      </c>
      <c r="T129" t="b">
        <f>IF(ROW()-ROW($T$1) &lt;= FILLME!$G$10, TRUE, FALSE)</f>
        <v>0</v>
      </c>
      <c r="U129" t="b">
        <f>IF(ROW()-ROW($U$1) &lt;= FILLME!$G$11, TRUE, FALSE)</f>
        <v>0</v>
      </c>
    </row>
    <row r="130" spans="1:21" x14ac:dyDescent="0.25">
      <c r="A130" s="7" t="str">
        <f>FILLME!$B$7</f>
        <v>ISCO</v>
      </c>
      <c r="B130" t="str">
        <f>IF(FILLME!$B$3 = "", "", FILLME!$B$3)</f>
        <v/>
      </c>
      <c r="C130" s="67" t="str">
        <f>IF(FILLME!$B$7="ISCO",FILLME!$E$4,IF(FILLME!$B$7="Grab",FILLME!$E$5))</f>
        <v>IS</v>
      </c>
      <c r="D130" t="str">
        <f>IF(FILLME!$B$4 = "", "", FILLME!$B$4)</f>
        <v>SSEMG</v>
      </c>
      <c r="E130" s="7" t="str">
        <f>TEXT(FILLME!$B$6,"yyyymmdd")</f>
        <v>20260223</v>
      </c>
      <c r="F130" s="8"/>
      <c r="G130" s="7">
        <f>IF(FILLME!$B$7="ISCO",FILLME!$B$6+FILLME!$B$11+(FILLME!$B$13*(H130-FILLME!$B$14)),FILLME!$B$6)</f>
        <v>46076.916666666664</v>
      </c>
      <c r="H130" s="8"/>
      <c r="I130" s="8"/>
      <c r="J130" s="2"/>
      <c r="K130" s="9" t="str">
        <f t="shared" ref="K130:K193" si="6">CONCATENATE(J130,"_",TEXT(H130,"00"))</f>
        <v>_00</v>
      </c>
      <c r="L130" s="10" t="str">
        <f t="shared" ref="L130:L193" si="7">CONCATENATE(D130,"_", J130,"_",E130,"_",TEXT(H130,"00"))</f>
        <v>SSEMG__20260223_00</v>
      </c>
      <c r="M130" s="10" t="str">
        <f t="shared" ref="M130:M193" si="8">CONCATENATE(D130,"_", J130,"_",C130,"_",TEXT(G130, "yyyymmdd"),"_",TEXT(F130, "hhmm"))</f>
        <v>SSEMG__IS_20260223_0000</v>
      </c>
      <c r="N130" t="b">
        <f>IF(ROW()-ROW($N$1) &lt;= FILLME!$G$4, TRUE, FALSE)</f>
        <v>0</v>
      </c>
      <c r="O130" t="b">
        <f>IF(ROW()-ROW($O$1) &lt;= FILLME!$G$5, TRUE, FALSE)</f>
        <v>0</v>
      </c>
      <c r="P130" t="b">
        <f>IF(ROW()-ROW($P$1) &lt;= FILLME!$G$7, TRUE, FALSE)</f>
        <v>0</v>
      </c>
      <c r="Q130" t="b">
        <f>IF(ROW()-ROW($Q$1) &lt;= FILLME!$G$6, TRUE, FALSE)</f>
        <v>0</v>
      </c>
      <c r="R130" t="b">
        <f>IF(ROW()-ROW($R$1) &lt;= FILLME!$G$8, TRUE, FALSE)</f>
        <v>0</v>
      </c>
      <c r="S130" t="b">
        <f>IF(ROW()-ROW($S$1) &lt;= FILLME!$G$9, TRUE, FALSE)</f>
        <v>0</v>
      </c>
      <c r="T130" t="b">
        <f>IF(ROW()-ROW($T$1) &lt;= FILLME!$G$10, TRUE, FALSE)</f>
        <v>0</v>
      </c>
      <c r="U130" t="b">
        <f>IF(ROW()-ROW($U$1) &lt;= FILLME!$G$11, TRUE, FALSE)</f>
        <v>0</v>
      </c>
    </row>
    <row r="131" spans="1:21" x14ac:dyDescent="0.25">
      <c r="A131" s="7" t="str">
        <f>FILLME!$B$7</f>
        <v>ISCO</v>
      </c>
      <c r="B131" t="str">
        <f>IF(FILLME!$B$3 = "", "", FILLME!$B$3)</f>
        <v/>
      </c>
      <c r="C131" s="67" t="str">
        <f>IF(FILLME!$B$7="ISCO",FILLME!$E$4,IF(FILLME!$B$7="Grab",FILLME!$E$5))</f>
        <v>IS</v>
      </c>
      <c r="D131" t="str">
        <f>IF(FILLME!$B$4 = "", "", FILLME!$B$4)</f>
        <v>SSEMG</v>
      </c>
      <c r="E131" s="7" t="str">
        <f>TEXT(FILLME!$B$6,"yyyymmdd")</f>
        <v>20260223</v>
      </c>
      <c r="F131" s="8"/>
      <c r="G131" s="7">
        <f>IF(FILLME!$B$7="ISCO",FILLME!$B$6+FILLME!$B$11+(FILLME!$B$13*(H131-FILLME!$B$14)),FILLME!$B$6)</f>
        <v>46076.916666666664</v>
      </c>
      <c r="H131" s="8"/>
      <c r="I131" s="8"/>
      <c r="J131" s="2"/>
      <c r="K131" s="9" t="str">
        <f t="shared" si="6"/>
        <v>_00</v>
      </c>
      <c r="L131" s="10" t="str">
        <f t="shared" si="7"/>
        <v>SSEMG__20260223_00</v>
      </c>
      <c r="M131" s="10" t="str">
        <f t="shared" si="8"/>
        <v>SSEMG__IS_20260223_0000</v>
      </c>
      <c r="N131" t="b">
        <f>IF(ROW()-ROW($N$1) &lt;= FILLME!$G$4, TRUE, FALSE)</f>
        <v>0</v>
      </c>
      <c r="O131" t="b">
        <f>IF(ROW()-ROW($O$1) &lt;= FILLME!$G$5, TRUE, FALSE)</f>
        <v>0</v>
      </c>
      <c r="P131" t="b">
        <f>IF(ROW()-ROW($P$1) &lt;= FILLME!$G$7, TRUE, FALSE)</f>
        <v>0</v>
      </c>
      <c r="Q131" t="b">
        <f>IF(ROW()-ROW($Q$1) &lt;= FILLME!$G$6, TRUE, FALSE)</f>
        <v>0</v>
      </c>
      <c r="R131" t="b">
        <f>IF(ROW()-ROW($R$1) &lt;= FILLME!$G$8, TRUE, FALSE)</f>
        <v>0</v>
      </c>
      <c r="S131" t="b">
        <f>IF(ROW()-ROW($S$1) &lt;= FILLME!$G$9, TRUE, FALSE)</f>
        <v>0</v>
      </c>
      <c r="T131" t="b">
        <f>IF(ROW()-ROW($T$1) &lt;= FILLME!$G$10, TRUE, FALSE)</f>
        <v>0</v>
      </c>
      <c r="U131" t="b">
        <f>IF(ROW()-ROW($U$1) &lt;= FILLME!$G$11, TRUE, FALSE)</f>
        <v>0</v>
      </c>
    </row>
    <row r="132" spans="1:21" x14ac:dyDescent="0.25">
      <c r="A132" s="7" t="str">
        <f>FILLME!$B$7</f>
        <v>ISCO</v>
      </c>
      <c r="B132" t="str">
        <f>IF(FILLME!$B$3 = "", "", FILLME!$B$3)</f>
        <v/>
      </c>
      <c r="C132" s="67" t="str">
        <f>IF(FILLME!$B$7="ISCO",FILLME!$E$4,IF(FILLME!$B$7="Grab",FILLME!$E$5))</f>
        <v>IS</v>
      </c>
      <c r="D132" t="str">
        <f>IF(FILLME!$B$4 = "", "", FILLME!$B$4)</f>
        <v>SSEMG</v>
      </c>
      <c r="E132" s="7" t="str">
        <f>TEXT(FILLME!$B$6,"yyyymmdd")</f>
        <v>20260223</v>
      </c>
      <c r="F132" s="8"/>
      <c r="G132" s="7">
        <f>IF(FILLME!$B$7="ISCO",FILLME!$B$6+FILLME!$B$11+(FILLME!$B$13*(H132-FILLME!$B$14)),FILLME!$B$6)</f>
        <v>46076.916666666664</v>
      </c>
      <c r="H132" s="8"/>
      <c r="I132" s="8"/>
      <c r="J132" s="2"/>
      <c r="K132" s="9" t="str">
        <f t="shared" si="6"/>
        <v>_00</v>
      </c>
      <c r="L132" s="10" t="str">
        <f t="shared" si="7"/>
        <v>SSEMG__20260223_00</v>
      </c>
      <c r="M132" s="10" t="str">
        <f t="shared" si="8"/>
        <v>SSEMG__IS_20260223_0000</v>
      </c>
      <c r="N132" t="b">
        <f>IF(ROW()-ROW($N$1) &lt;= FILLME!$G$4, TRUE, FALSE)</f>
        <v>0</v>
      </c>
      <c r="O132" t="b">
        <f>IF(ROW()-ROW($O$1) &lt;= FILLME!$G$5, TRUE, FALSE)</f>
        <v>0</v>
      </c>
      <c r="P132" t="b">
        <f>IF(ROW()-ROW($P$1) &lt;= FILLME!$G$7, TRUE, FALSE)</f>
        <v>0</v>
      </c>
      <c r="Q132" t="b">
        <f>IF(ROW()-ROW($Q$1) &lt;= FILLME!$G$6, TRUE, FALSE)</f>
        <v>0</v>
      </c>
      <c r="R132" t="b">
        <f>IF(ROW()-ROW($R$1) &lt;= FILLME!$G$8, TRUE, FALSE)</f>
        <v>0</v>
      </c>
      <c r="S132" t="b">
        <f>IF(ROW()-ROW($S$1) &lt;= FILLME!$G$9, TRUE, FALSE)</f>
        <v>0</v>
      </c>
      <c r="T132" t="b">
        <f>IF(ROW()-ROW($T$1) &lt;= FILLME!$G$10, TRUE, FALSE)</f>
        <v>0</v>
      </c>
      <c r="U132" t="b">
        <f>IF(ROW()-ROW($U$1) &lt;= FILLME!$G$11, TRUE, FALSE)</f>
        <v>0</v>
      </c>
    </row>
    <row r="133" spans="1:21" x14ac:dyDescent="0.25">
      <c r="A133" s="7" t="str">
        <f>FILLME!$B$7</f>
        <v>ISCO</v>
      </c>
      <c r="B133" t="str">
        <f>IF(FILLME!$B$3 = "", "", FILLME!$B$3)</f>
        <v/>
      </c>
      <c r="C133" s="67" t="str">
        <f>IF(FILLME!$B$7="ISCO",FILLME!$E$4,IF(FILLME!$B$7="Grab",FILLME!$E$5))</f>
        <v>IS</v>
      </c>
      <c r="D133" t="str">
        <f>IF(FILLME!$B$4 = "", "", FILLME!$B$4)</f>
        <v>SSEMG</v>
      </c>
      <c r="E133" s="7" t="str">
        <f>TEXT(FILLME!$B$6,"yyyymmdd")</f>
        <v>20260223</v>
      </c>
      <c r="F133" s="8"/>
      <c r="G133" s="7">
        <f>IF(FILLME!$B$7="ISCO",FILLME!$B$6+FILLME!$B$11+(FILLME!$B$13*(H133-FILLME!$B$14)),FILLME!$B$6)</f>
        <v>46076.916666666664</v>
      </c>
      <c r="H133" s="8"/>
      <c r="I133" s="8"/>
      <c r="J133" s="2"/>
      <c r="K133" s="9" t="str">
        <f t="shared" si="6"/>
        <v>_00</v>
      </c>
      <c r="L133" s="10" t="str">
        <f t="shared" si="7"/>
        <v>SSEMG__20260223_00</v>
      </c>
      <c r="M133" s="10" t="str">
        <f t="shared" si="8"/>
        <v>SSEMG__IS_20260223_0000</v>
      </c>
      <c r="N133" t="b">
        <f>IF(ROW()-ROW($N$1) &lt;= FILLME!$G$4, TRUE, FALSE)</f>
        <v>0</v>
      </c>
      <c r="O133" t="b">
        <f>IF(ROW()-ROW($O$1) &lt;= FILLME!$G$5, TRUE, FALSE)</f>
        <v>0</v>
      </c>
      <c r="P133" t="b">
        <f>IF(ROW()-ROW($P$1) &lt;= FILLME!$G$7, TRUE, FALSE)</f>
        <v>0</v>
      </c>
      <c r="Q133" t="b">
        <f>IF(ROW()-ROW($Q$1) &lt;= FILLME!$G$6, TRUE, FALSE)</f>
        <v>0</v>
      </c>
      <c r="R133" t="b">
        <f>IF(ROW()-ROW($R$1) &lt;= FILLME!$G$8, TRUE, FALSE)</f>
        <v>0</v>
      </c>
      <c r="S133" t="b">
        <f>IF(ROW()-ROW($S$1) &lt;= FILLME!$G$9, TRUE, FALSE)</f>
        <v>0</v>
      </c>
      <c r="T133" t="b">
        <f>IF(ROW()-ROW($T$1) &lt;= FILLME!$G$10, TRUE, FALSE)</f>
        <v>0</v>
      </c>
      <c r="U133" t="b">
        <f>IF(ROW()-ROW($U$1) &lt;= FILLME!$G$11, TRUE, FALSE)</f>
        <v>0</v>
      </c>
    </row>
    <row r="134" spans="1:21" x14ac:dyDescent="0.25">
      <c r="A134" s="7" t="str">
        <f>FILLME!$B$7</f>
        <v>ISCO</v>
      </c>
      <c r="B134" t="str">
        <f>IF(FILLME!$B$3 = "", "", FILLME!$B$3)</f>
        <v/>
      </c>
      <c r="C134" s="67" t="str">
        <f>IF(FILLME!$B$7="ISCO",FILLME!$E$4,IF(FILLME!$B$7="Grab",FILLME!$E$5))</f>
        <v>IS</v>
      </c>
      <c r="D134" t="str">
        <f>IF(FILLME!$B$4 = "", "", FILLME!$B$4)</f>
        <v>SSEMG</v>
      </c>
      <c r="E134" s="7" t="str">
        <f>TEXT(FILLME!$B$6,"yyyymmdd")</f>
        <v>20260223</v>
      </c>
      <c r="F134" s="8"/>
      <c r="G134" s="7">
        <f>IF(FILLME!$B$7="ISCO",FILLME!$B$6+FILLME!$B$11+(FILLME!$B$13*(H134-FILLME!$B$14)),FILLME!$B$6)</f>
        <v>46076.916666666664</v>
      </c>
      <c r="H134" s="8"/>
      <c r="I134" s="8"/>
      <c r="J134" s="2"/>
      <c r="K134" s="9" t="str">
        <f t="shared" si="6"/>
        <v>_00</v>
      </c>
      <c r="L134" s="10" t="str">
        <f t="shared" si="7"/>
        <v>SSEMG__20260223_00</v>
      </c>
      <c r="M134" s="10" t="str">
        <f t="shared" si="8"/>
        <v>SSEMG__IS_20260223_0000</v>
      </c>
      <c r="N134" t="b">
        <f>IF(ROW()-ROW($N$1) &lt;= FILLME!$G$4, TRUE, FALSE)</f>
        <v>0</v>
      </c>
      <c r="O134" t="b">
        <f>IF(ROW()-ROW($O$1) &lt;= FILLME!$G$5, TRUE, FALSE)</f>
        <v>0</v>
      </c>
      <c r="P134" t="b">
        <f>IF(ROW()-ROW($P$1) &lt;= FILLME!$G$7, TRUE, FALSE)</f>
        <v>0</v>
      </c>
      <c r="Q134" t="b">
        <f>IF(ROW()-ROW($Q$1) &lt;= FILLME!$G$6, TRUE, FALSE)</f>
        <v>0</v>
      </c>
      <c r="R134" t="b">
        <f>IF(ROW()-ROW($R$1) &lt;= FILLME!$G$8, TRUE, FALSE)</f>
        <v>0</v>
      </c>
      <c r="S134" t="b">
        <f>IF(ROW()-ROW($S$1) &lt;= FILLME!$G$9, TRUE, FALSE)</f>
        <v>0</v>
      </c>
      <c r="T134" t="b">
        <f>IF(ROW()-ROW($T$1) &lt;= FILLME!$G$10, TRUE, FALSE)</f>
        <v>0</v>
      </c>
      <c r="U134" t="b">
        <f>IF(ROW()-ROW($U$1) &lt;= FILLME!$G$11, TRUE, FALSE)</f>
        <v>0</v>
      </c>
    </row>
    <row r="135" spans="1:21" x14ac:dyDescent="0.25">
      <c r="A135" s="7" t="str">
        <f>FILLME!$B$7</f>
        <v>ISCO</v>
      </c>
      <c r="B135" t="str">
        <f>IF(FILLME!$B$3 = "", "", FILLME!$B$3)</f>
        <v/>
      </c>
      <c r="C135" s="67" t="str">
        <f>IF(FILLME!$B$7="ISCO",FILLME!$E$4,IF(FILLME!$B$7="Grab",FILLME!$E$5))</f>
        <v>IS</v>
      </c>
      <c r="D135" t="str">
        <f>IF(FILLME!$B$4 = "", "", FILLME!$B$4)</f>
        <v>SSEMG</v>
      </c>
      <c r="E135" s="7" t="str">
        <f>TEXT(FILLME!$B$6,"yyyymmdd")</f>
        <v>20260223</v>
      </c>
      <c r="F135" s="8"/>
      <c r="G135" s="7">
        <f>IF(FILLME!$B$7="ISCO",FILLME!$B$6+FILLME!$B$11+(FILLME!$B$13*(H135-FILLME!$B$14)),FILLME!$B$6)</f>
        <v>46076.916666666664</v>
      </c>
      <c r="H135" s="8"/>
      <c r="I135" s="8"/>
      <c r="J135" s="2"/>
      <c r="K135" s="9" t="str">
        <f t="shared" si="6"/>
        <v>_00</v>
      </c>
      <c r="L135" s="10" t="str">
        <f t="shared" si="7"/>
        <v>SSEMG__20260223_00</v>
      </c>
      <c r="M135" s="10" t="str">
        <f t="shared" si="8"/>
        <v>SSEMG__IS_20260223_0000</v>
      </c>
      <c r="N135" t="b">
        <f>IF(ROW()-ROW($N$1) &lt;= FILLME!$G$4, TRUE, FALSE)</f>
        <v>0</v>
      </c>
      <c r="O135" t="b">
        <f>IF(ROW()-ROW($O$1) &lt;= FILLME!$G$5, TRUE, FALSE)</f>
        <v>0</v>
      </c>
      <c r="P135" t="b">
        <f>IF(ROW()-ROW($P$1) &lt;= FILLME!$G$7, TRUE, FALSE)</f>
        <v>0</v>
      </c>
      <c r="Q135" t="b">
        <f>IF(ROW()-ROW($Q$1) &lt;= FILLME!$G$6, TRUE, FALSE)</f>
        <v>0</v>
      </c>
      <c r="R135" t="b">
        <f>IF(ROW()-ROW($R$1) &lt;= FILLME!$G$8, TRUE, FALSE)</f>
        <v>0</v>
      </c>
      <c r="S135" t="b">
        <f>IF(ROW()-ROW($S$1) &lt;= FILLME!$G$9, TRUE, FALSE)</f>
        <v>0</v>
      </c>
      <c r="T135" t="b">
        <f>IF(ROW()-ROW($T$1) &lt;= FILLME!$G$10, TRUE, FALSE)</f>
        <v>0</v>
      </c>
      <c r="U135" t="b">
        <f>IF(ROW()-ROW($U$1) &lt;= FILLME!$G$11, TRUE, FALSE)</f>
        <v>0</v>
      </c>
    </row>
    <row r="136" spans="1:21" x14ac:dyDescent="0.25">
      <c r="A136" s="7" t="str">
        <f>FILLME!$B$7</f>
        <v>ISCO</v>
      </c>
      <c r="B136" t="str">
        <f>IF(FILLME!$B$3 = "", "", FILLME!$B$3)</f>
        <v/>
      </c>
      <c r="C136" s="67" t="str">
        <f>IF(FILLME!$B$7="ISCO",FILLME!$E$4,IF(FILLME!$B$7="Grab",FILLME!$E$5))</f>
        <v>IS</v>
      </c>
      <c r="D136" t="str">
        <f>IF(FILLME!$B$4 = "", "", FILLME!$B$4)</f>
        <v>SSEMG</v>
      </c>
      <c r="E136" s="7" t="str">
        <f>TEXT(FILLME!$B$6,"yyyymmdd")</f>
        <v>20260223</v>
      </c>
      <c r="F136" s="8"/>
      <c r="G136" s="7">
        <f>IF(FILLME!$B$7="ISCO",FILLME!$B$6+FILLME!$B$11+(FILLME!$B$13*(H136-FILLME!$B$14)),FILLME!$B$6)</f>
        <v>46076.916666666664</v>
      </c>
      <c r="H136" s="8"/>
      <c r="I136" s="8"/>
      <c r="J136" s="2"/>
      <c r="K136" s="9" t="str">
        <f t="shared" si="6"/>
        <v>_00</v>
      </c>
      <c r="L136" s="10" t="str">
        <f t="shared" si="7"/>
        <v>SSEMG__20260223_00</v>
      </c>
      <c r="M136" s="10" t="str">
        <f t="shared" si="8"/>
        <v>SSEMG__IS_20260223_0000</v>
      </c>
      <c r="N136" t="b">
        <f>IF(ROW()-ROW($N$1) &lt;= FILLME!$G$4, TRUE, FALSE)</f>
        <v>0</v>
      </c>
      <c r="O136" t="b">
        <f>IF(ROW()-ROW($O$1) &lt;= FILLME!$G$5, TRUE, FALSE)</f>
        <v>0</v>
      </c>
      <c r="P136" t="b">
        <f>IF(ROW()-ROW($P$1) &lt;= FILLME!$G$7, TRUE, FALSE)</f>
        <v>0</v>
      </c>
      <c r="Q136" t="b">
        <f>IF(ROW()-ROW($Q$1) &lt;= FILLME!$G$6, TRUE, FALSE)</f>
        <v>0</v>
      </c>
      <c r="R136" t="b">
        <f>IF(ROW()-ROW($R$1) &lt;= FILLME!$G$8, TRUE, FALSE)</f>
        <v>0</v>
      </c>
      <c r="S136" t="b">
        <f>IF(ROW()-ROW($S$1) &lt;= FILLME!$G$9, TRUE, FALSE)</f>
        <v>0</v>
      </c>
      <c r="T136" t="b">
        <f>IF(ROW()-ROW($T$1) &lt;= FILLME!$G$10, TRUE, FALSE)</f>
        <v>0</v>
      </c>
      <c r="U136" t="b">
        <f>IF(ROW()-ROW($U$1) &lt;= FILLME!$G$11, TRUE, FALSE)</f>
        <v>0</v>
      </c>
    </row>
    <row r="137" spans="1:21" x14ac:dyDescent="0.25">
      <c r="A137" s="7" t="str">
        <f>FILLME!$B$7</f>
        <v>ISCO</v>
      </c>
      <c r="B137" t="str">
        <f>IF(FILLME!$B$3 = "", "", FILLME!$B$3)</f>
        <v/>
      </c>
      <c r="C137" s="67" t="str">
        <f>IF(FILLME!$B$7="ISCO",FILLME!$E$4,IF(FILLME!$B$7="Grab",FILLME!$E$5))</f>
        <v>IS</v>
      </c>
      <c r="D137" t="str">
        <f>IF(FILLME!$B$4 = "", "", FILLME!$B$4)</f>
        <v>SSEMG</v>
      </c>
      <c r="E137" s="7" t="str">
        <f>TEXT(FILLME!$B$6,"yyyymmdd")</f>
        <v>20260223</v>
      </c>
      <c r="F137" s="8"/>
      <c r="G137" s="7">
        <f>IF(FILLME!$B$7="ISCO",FILLME!$B$6+FILLME!$B$11+(FILLME!$B$13*(H137-FILLME!$B$14)),FILLME!$B$6)</f>
        <v>46076.916666666664</v>
      </c>
      <c r="H137" s="8"/>
      <c r="I137" s="8"/>
      <c r="J137" s="2"/>
      <c r="K137" s="9" t="str">
        <f t="shared" si="6"/>
        <v>_00</v>
      </c>
      <c r="L137" s="10" t="str">
        <f t="shared" si="7"/>
        <v>SSEMG__20260223_00</v>
      </c>
      <c r="M137" s="10" t="str">
        <f t="shared" si="8"/>
        <v>SSEMG__IS_20260223_0000</v>
      </c>
      <c r="N137" t="b">
        <f>IF(ROW()-ROW($N$1) &lt;= FILLME!$G$4, TRUE, FALSE)</f>
        <v>0</v>
      </c>
      <c r="O137" t="b">
        <f>IF(ROW()-ROW($O$1) &lt;= FILLME!$G$5, TRUE, FALSE)</f>
        <v>0</v>
      </c>
      <c r="P137" t="b">
        <f>IF(ROW()-ROW($P$1) &lt;= FILLME!$G$7, TRUE, FALSE)</f>
        <v>0</v>
      </c>
      <c r="Q137" t="b">
        <f>IF(ROW()-ROW($Q$1) &lt;= FILLME!$G$6, TRUE, FALSE)</f>
        <v>0</v>
      </c>
      <c r="R137" t="b">
        <f>IF(ROW()-ROW($R$1) &lt;= FILLME!$G$8, TRUE, FALSE)</f>
        <v>0</v>
      </c>
      <c r="S137" t="b">
        <f>IF(ROW()-ROW($S$1) &lt;= FILLME!$G$9, TRUE, FALSE)</f>
        <v>0</v>
      </c>
      <c r="T137" t="b">
        <f>IF(ROW()-ROW($T$1) &lt;= FILLME!$G$10, TRUE, FALSE)</f>
        <v>0</v>
      </c>
      <c r="U137" t="b">
        <f>IF(ROW()-ROW($U$1) &lt;= FILLME!$G$11, TRUE, FALSE)</f>
        <v>0</v>
      </c>
    </row>
    <row r="138" spans="1:21" x14ac:dyDescent="0.25">
      <c r="A138" s="7" t="str">
        <f>FILLME!$B$7</f>
        <v>ISCO</v>
      </c>
      <c r="B138" t="str">
        <f>IF(FILLME!$B$3 = "", "", FILLME!$B$3)</f>
        <v/>
      </c>
      <c r="C138" s="67" t="str">
        <f>IF(FILLME!$B$7="ISCO",FILLME!$E$4,IF(FILLME!$B$7="Grab",FILLME!$E$5))</f>
        <v>IS</v>
      </c>
      <c r="D138" t="str">
        <f>IF(FILLME!$B$4 = "", "", FILLME!$B$4)</f>
        <v>SSEMG</v>
      </c>
      <c r="E138" s="7" t="str">
        <f>TEXT(FILLME!$B$6,"yyyymmdd")</f>
        <v>20260223</v>
      </c>
      <c r="F138" s="8"/>
      <c r="G138" s="7">
        <f>IF(FILLME!$B$7="ISCO",FILLME!$B$6+FILLME!$B$11+(FILLME!$B$13*(H138-FILLME!$B$14)),FILLME!$B$6)</f>
        <v>46076.916666666664</v>
      </c>
      <c r="H138" s="8"/>
      <c r="I138" s="8"/>
      <c r="J138" s="2"/>
      <c r="K138" s="9" t="str">
        <f t="shared" si="6"/>
        <v>_00</v>
      </c>
      <c r="L138" s="10" t="str">
        <f t="shared" si="7"/>
        <v>SSEMG__20260223_00</v>
      </c>
      <c r="M138" s="10" t="str">
        <f t="shared" si="8"/>
        <v>SSEMG__IS_20260223_0000</v>
      </c>
      <c r="N138" t="b">
        <f>IF(ROW()-ROW($N$1) &lt;= FILLME!$G$4, TRUE, FALSE)</f>
        <v>0</v>
      </c>
      <c r="O138" t="b">
        <f>IF(ROW()-ROW($O$1) &lt;= FILLME!$G$5, TRUE, FALSE)</f>
        <v>0</v>
      </c>
      <c r="P138" t="b">
        <f>IF(ROW()-ROW($P$1) &lt;= FILLME!$G$7, TRUE, FALSE)</f>
        <v>0</v>
      </c>
      <c r="Q138" t="b">
        <f>IF(ROW()-ROW($Q$1) &lt;= FILLME!$G$6, TRUE, FALSE)</f>
        <v>0</v>
      </c>
      <c r="R138" t="b">
        <f>IF(ROW()-ROW($R$1) &lt;= FILLME!$G$8, TRUE, FALSE)</f>
        <v>0</v>
      </c>
      <c r="S138" t="b">
        <f>IF(ROW()-ROW($S$1) &lt;= FILLME!$G$9, TRUE, FALSE)</f>
        <v>0</v>
      </c>
      <c r="T138" t="b">
        <f>IF(ROW()-ROW($T$1) &lt;= FILLME!$G$10, TRUE, FALSE)</f>
        <v>0</v>
      </c>
      <c r="U138" t="b">
        <f>IF(ROW()-ROW($U$1) &lt;= FILLME!$G$11, TRUE, FALSE)</f>
        <v>0</v>
      </c>
    </row>
    <row r="139" spans="1:21" x14ac:dyDescent="0.25">
      <c r="A139" s="7" t="str">
        <f>FILLME!$B$7</f>
        <v>ISCO</v>
      </c>
      <c r="B139" t="str">
        <f>IF(FILLME!$B$3 = "", "", FILLME!$B$3)</f>
        <v/>
      </c>
      <c r="C139" s="67" t="str">
        <f>IF(FILLME!$B$7="ISCO",FILLME!$E$4,IF(FILLME!$B$7="Grab",FILLME!$E$5))</f>
        <v>IS</v>
      </c>
      <c r="D139" t="str">
        <f>IF(FILLME!$B$4 = "", "", FILLME!$B$4)</f>
        <v>SSEMG</v>
      </c>
      <c r="E139" s="7" t="str">
        <f>TEXT(FILLME!$B$6,"yyyymmdd")</f>
        <v>20260223</v>
      </c>
      <c r="F139" s="8"/>
      <c r="G139" s="7">
        <f>IF(FILLME!$B$7="ISCO",FILLME!$B$6+FILLME!$B$11+(FILLME!$B$13*(H139-FILLME!$B$14)),FILLME!$B$6)</f>
        <v>46076.916666666664</v>
      </c>
      <c r="H139" s="8"/>
      <c r="I139" s="8"/>
      <c r="J139" s="2"/>
      <c r="K139" s="9" t="str">
        <f t="shared" si="6"/>
        <v>_00</v>
      </c>
      <c r="L139" s="10" t="str">
        <f t="shared" si="7"/>
        <v>SSEMG__20260223_00</v>
      </c>
      <c r="M139" s="10" t="str">
        <f t="shared" si="8"/>
        <v>SSEMG__IS_20260223_0000</v>
      </c>
      <c r="N139" t="b">
        <f>IF(ROW()-ROW($N$1) &lt;= FILLME!$G$4, TRUE, FALSE)</f>
        <v>0</v>
      </c>
      <c r="O139" t="b">
        <f>IF(ROW()-ROW($O$1) &lt;= FILLME!$G$5, TRUE, FALSE)</f>
        <v>0</v>
      </c>
      <c r="P139" t="b">
        <f>IF(ROW()-ROW($P$1) &lt;= FILLME!$G$7, TRUE, FALSE)</f>
        <v>0</v>
      </c>
      <c r="Q139" t="b">
        <f>IF(ROW()-ROW($Q$1) &lt;= FILLME!$G$6, TRUE, FALSE)</f>
        <v>0</v>
      </c>
      <c r="R139" t="b">
        <f>IF(ROW()-ROW($R$1) &lt;= FILLME!$G$8, TRUE, FALSE)</f>
        <v>0</v>
      </c>
      <c r="S139" t="b">
        <f>IF(ROW()-ROW($S$1) &lt;= FILLME!$G$9, TRUE, FALSE)</f>
        <v>0</v>
      </c>
      <c r="T139" t="b">
        <f>IF(ROW()-ROW($T$1) &lt;= FILLME!$G$10, TRUE, FALSE)</f>
        <v>0</v>
      </c>
      <c r="U139" t="b">
        <f>IF(ROW()-ROW($U$1) &lt;= FILLME!$G$11, TRUE, FALSE)</f>
        <v>0</v>
      </c>
    </row>
    <row r="140" spans="1:21" x14ac:dyDescent="0.25">
      <c r="A140" s="7" t="str">
        <f>FILLME!$B$7</f>
        <v>ISCO</v>
      </c>
      <c r="B140" t="str">
        <f>IF(FILLME!$B$3 = "", "", FILLME!$B$3)</f>
        <v/>
      </c>
      <c r="C140" s="67" t="str">
        <f>IF(FILLME!$B$7="ISCO",FILLME!$E$4,IF(FILLME!$B$7="Grab",FILLME!$E$5))</f>
        <v>IS</v>
      </c>
      <c r="D140" t="str">
        <f>IF(FILLME!$B$4 = "", "", FILLME!$B$4)</f>
        <v>SSEMG</v>
      </c>
      <c r="E140" s="7" t="str">
        <f>TEXT(FILLME!$B$6,"yyyymmdd")</f>
        <v>20260223</v>
      </c>
      <c r="F140" s="8"/>
      <c r="G140" s="7">
        <f>IF(FILLME!$B$7="ISCO",FILLME!$B$6+FILLME!$B$11+(FILLME!$B$13*(H140-FILLME!$B$14)),FILLME!$B$6)</f>
        <v>46076.916666666664</v>
      </c>
      <c r="H140" s="8"/>
      <c r="I140" s="8"/>
      <c r="J140" s="2"/>
      <c r="K140" s="9" t="str">
        <f t="shared" si="6"/>
        <v>_00</v>
      </c>
      <c r="L140" s="10" t="str">
        <f t="shared" si="7"/>
        <v>SSEMG__20260223_00</v>
      </c>
      <c r="M140" s="10" t="str">
        <f t="shared" si="8"/>
        <v>SSEMG__IS_20260223_0000</v>
      </c>
      <c r="N140" t="b">
        <f>IF(ROW()-ROW($N$1) &lt;= FILLME!$G$4, TRUE, FALSE)</f>
        <v>0</v>
      </c>
      <c r="O140" t="b">
        <f>IF(ROW()-ROW($O$1) &lt;= FILLME!$G$5, TRUE, FALSE)</f>
        <v>0</v>
      </c>
      <c r="P140" t="b">
        <f>IF(ROW()-ROW($P$1) &lt;= FILLME!$G$7, TRUE, FALSE)</f>
        <v>0</v>
      </c>
      <c r="Q140" t="b">
        <f>IF(ROW()-ROW($Q$1) &lt;= FILLME!$G$6, TRUE, FALSE)</f>
        <v>0</v>
      </c>
      <c r="R140" t="b">
        <f>IF(ROW()-ROW($R$1) &lt;= FILLME!$G$8, TRUE, FALSE)</f>
        <v>0</v>
      </c>
      <c r="S140" t="b">
        <f>IF(ROW()-ROW($S$1) &lt;= FILLME!$G$9, TRUE, FALSE)</f>
        <v>0</v>
      </c>
      <c r="T140" t="b">
        <f>IF(ROW()-ROW($T$1) &lt;= FILLME!$G$10, TRUE, FALSE)</f>
        <v>0</v>
      </c>
      <c r="U140" t="b">
        <f>IF(ROW()-ROW($U$1) &lt;= FILLME!$G$11, TRUE, FALSE)</f>
        <v>0</v>
      </c>
    </row>
    <row r="141" spans="1:21" x14ac:dyDescent="0.25">
      <c r="A141" s="7" t="str">
        <f>FILLME!$B$7</f>
        <v>ISCO</v>
      </c>
      <c r="B141" t="str">
        <f>IF(FILLME!$B$3 = "", "", FILLME!$B$3)</f>
        <v/>
      </c>
      <c r="C141" s="67" t="str">
        <f>IF(FILLME!$B$7="ISCO",FILLME!$E$4,IF(FILLME!$B$7="Grab",FILLME!$E$5))</f>
        <v>IS</v>
      </c>
      <c r="D141" t="str">
        <f>IF(FILLME!$B$4 = "", "", FILLME!$B$4)</f>
        <v>SSEMG</v>
      </c>
      <c r="E141" s="7" t="str">
        <f>TEXT(FILLME!$B$6,"yyyymmdd")</f>
        <v>20260223</v>
      </c>
      <c r="F141" s="8"/>
      <c r="G141" s="7">
        <f>IF(FILLME!$B$7="ISCO",FILLME!$B$6+FILLME!$B$11+(FILLME!$B$13*(H141-FILLME!$B$14)),FILLME!$B$6)</f>
        <v>46076.916666666664</v>
      </c>
      <c r="H141" s="8"/>
      <c r="I141" s="8"/>
      <c r="J141" s="2"/>
      <c r="K141" s="9" t="str">
        <f t="shared" si="6"/>
        <v>_00</v>
      </c>
      <c r="L141" s="10" t="str">
        <f t="shared" si="7"/>
        <v>SSEMG__20260223_00</v>
      </c>
      <c r="M141" s="10" t="str">
        <f t="shared" si="8"/>
        <v>SSEMG__IS_20260223_0000</v>
      </c>
      <c r="N141" t="b">
        <f>IF(ROW()-ROW($N$1) &lt;= FILLME!$G$4, TRUE, FALSE)</f>
        <v>0</v>
      </c>
      <c r="O141" t="b">
        <f>IF(ROW()-ROW($O$1) &lt;= FILLME!$G$5, TRUE, FALSE)</f>
        <v>0</v>
      </c>
      <c r="P141" t="b">
        <f>IF(ROW()-ROW($P$1) &lt;= FILLME!$G$7, TRUE, FALSE)</f>
        <v>0</v>
      </c>
      <c r="Q141" t="b">
        <f>IF(ROW()-ROW($Q$1) &lt;= FILLME!$G$6, TRUE, FALSE)</f>
        <v>0</v>
      </c>
      <c r="R141" t="b">
        <f>IF(ROW()-ROW($R$1) &lt;= FILLME!$G$8, TRUE, FALSE)</f>
        <v>0</v>
      </c>
      <c r="S141" t="b">
        <f>IF(ROW()-ROW($S$1) &lt;= FILLME!$G$9, TRUE, FALSE)</f>
        <v>0</v>
      </c>
      <c r="T141" t="b">
        <f>IF(ROW()-ROW($T$1) &lt;= FILLME!$G$10, TRUE, FALSE)</f>
        <v>0</v>
      </c>
      <c r="U141" t="b">
        <f>IF(ROW()-ROW($U$1) &lt;= FILLME!$G$11, TRUE, FALSE)</f>
        <v>0</v>
      </c>
    </row>
    <row r="142" spans="1:21" x14ac:dyDescent="0.25">
      <c r="A142" s="7" t="str">
        <f>FILLME!$B$7</f>
        <v>ISCO</v>
      </c>
      <c r="B142" t="str">
        <f>IF(FILLME!$B$3 = "", "", FILLME!$B$3)</f>
        <v/>
      </c>
      <c r="C142" s="67" t="str">
        <f>IF(FILLME!$B$7="ISCO",FILLME!$E$4,IF(FILLME!$B$7="Grab",FILLME!$E$5))</f>
        <v>IS</v>
      </c>
      <c r="D142" t="str">
        <f>IF(FILLME!$B$4 = "", "", FILLME!$B$4)</f>
        <v>SSEMG</v>
      </c>
      <c r="E142" s="7" t="str">
        <f>TEXT(FILLME!$B$6,"yyyymmdd")</f>
        <v>20260223</v>
      </c>
      <c r="F142" s="8"/>
      <c r="G142" s="7">
        <f>IF(FILLME!$B$7="ISCO",FILLME!$B$6+FILLME!$B$11+(FILLME!$B$13*(H142-FILLME!$B$14)),FILLME!$B$6)</f>
        <v>46076.916666666664</v>
      </c>
      <c r="H142" s="8"/>
      <c r="I142" s="8"/>
      <c r="J142" s="2"/>
      <c r="K142" s="9" t="str">
        <f t="shared" si="6"/>
        <v>_00</v>
      </c>
      <c r="L142" s="10" t="str">
        <f t="shared" si="7"/>
        <v>SSEMG__20260223_00</v>
      </c>
      <c r="M142" s="10" t="str">
        <f t="shared" si="8"/>
        <v>SSEMG__IS_20260223_0000</v>
      </c>
      <c r="N142" t="b">
        <f>IF(ROW()-ROW($N$1) &lt;= FILLME!$G$4, TRUE, FALSE)</f>
        <v>0</v>
      </c>
      <c r="O142" t="b">
        <f>IF(ROW()-ROW($O$1) &lt;= FILLME!$G$5, TRUE, FALSE)</f>
        <v>0</v>
      </c>
      <c r="P142" t="b">
        <f>IF(ROW()-ROW($P$1) &lt;= FILLME!$G$7, TRUE, FALSE)</f>
        <v>0</v>
      </c>
      <c r="Q142" t="b">
        <f>IF(ROW()-ROW($Q$1) &lt;= FILLME!$G$6, TRUE, FALSE)</f>
        <v>0</v>
      </c>
      <c r="R142" t="b">
        <f>IF(ROW()-ROW($R$1) &lt;= FILLME!$G$8, TRUE, FALSE)</f>
        <v>0</v>
      </c>
      <c r="S142" t="b">
        <f>IF(ROW()-ROW($S$1) &lt;= FILLME!$G$9, TRUE, FALSE)</f>
        <v>0</v>
      </c>
      <c r="T142" t="b">
        <f>IF(ROW()-ROW($T$1) &lt;= FILLME!$G$10, TRUE, FALSE)</f>
        <v>0</v>
      </c>
      <c r="U142" t="b">
        <f>IF(ROW()-ROW($U$1) &lt;= FILLME!$G$11, TRUE, FALSE)</f>
        <v>0</v>
      </c>
    </row>
    <row r="143" spans="1:21" x14ac:dyDescent="0.25">
      <c r="A143" s="7" t="str">
        <f>FILLME!$B$7</f>
        <v>ISCO</v>
      </c>
      <c r="B143" t="str">
        <f>IF(FILLME!$B$3 = "", "", FILLME!$B$3)</f>
        <v/>
      </c>
      <c r="C143" s="67" t="str">
        <f>IF(FILLME!$B$7="ISCO",FILLME!$E$4,IF(FILLME!$B$7="Grab",FILLME!$E$5))</f>
        <v>IS</v>
      </c>
      <c r="D143" t="str">
        <f>IF(FILLME!$B$4 = "", "", FILLME!$B$4)</f>
        <v>SSEMG</v>
      </c>
      <c r="E143" s="7" t="str">
        <f>TEXT(FILLME!$B$6,"yyyymmdd")</f>
        <v>20260223</v>
      </c>
      <c r="F143" s="8"/>
      <c r="G143" s="7">
        <f>IF(FILLME!$B$7="ISCO",FILLME!$B$6+FILLME!$B$11+(FILLME!$B$13*(H143-FILLME!$B$14)),FILLME!$B$6)</f>
        <v>46076.916666666664</v>
      </c>
      <c r="H143" s="8"/>
      <c r="I143" s="8"/>
      <c r="J143" s="2"/>
      <c r="K143" s="9" t="str">
        <f t="shared" si="6"/>
        <v>_00</v>
      </c>
      <c r="L143" s="10" t="str">
        <f t="shared" si="7"/>
        <v>SSEMG__20260223_00</v>
      </c>
      <c r="M143" s="10" t="str">
        <f t="shared" si="8"/>
        <v>SSEMG__IS_20260223_0000</v>
      </c>
      <c r="N143" t="b">
        <f>IF(ROW()-ROW($N$1) &lt;= FILLME!$G$4, TRUE, FALSE)</f>
        <v>0</v>
      </c>
      <c r="O143" t="b">
        <f>IF(ROW()-ROW($O$1) &lt;= FILLME!$G$5, TRUE, FALSE)</f>
        <v>0</v>
      </c>
      <c r="P143" t="b">
        <f>IF(ROW()-ROW($P$1) &lt;= FILLME!$G$7, TRUE, FALSE)</f>
        <v>0</v>
      </c>
      <c r="Q143" t="b">
        <f>IF(ROW()-ROW($Q$1) &lt;= FILLME!$G$6, TRUE, FALSE)</f>
        <v>0</v>
      </c>
      <c r="R143" t="b">
        <f>IF(ROW()-ROW($R$1) &lt;= FILLME!$G$8, TRUE, FALSE)</f>
        <v>0</v>
      </c>
      <c r="S143" t="b">
        <f>IF(ROW()-ROW($S$1) &lt;= FILLME!$G$9, TRUE, FALSE)</f>
        <v>0</v>
      </c>
      <c r="T143" t="b">
        <f>IF(ROW()-ROW($T$1) &lt;= FILLME!$G$10, TRUE, FALSE)</f>
        <v>0</v>
      </c>
      <c r="U143" t="b">
        <f>IF(ROW()-ROW($U$1) &lt;= FILLME!$G$11, TRUE, FALSE)</f>
        <v>0</v>
      </c>
    </row>
    <row r="144" spans="1:21" x14ac:dyDescent="0.25">
      <c r="A144" s="7" t="str">
        <f>FILLME!$B$7</f>
        <v>ISCO</v>
      </c>
      <c r="B144" t="str">
        <f>IF(FILLME!$B$3 = "", "", FILLME!$B$3)</f>
        <v/>
      </c>
      <c r="C144" s="67" t="str">
        <f>IF(FILLME!$B$7="ISCO",FILLME!$E$4,IF(FILLME!$B$7="Grab",FILLME!$E$5))</f>
        <v>IS</v>
      </c>
      <c r="D144" t="str">
        <f>IF(FILLME!$B$4 = "", "", FILLME!$B$4)</f>
        <v>SSEMG</v>
      </c>
      <c r="E144" s="7" t="str">
        <f>TEXT(FILLME!$B$6,"yyyymmdd")</f>
        <v>20260223</v>
      </c>
      <c r="F144" s="8"/>
      <c r="G144" s="7">
        <f>IF(FILLME!$B$7="ISCO",FILLME!$B$6+FILLME!$B$11+(FILLME!$B$13*(H144-FILLME!$B$14)),FILLME!$B$6)</f>
        <v>46076.916666666664</v>
      </c>
      <c r="H144" s="8"/>
      <c r="I144" s="8"/>
      <c r="J144" s="2"/>
      <c r="K144" s="9" t="str">
        <f t="shared" si="6"/>
        <v>_00</v>
      </c>
      <c r="L144" s="10" t="str">
        <f t="shared" si="7"/>
        <v>SSEMG__20260223_00</v>
      </c>
      <c r="M144" s="10" t="str">
        <f t="shared" si="8"/>
        <v>SSEMG__IS_20260223_0000</v>
      </c>
      <c r="N144" t="b">
        <f>IF(ROW()-ROW($N$1) &lt;= FILLME!$G$4, TRUE, FALSE)</f>
        <v>0</v>
      </c>
      <c r="O144" t="b">
        <f>IF(ROW()-ROW($O$1) &lt;= FILLME!$G$5, TRUE, FALSE)</f>
        <v>0</v>
      </c>
      <c r="P144" t="b">
        <f>IF(ROW()-ROW($P$1) &lt;= FILLME!$G$7, TRUE, FALSE)</f>
        <v>0</v>
      </c>
      <c r="Q144" t="b">
        <f>IF(ROW()-ROW($Q$1) &lt;= FILLME!$G$6, TRUE, FALSE)</f>
        <v>0</v>
      </c>
      <c r="R144" t="b">
        <f>IF(ROW()-ROW($R$1) &lt;= FILLME!$G$8, TRUE, FALSE)</f>
        <v>0</v>
      </c>
      <c r="S144" t="b">
        <f>IF(ROW()-ROW($S$1) &lt;= FILLME!$G$9, TRUE, FALSE)</f>
        <v>0</v>
      </c>
      <c r="T144" t="b">
        <f>IF(ROW()-ROW($T$1) &lt;= FILLME!$G$10, TRUE, FALSE)</f>
        <v>0</v>
      </c>
      <c r="U144" t="b">
        <f>IF(ROW()-ROW($U$1) &lt;= FILLME!$G$11, TRUE, FALSE)</f>
        <v>0</v>
      </c>
    </row>
    <row r="145" spans="1:21" x14ac:dyDescent="0.25">
      <c r="A145" s="7" t="str">
        <f>FILLME!$B$7</f>
        <v>ISCO</v>
      </c>
      <c r="B145" t="str">
        <f>IF(FILLME!$B$3 = "", "", FILLME!$B$3)</f>
        <v/>
      </c>
      <c r="C145" s="67" t="str">
        <f>IF(FILLME!$B$7="ISCO",FILLME!$E$4,IF(FILLME!$B$7="Grab",FILLME!$E$5))</f>
        <v>IS</v>
      </c>
      <c r="D145" t="str">
        <f>IF(FILLME!$B$4 = "", "", FILLME!$B$4)</f>
        <v>SSEMG</v>
      </c>
      <c r="E145" s="7" t="str">
        <f>TEXT(FILLME!$B$6,"yyyymmdd")</f>
        <v>20260223</v>
      </c>
      <c r="F145" s="8"/>
      <c r="G145" s="7">
        <f>IF(FILLME!$B$7="ISCO",FILLME!$B$6+FILLME!$B$11+(FILLME!$B$13*(H145-FILLME!$B$14)),FILLME!$B$6)</f>
        <v>46076.916666666664</v>
      </c>
      <c r="H145" s="8"/>
      <c r="I145" s="8"/>
      <c r="J145" s="2"/>
      <c r="K145" s="9" t="str">
        <f t="shared" si="6"/>
        <v>_00</v>
      </c>
      <c r="L145" s="10" t="str">
        <f t="shared" si="7"/>
        <v>SSEMG__20260223_00</v>
      </c>
      <c r="M145" s="10" t="str">
        <f t="shared" si="8"/>
        <v>SSEMG__IS_20260223_0000</v>
      </c>
      <c r="N145" t="b">
        <f>IF(ROW()-ROW($N$1) &lt;= FILLME!$G$4, TRUE, FALSE)</f>
        <v>0</v>
      </c>
      <c r="O145" t="b">
        <f>IF(ROW()-ROW($O$1) &lt;= FILLME!$G$5, TRUE, FALSE)</f>
        <v>0</v>
      </c>
      <c r="P145" t="b">
        <f>IF(ROW()-ROW($P$1) &lt;= FILLME!$G$7, TRUE, FALSE)</f>
        <v>0</v>
      </c>
      <c r="Q145" t="b">
        <f>IF(ROW()-ROW($Q$1) &lt;= FILLME!$G$6, TRUE, FALSE)</f>
        <v>0</v>
      </c>
      <c r="R145" t="b">
        <f>IF(ROW()-ROW($R$1) &lt;= FILLME!$G$8, TRUE, FALSE)</f>
        <v>0</v>
      </c>
      <c r="S145" t="b">
        <f>IF(ROW()-ROW($S$1) &lt;= FILLME!$G$9, TRUE, FALSE)</f>
        <v>0</v>
      </c>
      <c r="T145" t="b">
        <f>IF(ROW()-ROW($T$1) &lt;= FILLME!$G$10, TRUE, FALSE)</f>
        <v>0</v>
      </c>
      <c r="U145" t="b">
        <f>IF(ROW()-ROW($U$1) &lt;= FILLME!$G$11, TRUE, FALSE)</f>
        <v>0</v>
      </c>
    </row>
    <row r="146" spans="1:21" x14ac:dyDescent="0.25">
      <c r="A146" s="7" t="str">
        <f>FILLME!$B$7</f>
        <v>ISCO</v>
      </c>
      <c r="B146" t="str">
        <f>IF(FILLME!$B$3 = "", "", FILLME!$B$3)</f>
        <v/>
      </c>
      <c r="C146" s="67" t="str">
        <f>IF(FILLME!$B$7="ISCO",FILLME!$E$4,IF(FILLME!$B$7="Grab",FILLME!$E$5))</f>
        <v>IS</v>
      </c>
      <c r="D146" t="str">
        <f>IF(FILLME!$B$4 = "", "", FILLME!$B$4)</f>
        <v>SSEMG</v>
      </c>
      <c r="E146" s="7" t="str">
        <f>TEXT(FILLME!$B$6,"yyyymmdd")</f>
        <v>20260223</v>
      </c>
      <c r="F146" s="8"/>
      <c r="G146" s="7">
        <f>IF(FILLME!$B$7="ISCO",FILLME!$B$6+FILLME!$B$11+(FILLME!$B$13*(H146-FILLME!$B$14)),FILLME!$B$6)</f>
        <v>46076.916666666664</v>
      </c>
      <c r="H146" s="8"/>
      <c r="I146" s="8"/>
      <c r="J146" s="2"/>
      <c r="K146" s="9" t="str">
        <f t="shared" si="6"/>
        <v>_00</v>
      </c>
      <c r="L146" s="10" t="str">
        <f t="shared" si="7"/>
        <v>SSEMG__20260223_00</v>
      </c>
      <c r="M146" s="10" t="str">
        <f t="shared" si="8"/>
        <v>SSEMG__IS_20260223_0000</v>
      </c>
      <c r="N146" t="b">
        <f>IF(ROW()-ROW($N$1) &lt;= FILLME!$G$4, TRUE, FALSE)</f>
        <v>0</v>
      </c>
      <c r="O146" t="b">
        <f>IF(ROW()-ROW($O$1) &lt;= FILLME!$G$5, TRUE, FALSE)</f>
        <v>0</v>
      </c>
      <c r="P146" t="b">
        <f>IF(ROW()-ROW($P$1) &lt;= FILLME!$G$7, TRUE, FALSE)</f>
        <v>0</v>
      </c>
      <c r="Q146" t="b">
        <f>IF(ROW()-ROW($Q$1) &lt;= FILLME!$G$6, TRUE, FALSE)</f>
        <v>0</v>
      </c>
      <c r="R146" t="b">
        <f>IF(ROW()-ROW($R$1) &lt;= FILLME!$G$8, TRUE, FALSE)</f>
        <v>0</v>
      </c>
      <c r="S146" t="b">
        <f>IF(ROW()-ROW($S$1) &lt;= FILLME!$G$9, TRUE, FALSE)</f>
        <v>0</v>
      </c>
      <c r="T146" t="b">
        <f>IF(ROW()-ROW($T$1) &lt;= FILLME!$G$10, TRUE, FALSE)</f>
        <v>0</v>
      </c>
      <c r="U146" t="b">
        <f>IF(ROW()-ROW($U$1) &lt;= FILLME!$G$11, TRUE, FALSE)</f>
        <v>0</v>
      </c>
    </row>
    <row r="147" spans="1:21" x14ac:dyDescent="0.25">
      <c r="A147" s="7" t="str">
        <f>FILLME!$B$7</f>
        <v>ISCO</v>
      </c>
      <c r="B147" t="str">
        <f>IF(FILLME!$B$3 = "", "", FILLME!$B$3)</f>
        <v/>
      </c>
      <c r="C147" s="67" t="str">
        <f>IF(FILLME!$B$7="ISCO",FILLME!$E$4,IF(FILLME!$B$7="Grab",FILLME!$E$5))</f>
        <v>IS</v>
      </c>
      <c r="D147" t="str">
        <f>IF(FILLME!$B$4 = "", "", FILLME!$B$4)</f>
        <v>SSEMG</v>
      </c>
      <c r="E147" s="7" t="str">
        <f>TEXT(FILLME!$B$6,"yyyymmdd")</f>
        <v>20260223</v>
      </c>
      <c r="F147" s="8"/>
      <c r="G147" s="7">
        <f>IF(FILLME!$B$7="ISCO",FILLME!$B$6+FILLME!$B$11+(FILLME!$B$13*(H147-FILLME!$B$14)),FILLME!$B$6)</f>
        <v>46076.916666666664</v>
      </c>
      <c r="H147" s="8"/>
      <c r="I147" s="8"/>
      <c r="J147" s="2"/>
      <c r="K147" s="9" t="str">
        <f t="shared" si="6"/>
        <v>_00</v>
      </c>
      <c r="L147" s="10" t="str">
        <f t="shared" si="7"/>
        <v>SSEMG__20260223_00</v>
      </c>
      <c r="M147" s="10" t="str">
        <f t="shared" si="8"/>
        <v>SSEMG__IS_20260223_0000</v>
      </c>
      <c r="N147" t="b">
        <f>IF(ROW()-ROW($N$1) &lt;= FILLME!$G$4, TRUE, FALSE)</f>
        <v>0</v>
      </c>
      <c r="O147" t="b">
        <f>IF(ROW()-ROW($O$1) &lt;= FILLME!$G$5, TRUE, FALSE)</f>
        <v>0</v>
      </c>
      <c r="P147" t="b">
        <f>IF(ROW()-ROW($P$1) &lt;= FILLME!$G$7, TRUE, FALSE)</f>
        <v>0</v>
      </c>
      <c r="Q147" t="b">
        <f>IF(ROW()-ROW($Q$1) &lt;= FILLME!$G$6, TRUE, FALSE)</f>
        <v>0</v>
      </c>
      <c r="R147" t="b">
        <f>IF(ROW()-ROW($R$1) &lt;= FILLME!$G$8, TRUE, FALSE)</f>
        <v>0</v>
      </c>
      <c r="S147" t="b">
        <f>IF(ROW()-ROW($S$1) &lt;= FILLME!$G$9, TRUE, FALSE)</f>
        <v>0</v>
      </c>
      <c r="T147" t="b">
        <f>IF(ROW()-ROW($T$1) &lt;= FILLME!$G$10, TRUE, FALSE)</f>
        <v>0</v>
      </c>
      <c r="U147" t="b">
        <f>IF(ROW()-ROW($U$1) &lt;= FILLME!$G$11, TRUE, FALSE)</f>
        <v>0</v>
      </c>
    </row>
    <row r="148" spans="1:21" x14ac:dyDescent="0.25">
      <c r="A148" s="7" t="str">
        <f>FILLME!$B$7</f>
        <v>ISCO</v>
      </c>
      <c r="B148" t="str">
        <f>IF(FILLME!$B$3 = "", "", FILLME!$B$3)</f>
        <v/>
      </c>
      <c r="C148" s="67" t="str">
        <f>IF(FILLME!$B$7="ISCO",FILLME!$E$4,IF(FILLME!$B$7="Grab",FILLME!$E$5))</f>
        <v>IS</v>
      </c>
      <c r="D148" t="str">
        <f>IF(FILLME!$B$4 = "", "", FILLME!$B$4)</f>
        <v>SSEMG</v>
      </c>
      <c r="E148" s="7" t="str">
        <f>TEXT(FILLME!$B$6,"yyyymmdd")</f>
        <v>20260223</v>
      </c>
      <c r="F148" s="8"/>
      <c r="G148" s="7">
        <f>IF(FILLME!$B$7="ISCO",FILLME!$B$6+FILLME!$B$11+(FILLME!$B$13*(H148-FILLME!$B$14)),FILLME!$B$6)</f>
        <v>46076.916666666664</v>
      </c>
      <c r="H148" s="8"/>
      <c r="I148" s="8"/>
      <c r="J148" s="2"/>
      <c r="K148" s="9" t="str">
        <f t="shared" si="6"/>
        <v>_00</v>
      </c>
      <c r="L148" s="10" t="str">
        <f t="shared" si="7"/>
        <v>SSEMG__20260223_00</v>
      </c>
      <c r="M148" s="10" t="str">
        <f t="shared" si="8"/>
        <v>SSEMG__IS_20260223_0000</v>
      </c>
      <c r="N148" t="b">
        <f>IF(ROW()-ROW($N$1) &lt;= FILLME!$G$4, TRUE, FALSE)</f>
        <v>0</v>
      </c>
      <c r="O148" t="b">
        <f>IF(ROW()-ROW($O$1) &lt;= FILLME!$G$5, TRUE, FALSE)</f>
        <v>0</v>
      </c>
      <c r="P148" t="b">
        <f>IF(ROW()-ROW($P$1) &lt;= FILLME!$G$7, TRUE, FALSE)</f>
        <v>0</v>
      </c>
      <c r="Q148" t="b">
        <f>IF(ROW()-ROW($Q$1) &lt;= FILLME!$G$6, TRUE, FALSE)</f>
        <v>0</v>
      </c>
      <c r="R148" t="b">
        <f>IF(ROW()-ROW($R$1) &lt;= FILLME!$G$8, TRUE, FALSE)</f>
        <v>0</v>
      </c>
      <c r="S148" t="b">
        <f>IF(ROW()-ROW($S$1) &lt;= FILLME!$G$9, TRUE, FALSE)</f>
        <v>0</v>
      </c>
      <c r="T148" t="b">
        <f>IF(ROW()-ROW($T$1) &lt;= FILLME!$G$10, TRUE, FALSE)</f>
        <v>0</v>
      </c>
      <c r="U148" t="b">
        <f>IF(ROW()-ROW($U$1) &lt;= FILLME!$G$11, TRUE, FALSE)</f>
        <v>0</v>
      </c>
    </row>
    <row r="149" spans="1:21" x14ac:dyDescent="0.25">
      <c r="A149" s="7" t="str">
        <f>FILLME!$B$7</f>
        <v>ISCO</v>
      </c>
      <c r="B149" t="str">
        <f>IF(FILLME!$B$3 = "", "", FILLME!$B$3)</f>
        <v/>
      </c>
      <c r="C149" s="67" t="str">
        <f>IF(FILLME!$B$7="ISCO",FILLME!$E$4,IF(FILLME!$B$7="Grab",FILLME!$E$5))</f>
        <v>IS</v>
      </c>
      <c r="D149" t="str">
        <f>IF(FILLME!$B$4 = "", "", FILLME!$B$4)</f>
        <v>SSEMG</v>
      </c>
      <c r="E149" s="7" t="str">
        <f>TEXT(FILLME!$B$6,"yyyymmdd")</f>
        <v>20260223</v>
      </c>
      <c r="F149" s="8"/>
      <c r="G149" s="7">
        <f>IF(FILLME!$B$7="ISCO",FILLME!$B$6+FILLME!$B$11+(FILLME!$B$13*(H149-FILLME!$B$14)),FILLME!$B$6)</f>
        <v>46076.916666666664</v>
      </c>
      <c r="H149" s="8"/>
      <c r="I149" s="8"/>
      <c r="J149" s="2"/>
      <c r="K149" s="9" t="str">
        <f t="shared" si="6"/>
        <v>_00</v>
      </c>
      <c r="L149" s="10" t="str">
        <f t="shared" si="7"/>
        <v>SSEMG__20260223_00</v>
      </c>
      <c r="M149" s="10" t="str">
        <f t="shared" si="8"/>
        <v>SSEMG__IS_20260223_0000</v>
      </c>
      <c r="N149" t="b">
        <f>IF(ROW()-ROW($N$1) &lt;= FILLME!$G$4, TRUE, FALSE)</f>
        <v>0</v>
      </c>
      <c r="O149" t="b">
        <f>IF(ROW()-ROW($O$1) &lt;= FILLME!$G$5, TRUE, FALSE)</f>
        <v>0</v>
      </c>
      <c r="P149" t="b">
        <f>IF(ROW()-ROW($P$1) &lt;= FILLME!$G$7, TRUE, FALSE)</f>
        <v>0</v>
      </c>
      <c r="Q149" t="b">
        <f>IF(ROW()-ROW($Q$1) &lt;= FILLME!$G$6, TRUE, FALSE)</f>
        <v>0</v>
      </c>
      <c r="R149" t="b">
        <f>IF(ROW()-ROW($R$1) &lt;= FILLME!$G$8, TRUE, FALSE)</f>
        <v>0</v>
      </c>
      <c r="S149" t="b">
        <f>IF(ROW()-ROW($S$1) &lt;= FILLME!$G$9, TRUE, FALSE)</f>
        <v>0</v>
      </c>
      <c r="T149" t="b">
        <f>IF(ROW()-ROW($T$1) &lt;= FILLME!$G$10, TRUE, FALSE)</f>
        <v>0</v>
      </c>
      <c r="U149" t="b">
        <f>IF(ROW()-ROW($U$1) &lt;= FILLME!$G$11, TRUE, FALSE)</f>
        <v>0</v>
      </c>
    </row>
    <row r="150" spans="1:21" x14ac:dyDescent="0.25">
      <c r="A150" s="7" t="str">
        <f>FILLME!$B$7</f>
        <v>ISCO</v>
      </c>
      <c r="B150" t="str">
        <f>IF(FILLME!$B$3 = "", "", FILLME!$B$3)</f>
        <v/>
      </c>
      <c r="C150" s="67" t="str">
        <f>IF(FILLME!$B$7="ISCO",FILLME!$E$4,IF(FILLME!$B$7="Grab",FILLME!$E$5))</f>
        <v>IS</v>
      </c>
      <c r="D150" t="str">
        <f>IF(FILLME!$B$4 = "", "", FILLME!$B$4)</f>
        <v>SSEMG</v>
      </c>
      <c r="E150" s="7" t="str">
        <f>TEXT(FILLME!$B$6,"yyyymmdd")</f>
        <v>20260223</v>
      </c>
      <c r="F150" s="8"/>
      <c r="G150" s="7">
        <f>IF(FILLME!$B$7="ISCO",FILLME!$B$6+FILLME!$B$11+(FILLME!$B$13*(H150-FILLME!$B$14)),FILLME!$B$6)</f>
        <v>46076.916666666664</v>
      </c>
      <c r="H150" s="8"/>
      <c r="I150" s="8"/>
      <c r="J150" s="2"/>
      <c r="K150" s="9" t="str">
        <f t="shared" si="6"/>
        <v>_00</v>
      </c>
      <c r="L150" s="10" t="str">
        <f t="shared" si="7"/>
        <v>SSEMG__20260223_00</v>
      </c>
      <c r="M150" s="10" t="str">
        <f t="shared" si="8"/>
        <v>SSEMG__IS_20260223_0000</v>
      </c>
      <c r="N150" t="b">
        <f>IF(ROW()-ROW($N$1) &lt;= FILLME!$G$4, TRUE, FALSE)</f>
        <v>0</v>
      </c>
      <c r="O150" t="b">
        <f>IF(ROW()-ROW($O$1) &lt;= FILLME!$G$5, TRUE, FALSE)</f>
        <v>0</v>
      </c>
      <c r="P150" t="b">
        <f>IF(ROW()-ROW($P$1) &lt;= FILLME!$G$7, TRUE, FALSE)</f>
        <v>0</v>
      </c>
      <c r="Q150" t="b">
        <f>IF(ROW()-ROW($Q$1) &lt;= FILLME!$G$6, TRUE, FALSE)</f>
        <v>0</v>
      </c>
      <c r="R150" t="b">
        <f>IF(ROW()-ROW($R$1) &lt;= FILLME!$G$8, TRUE, FALSE)</f>
        <v>0</v>
      </c>
      <c r="S150" t="b">
        <f>IF(ROW()-ROW($S$1) &lt;= FILLME!$G$9, TRUE, FALSE)</f>
        <v>0</v>
      </c>
      <c r="T150" t="b">
        <f>IF(ROW()-ROW($T$1) &lt;= FILLME!$G$10, TRUE, FALSE)</f>
        <v>0</v>
      </c>
      <c r="U150" t="b">
        <f>IF(ROW()-ROW($U$1) &lt;= FILLME!$G$11, TRUE, FALSE)</f>
        <v>0</v>
      </c>
    </row>
    <row r="151" spans="1:21" x14ac:dyDescent="0.25">
      <c r="A151" s="7" t="str">
        <f>FILLME!$B$7</f>
        <v>ISCO</v>
      </c>
      <c r="B151" t="str">
        <f>IF(FILLME!$B$3 = "", "", FILLME!$B$3)</f>
        <v/>
      </c>
      <c r="C151" s="67" t="str">
        <f>IF(FILLME!$B$7="ISCO",FILLME!$E$4,IF(FILLME!$B$7="Grab",FILLME!$E$5))</f>
        <v>IS</v>
      </c>
      <c r="D151" t="str">
        <f>IF(FILLME!$B$4 = "", "", FILLME!$B$4)</f>
        <v>SSEMG</v>
      </c>
      <c r="E151" s="7" t="str">
        <f>TEXT(FILLME!$B$6,"yyyymmdd")</f>
        <v>20260223</v>
      </c>
      <c r="F151" s="8"/>
      <c r="G151" s="7">
        <f>IF(FILLME!$B$7="ISCO",FILLME!$B$6+FILLME!$B$11+(FILLME!$B$13*(H151-FILLME!$B$14)),FILLME!$B$6)</f>
        <v>46076.916666666664</v>
      </c>
      <c r="H151" s="8"/>
      <c r="I151" s="8"/>
      <c r="J151" s="2"/>
      <c r="K151" s="9" t="str">
        <f t="shared" si="6"/>
        <v>_00</v>
      </c>
      <c r="L151" s="10" t="str">
        <f t="shared" si="7"/>
        <v>SSEMG__20260223_00</v>
      </c>
      <c r="M151" s="10" t="str">
        <f t="shared" si="8"/>
        <v>SSEMG__IS_20260223_0000</v>
      </c>
      <c r="N151" t="b">
        <f>IF(ROW()-ROW($N$1) &lt;= FILLME!$G$4, TRUE, FALSE)</f>
        <v>0</v>
      </c>
      <c r="O151" t="b">
        <f>IF(ROW()-ROW($O$1) &lt;= FILLME!$G$5, TRUE, FALSE)</f>
        <v>0</v>
      </c>
      <c r="P151" t="b">
        <f>IF(ROW()-ROW($P$1) &lt;= FILLME!$G$7, TRUE, FALSE)</f>
        <v>0</v>
      </c>
      <c r="Q151" t="b">
        <f>IF(ROW()-ROW($Q$1) &lt;= FILLME!$G$6, TRUE, FALSE)</f>
        <v>0</v>
      </c>
      <c r="R151" t="b">
        <f>IF(ROW()-ROW($R$1) &lt;= FILLME!$G$8, TRUE, FALSE)</f>
        <v>0</v>
      </c>
      <c r="S151" t="b">
        <f>IF(ROW()-ROW($S$1) &lt;= FILLME!$G$9, TRUE, FALSE)</f>
        <v>0</v>
      </c>
      <c r="T151" t="b">
        <f>IF(ROW()-ROW($T$1) &lt;= FILLME!$G$10, TRUE, FALSE)</f>
        <v>0</v>
      </c>
      <c r="U151" t="b">
        <f>IF(ROW()-ROW($U$1) &lt;= FILLME!$G$11, TRUE, FALSE)</f>
        <v>0</v>
      </c>
    </row>
    <row r="152" spans="1:21" x14ac:dyDescent="0.25">
      <c r="A152" s="7" t="str">
        <f>FILLME!$B$7</f>
        <v>ISCO</v>
      </c>
      <c r="B152" t="str">
        <f>IF(FILLME!$B$3 = "", "", FILLME!$B$3)</f>
        <v/>
      </c>
      <c r="C152" s="67" t="str">
        <f>IF(FILLME!$B$7="ISCO",FILLME!$E$4,IF(FILLME!$B$7="Grab",FILLME!$E$5))</f>
        <v>IS</v>
      </c>
      <c r="D152" t="str">
        <f>IF(FILLME!$B$4 = "", "", FILLME!$B$4)</f>
        <v>SSEMG</v>
      </c>
      <c r="E152" s="7" t="str">
        <f>TEXT(FILLME!$B$6,"yyyymmdd")</f>
        <v>20260223</v>
      </c>
      <c r="F152" s="8"/>
      <c r="G152" s="7">
        <f>IF(FILLME!$B$7="ISCO",FILLME!$B$6+FILLME!$B$11+(FILLME!$B$13*(H152-FILLME!$B$14)),FILLME!$B$6)</f>
        <v>46076.916666666664</v>
      </c>
      <c r="H152" s="8"/>
      <c r="I152" s="8"/>
      <c r="J152" s="2"/>
      <c r="K152" s="9" t="str">
        <f t="shared" si="6"/>
        <v>_00</v>
      </c>
      <c r="L152" s="10" t="str">
        <f t="shared" si="7"/>
        <v>SSEMG__20260223_00</v>
      </c>
      <c r="M152" s="10" t="str">
        <f t="shared" si="8"/>
        <v>SSEMG__IS_20260223_0000</v>
      </c>
      <c r="N152" t="b">
        <f>IF(ROW()-ROW($N$1) &lt;= FILLME!$G$4, TRUE, FALSE)</f>
        <v>0</v>
      </c>
      <c r="O152" t="b">
        <f>IF(ROW()-ROW($O$1) &lt;= FILLME!$G$5, TRUE, FALSE)</f>
        <v>0</v>
      </c>
      <c r="P152" t="b">
        <f>IF(ROW()-ROW($P$1) &lt;= FILLME!$G$7, TRUE, FALSE)</f>
        <v>0</v>
      </c>
      <c r="Q152" t="b">
        <f>IF(ROW()-ROW($Q$1) &lt;= FILLME!$G$6, TRUE, FALSE)</f>
        <v>0</v>
      </c>
      <c r="R152" t="b">
        <f>IF(ROW()-ROW($R$1) &lt;= FILLME!$G$8, TRUE, FALSE)</f>
        <v>0</v>
      </c>
      <c r="S152" t="b">
        <f>IF(ROW()-ROW($S$1) &lt;= FILLME!$G$9, TRUE, FALSE)</f>
        <v>0</v>
      </c>
      <c r="T152" t="b">
        <f>IF(ROW()-ROW($T$1) &lt;= FILLME!$G$10, TRUE, FALSE)</f>
        <v>0</v>
      </c>
      <c r="U152" t="b">
        <f>IF(ROW()-ROW($U$1) &lt;= FILLME!$G$11, TRUE, FALSE)</f>
        <v>0</v>
      </c>
    </row>
    <row r="153" spans="1:21" x14ac:dyDescent="0.25">
      <c r="A153" s="7" t="str">
        <f>FILLME!$B$7</f>
        <v>ISCO</v>
      </c>
      <c r="B153" t="str">
        <f>IF(FILLME!$B$3 = "", "", FILLME!$B$3)</f>
        <v/>
      </c>
      <c r="C153" s="67" t="str">
        <f>IF(FILLME!$B$7="ISCO",FILLME!$E$4,IF(FILLME!$B$7="Grab",FILLME!$E$5))</f>
        <v>IS</v>
      </c>
      <c r="D153" t="str">
        <f>IF(FILLME!$B$4 = "", "", FILLME!$B$4)</f>
        <v>SSEMG</v>
      </c>
      <c r="E153" s="7" t="str">
        <f>TEXT(FILLME!$B$6,"yyyymmdd")</f>
        <v>20260223</v>
      </c>
      <c r="F153" s="8"/>
      <c r="G153" s="7">
        <f>IF(FILLME!$B$7="ISCO",FILLME!$B$6+FILLME!$B$11+(FILLME!$B$13*(H153-FILLME!$B$14)),FILLME!$B$6)</f>
        <v>46076.916666666664</v>
      </c>
      <c r="H153" s="8"/>
      <c r="I153" s="8"/>
      <c r="J153" s="2"/>
      <c r="K153" s="9" t="str">
        <f t="shared" si="6"/>
        <v>_00</v>
      </c>
      <c r="L153" s="10" t="str">
        <f t="shared" si="7"/>
        <v>SSEMG__20260223_00</v>
      </c>
      <c r="M153" s="10" t="str">
        <f t="shared" si="8"/>
        <v>SSEMG__IS_20260223_0000</v>
      </c>
      <c r="N153" t="b">
        <f>IF(ROW()-ROW($N$1) &lt;= FILLME!$G$4, TRUE, FALSE)</f>
        <v>0</v>
      </c>
      <c r="O153" t="b">
        <f>IF(ROW()-ROW($O$1) &lt;= FILLME!$G$5, TRUE, FALSE)</f>
        <v>0</v>
      </c>
      <c r="P153" t="b">
        <f>IF(ROW()-ROW($P$1) &lt;= FILLME!$G$7, TRUE, FALSE)</f>
        <v>0</v>
      </c>
      <c r="Q153" t="b">
        <f>IF(ROW()-ROW($Q$1) &lt;= FILLME!$G$6, TRUE, FALSE)</f>
        <v>0</v>
      </c>
      <c r="R153" t="b">
        <f>IF(ROW()-ROW($R$1) &lt;= FILLME!$G$8, TRUE, FALSE)</f>
        <v>0</v>
      </c>
      <c r="S153" t="b">
        <f>IF(ROW()-ROW($S$1) &lt;= FILLME!$G$9, TRUE, FALSE)</f>
        <v>0</v>
      </c>
      <c r="T153" t="b">
        <f>IF(ROW()-ROW($T$1) &lt;= FILLME!$G$10, TRUE, FALSE)</f>
        <v>0</v>
      </c>
      <c r="U153" t="b">
        <f>IF(ROW()-ROW($U$1) &lt;= FILLME!$G$11, TRUE, FALSE)</f>
        <v>0</v>
      </c>
    </row>
    <row r="154" spans="1:21" x14ac:dyDescent="0.25">
      <c r="A154" s="7" t="str">
        <f>FILLME!$B$7</f>
        <v>ISCO</v>
      </c>
      <c r="B154" t="str">
        <f>IF(FILLME!$B$3 = "", "", FILLME!$B$3)</f>
        <v/>
      </c>
      <c r="C154" s="67" t="str">
        <f>IF(FILLME!$B$7="ISCO",FILLME!$E$4,IF(FILLME!$B$7="Grab",FILLME!$E$5))</f>
        <v>IS</v>
      </c>
      <c r="D154" t="str">
        <f>IF(FILLME!$B$4 = "", "", FILLME!$B$4)</f>
        <v>SSEMG</v>
      </c>
      <c r="E154" s="7" t="str">
        <f>TEXT(FILLME!$B$6,"yyyymmdd")</f>
        <v>20260223</v>
      </c>
      <c r="F154" s="8"/>
      <c r="G154" s="7">
        <f>IF(FILLME!$B$7="ISCO",FILLME!$B$6+FILLME!$B$11+(FILLME!$B$13*(H154-FILLME!$B$14)),FILLME!$B$6)</f>
        <v>46076.916666666664</v>
      </c>
      <c r="H154" s="8"/>
      <c r="I154" s="8"/>
      <c r="J154" s="2"/>
      <c r="K154" s="9" t="str">
        <f t="shared" si="6"/>
        <v>_00</v>
      </c>
      <c r="L154" s="10" t="str">
        <f t="shared" si="7"/>
        <v>SSEMG__20260223_00</v>
      </c>
      <c r="M154" s="10" t="str">
        <f t="shared" si="8"/>
        <v>SSEMG__IS_20260223_0000</v>
      </c>
      <c r="N154" t="b">
        <f>IF(ROW()-ROW($N$1) &lt;= FILLME!$G$4, TRUE, FALSE)</f>
        <v>0</v>
      </c>
      <c r="O154" t="b">
        <f>IF(ROW()-ROW($O$1) &lt;= FILLME!$G$5, TRUE, FALSE)</f>
        <v>0</v>
      </c>
      <c r="P154" t="b">
        <f>IF(ROW()-ROW($P$1) &lt;= FILLME!$G$7, TRUE, FALSE)</f>
        <v>0</v>
      </c>
      <c r="Q154" t="b">
        <f>IF(ROW()-ROW($Q$1) &lt;= FILLME!$G$6, TRUE, FALSE)</f>
        <v>0</v>
      </c>
      <c r="R154" t="b">
        <f>IF(ROW()-ROW($R$1) &lt;= FILLME!$G$8, TRUE, FALSE)</f>
        <v>0</v>
      </c>
      <c r="S154" t="b">
        <f>IF(ROW()-ROW($S$1) &lt;= FILLME!$G$9, TRUE, FALSE)</f>
        <v>0</v>
      </c>
      <c r="T154" t="b">
        <f>IF(ROW()-ROW($T$1) &lt;= FILLME!$G$10, TRUE, FALSE)</f>
        <v>0</v>
      </c>
      <c r="U154" t="b">
        <f>IF(ROW()-ROW($U$1) &lt;= FILLME!$G$11, TRUE, FALSE)</f>
        <v>0</v>
      </c>
    </row>
    <row r="155" spans="1:21" x14ac:dyDescent="0.25">
      <c r="A155" s="7" t="str">
        <f>FILLME!$B$7</f>
        <v>ISCO</v>
      </c>
      <c r="B155" t="str">
        <f>IF(FILLME!$B$3 = "", "", FILLME!$B$3)</f>
        <v/>
      </c>
      <c r="C155" s="67" t="str">
        <f>IF(FILLME!$B$7="ISCO",FILLME!$E$4,IF(FILLME!$B$7="Grab",FILLME!$E$5))</f>
        <v>IS</v>
      </c>
      <c r="D155" t="str">
        <f>IF(FILLME!$B$4 = "", "", FILLME!$B$4)</f>
        <v>SSEMG</v>
      </c>
      <c r="E155" s="7" t="str">
        <f>TEXT(FILLME!$B$6,"yyyymmdd")</f>
        <v>20260223</v>
      </c>
      <c r="F155" s="8"/>
      <c r="G155" s="7">
        <f>IF(FILLME!$B$7="ISCO",FILLME!$B$6+FILLME!$B$11+(FILLME!$B$13*(H155-FILLME!$B$14)),FILLME!$B$6)</f>
        <v>46076.916666666664</v>
      </c>
      <c r="H155" s="8"/>
      <c r="I155" s="8"/>
      <c r="J155" s="2"/>
      <c r="K155" s="9" t="str">
        <f t="shared" si="6"/>
        <v>_00</v>
      </c>
      <c r="L155" s="10" t="str">
        <f t="shared" si="7"/>
        <v>SSEMG__20260223_00</v>
      </c>
      <c r="M155" s="10" t="str">
        <f t="shared" si="8"/>
        <v>SSEMG__IS_20260223_0000</v>
      </c>
      <c r="N155" t="b">
        <f>IF(ROW()-ROW($N$1) &lt;= FILLME!$G$4, TRUE, FALSE)</f>
        <v>0</v>
      </c>
      <c r="O155" t="b">
        <f>IF(ROW()-ROW($O$1) &lt;= FILLME!$G$5, TRUE, FALSE)</f>
        <v>0</v>
      </c>
      <c r="P155" t="b">
        <f>IF(ROW()-ROW($P$1) &lt;= FILLME!$G$7, TRUE, FALSE)</f>
        <v>0</v>
      </c>
      <c r="Q155" t="b">
        <f>IF(ROW()-ROW($Q$1) &lt;= FILLME!$G$6, TRUE, FALSE)</f>
        <v>0</v>
      </c>
      <c r="R155" t="b">
        <f>IF(ROW()-ROW($R$1) &lt;= FILLME!$G$8, TRUE, FALSE)</f>
        <v>0</v>
      </c>
      <c r="S155" t="b">
        <f>IF(ROW()-ROW($S$1) &lt;= FILLME!$G$9, TRUE, FALSE)</f>
        <v>0</v>
      </c>
      <c r="T155" t="b">
        <f>IF(ROW()-ROW($T$1) &lt;= FILLME!$G$10, TRUE, FALSE)</f>
        <v>0</v>
      </c>
      <c r="U155" t="b">
        <f>IF(ROW()-ROW($U$1) &lt;= FILLME!$G$11, TRUE, FALSE)</f>
        <v>0</v>
      </c>
    </row>
    <row r="156" spans="1:21" x14ac:dyDescent="0.25">
      <c r="A156" s="7" t="str">
        <f>FILLME!$B$7</f>
        <v>ISCO</v>
      </c>
      <c r="B156" t="str">
        <f>IF(FILLME!$B$3 = "", "", FILLME!$B$3)</f>
        <v/>
      </c>
      <c r="C156" s="67" t="str">
        <f>IF(FILLME!$B$7="ISCO",FILLME!$E$4,IF(FILLME!$B$7="Grab",FILLME!$E$5))</f>
        <v>IS</v>
      </c>
      <c r="D156" t="str">
        <f>IF(FILLME!$B$4 = "", "", FILLME!$B$4)</f>
        <v>SSEMG</v>
      </c>
      <c r="E156" s="7" t="str">
        <f>TEXT(FILLME!$B$6,"yyyymmdd")</f>
        <v>20260223</v>
      </c>
      <c r="F156" s="8"/>
      <c r="G156" s="7">
        <f>IF(FILLME!$B$7="ISCO",FILLME!$B$6+FILLME!$B$11+(FILLME!$B$13*(H156-FILLME!$B$14)),FILLME!$B$6)</f>
        <v>46076.916666666664</v>
      </c>
      <c r="H156" s="8"/>
      <c r="I156" s="8"/>
      <c r="J156" s="2"/>
      <c r="K156" s="9" t="str">
        <f t="shared" si="6"/>
        <v>_00</v>
      </c>
      <c r="L156" s="10" t="str">
        <f t="shared" si="7"/>
        <v>SSEMG__20260223_00</v>
      </c>
      <c r="M156" s="10" t="str">
        <f t="shared" si="8"/>
        <v>SSEMG__IS_20260223_0000</v>
      </c>
      <c r="N156" t="b">
        <f>IF(ROW()-ROW($N$1) &lt;= FILLME!$G$4, TRUE, FALSE)</f>
        <v>0</v>
      </c>
      <c r="O156" t="b">
        <f>IF(ROW()-ROW($O$1) &lt;= FILLME!$G$5, TRUE, FALSE)</f>
        <v>0</v>
      </c>
      <c r="P156" t="b">
        <f>IF(ROW()-ROW($P$1) &lt;= FILLME!$G$7, TRUE, FALSE)</f>
        <v>0</v>
      </c>
      <c r="Q156" t="b">
        <f>IF(ROW()-ROW($Q$1) &lt;= FILLME!$G$6, TRUE, FALSE)</f>
        <v>0</v>
      </c>
      <c r="R156" t="b">
        <f>IF(ROW()-ROW($R$1) &lt;= FILLME!$G$8, TRUE, FALSE)</f>
        <v>0</v>
      </c>
      <c r="S156" t="b">
        <f>IF(ROW()-ROW($S$1) &lt;= FILLME!$G$9, TRUE, FALSE)</f>
        <v>0</v>
      </c>
      <c r="T156" t="b">
        <f>IF(ROW()-ROW($T$1) &lt;= FILLME!$G$10, TRUE, FALSE)</f>
        <v>0</v>
      </c>
      <c r="U156" t="b">
        <f>IF(ROW()-ROW($U$1) &lt;= FILLME!$G$11, TRUE, FALSE)</f>
        <v>0</v>
      </c>
    </row>
    <row r="157" spans="1:21" x14ac:dyDescent="0.25">
      <c r="A157" s="7" t="str">
        <f>FILLME!$B$7</f>
        <v>ISCO</v>
      </c>
      <c r="B157" t="str">
        <f>IF(FILLME!$B$3 = "", "", FILLME!$B$3)</f>
        <v/>
      </c>
      <c r="C157" s="67" t="str">
        <f>IF(FILLME!$B$7="ISCO",FILLME!$E$4,IF(FILLME!$B$7="Grab",FILLME!$E$5))</f>
        <v>IS</v>
      </c>
      <c r="D157" t="str">
        <f>IF(FILLME!$B$4 = "", "", FILLME!$B$4)</f>
        <v>SSEMG</v>
      </c>
      <c r="E157" s="7" t="str">
        <f>TEXT(FILLME!$B$6,"yyyymmdd")</f>
        <v>20260223</v>
      </c>
      <c r="F157" s="8"/>
      <c r="G157" s="7">
        <f>IF(FILLME!$B$7="ISCO",FILLME!$B$6+FILLME!$B$11+(FILLME!$B$13*(H157-FILLME!$B$14)),FILLME!$B$6)</f>
        <v>46076.916666666664</v>
      </c>
      <c r="H157" s="8"/>
      <c r="I157" s="8"/>
      <c r="J157" s="2"/>
      <c r="K157" s="9" t="str">
        <f t="shared" si="6"/>
        <v>_00</v>
      </c>
      <c r="L157" s="10" t="str">
        <f t="shared" si="7"/>
        <v>SSEMG__20260223_00</v>
      </c>
      <c r="M157" s="10" t="str">
        <f t="shared" si="8"/>
        <v>SSEMG__IS_20260223_0000</v>
      </c>
      <c r="N157" t="b">
        <f>IF(ROW()-ROW($N$1) &lt;= FILLME!$G$4, TRUE, FALSE)</f>
        <v>0</v>
      </c>
      <c r="O157" t="b">
        <f>IF(ROW()-ROW($O$1) &lt;= FILLME!$G$5, TRUE, FALSE)</f>
        <v>0</v>
      </c>
      <c r="P157" t="b">
        <f>IF(ROW()-ROW($P$1) &lt;= FILLME!$G$7, TRUE, FALSE)</f>
        <v>0</v>
      </c>
      <c r="Q157" t="b">
        <f>IF(ROW()-ROW($Q$1) &lt;= FILLME!$G$6, TRUE, FALSE)</f>
        <v>0</v>
      </c>
      <c r="R157" t="b">
        <f>IF(ROW()-ROW($R$1) &lt;= FILLME!$G$8, TRUE, FALSE)</f>
        <v>0</v>
      </c>
      <c r="S157" t="b">
        <f>IF(ROW()-ROW($S$1) &lt;= FILLME!$G$9, TRUE, FALSE)</f>
        <v>0</v>
      </c>
      <c r="T157" t="b">
        <f>IF(ROW()-ROW($T$1) &lt;= FILLME!$G$10, TRUE, FALSE)</f>
        <v>0</v>
      </c>
      <c r="U157" t="b">
        <f>IF(ROW()-ROW($U$1) &lt;= FILLME!$G$11, TRUE, FALSE)</f>
        <v>0</v>
      </c>
    </row>
    <row r="158" spans="1:21" x14ac:dyDescent="0.25">
      <c r="A158" s="7" t="str">
        <f>FILLME!$B$7</f>
        <v>ISCO</v>
      </c>
      <c r="B158" t="str">
        <f>IF(FILLME!$B$3 = "", "", FILLME!$B$3)</f>
        <v/>
      </c>
      <c r="C158" s="67" t="str">
        <f>IF(FILLME!$B$7="ISCO",FILLME!$E$4,IF(FILLME!$B$7="Grab",FILLME!$E$5))</f>
        <v>IS</v>
      </c>
      <c r="D158" t="str">
        <f>IF(FILLME!$B$4 = "", "", FILLME!$B$4)</f>
        <v>SSEMG</v>
      </c>
      <c r="E158" s="7" t="str">
        <f>TEXT(FILLME!$B$6,"yyyymmdd")</f>
        <v>20260223</v>
      </c>
      <c r="F158" s="8"/>
      <c r="G158" s="7">
        <f>IF(FILLME!$B$7="ISCO",FILLME!$B$6+FILLME!$B$11+(FILLME!$B$13*(H158-FILLME!$B$14)),FILLME!$B$6)</f>
        <v>46076.916666666664</v>
      </c>
      <c r="H158" s="8"/>
      <c r="I158" s="8"/>
      <c r="J158" s="2"/>
      <c r="K158" s="9" t="str">
        <f t="shared" si="6"/>
        <v>_00</v>
      </c>
      <c r="L158" s="10" t="str">
        <f t="shared" si="7"/>
        <v>SSEMG__20260223_00</v>
      </c>
      <c r="M158" s="10" t="str">
        <f t="shared" si="8"/>
        <v>SSEMG__IS_20260223_0000</v>
      </c>
      <c r="N158" t="b">
        <f>IF(ROW()-ROW($N$1) &lt;= FILLME!$G$4, TRUE, FALSE)</f>
        <v>0</v>
      </c>
      <c r="O158" t="b">
        <f>IF(ROW()-ROW($O$1) &lt;= FILLME!$G$5, TRUE, FALSE)</f>
        <v>0</v>
      </c>
      <c r="P158" t="b">
        <f>IF(ROW()-ROW($P$1) &lt;= FILLME!$G$7, TRUE, FALSE)</f>
        <v>0</v>
      </c>
      <c r="Q158" t="b">
        <f>IF(ROW()-ROW($Q$1) &lt;= FILLME!$G$6, TRUE, FALSE)</f>
        <v>0</v>
      </c>
      <c r="R158" t="b">
        <f>IF(ROW()-ROW($R$1) &lt;= FILLME!$G$8, TRUE, FALSE)</f>
        <v>0</v>
      </c>
      <c r="S158" t="b">
        <f>IF(ROW()-ROW($S$1) &lt;= FILLME!$G$9, TRUE, FALSE)</f>
        <v>0</v>
      </c>
      <c r="T158" t="b">
        <f>IF(ROW()-ROW($T$1) &lt;= FILLME!$G$10, TRUE, FALSE)</f>
        <v>0</v>
      </c>
      <c r="U158" t="b">
        <f>IF(ROW()-ROW($U$1) &lt;= FILLME!$G$11, TRUE, FALSE)</f>
        <v>0</v>
      </c>
    </row>
    <row r="159" spans="1:21" x14ac:dyDescent="0.25">
      <c r="A159" s="7" t="str">
        <f>FILLME!$B$7</f>
        <v>ISCO</v>
      </c>
      <c r="B159" t="str">
        <f>IF(FILLME!$B$3 = "", "", FILLME!$B$3)</f>
        <v/>
      </c>
      <c r="C159" s="67" t="str">
        <f>IF(FILLME!$B$7="ISCO",FILLME!$E$4,IF(FILLME!$B$7="Grab",FILLME!$E$5))</f>
        <v>IS</v>
      </c>
      <c r="D159" t="str">
        <f>IF(FILLME!$B$4 = "", "", FILLME!$B$4)</f>
        <v>SSEMG</v>
      </c>
      <c r="E159" s="7" t="str">
        <f>TEXT(FILLME!$B$6,"yyyymmdd")</f>
        <v>20260223</v>
      </c>
      <c r="F159" s="8"/>
      <c r="G159" s="7">
        <f>IF(FILLME!$B$7="ISCO",FILLME!$B$6+FILLME!$B$11+(FILLME!$B$13*(H159-FILLME!$B$14)),FILLME!$B$6)</f>
        <v>46076.916666666664</v>
      </c>
      <c r="H159" s="8"/>
      <c r="I159" s="8"/>
      <c r="J159" s="2"/>
      <c r="K159" s="9" t="str">
        <f t="shared" si="6"/>
        <v>_00</v>
      </c>
      <c r="L159" s="10" t="str">
        <f t="shared" si="7"/>
        <v>SSEMG__20260223_00</v>
      </c>
      <c r="M159" s="10" t="str">
        <f t="shared" si="8"/>
        <v>SSEMG__IS_20260223_0000</v>
      </c>
      <c r="N159" t="b">
        <f>IF(ROW()-ROW($N$1) &lt;= FILLME!$G$4, TRUE, FALSE)</f>
        <v>0</v>
      </c>
      <c r="O159" t="b">
        <f>IF(ROW()-ROW($O$1) &lt;= FILLME!$G$5, TRUE, FALSE)</f>
        <v>0</v>
      </c>
      <c r="P159" t="b">
        <f>IF(ROW()-ROW($P$1) &lt;= FILLME!$G$7, TRUE, FALSE)</f>
        <v>0</v>
      </c>
      <c r="Q159" t="b">
        <f>IF(ROW()-ROW($Q$1) &lt;= FILLME!$G$6, TRUE, FALSE)</f>
        <v>0</v>
      </c>
      <c r="R159" t="b">
        <f>IF(ROW()-ROW($R$1) &lt;= FILLME!$G$8, TRUE, FALSE)</f>
        <v>0</v>
      </c>
      <c r="S159" t="b">
        <f>IF(ROW()-ROW($S$1) &lt;= FILLME!$G$9, TRUE, FALSE)</f>
        <v>0</v>
      </c>
      <c r="T159" t="b">
        <f>IF(ROW()-ROW($T$1) &lt;= FILLME!$G$10, TRUE, FALSE)</f>
        <v>0</v>
      </c>
      <c r="U159" t="b">
        <f>IF(ROW()-ROW($U$1) &lt;= FILLME!$G$11, TRUE, FALSE)</f>
        <v>0</v>
      </c>
    </row>
    <row r="160" spans="1:21" x14ac:dyDescent="0.25">
      <c r="A160" s="7" t="str">
        <f>FILLME!$B$7</f>
        <v>ISCO</v>
      </c>
      <c r="B160" t="str">
        <f>IF(FILLME!$B$3 = "", "", FILLME!$B$3)</f>
        <v/>
      </c>
      <c r="C160" s="67" t="str">
        <f>IF(FILLME!$B$7="ISCO",FILLME!$E$4,IF(FILLME!$B$7="Grab",FILLME!$E$5))</f>
        <v>IS</v>
      </c>
      <c r="D160" t="str">
        <f>IF(FILLME!$B$4 = "", "", FILLME!$B$4)</f>
        <v>SSEMG</v>
      </c>
      <c r="E160" s="7" t="str">
        <f>TEXT(FILLME!$B$6,"yyyymmdd")</f>
        <v>20260223</v>
      </c>
      <c r="F160" s="8"/>
      <c r="G160" s="7">
        <f>IF(FILLME!$B$7="ISCO",FILLME!$B$6+FILLME!$B$11+(FILLME!$B$13*(H160-FILLME!$B$14)),FILLME!$B$6)</f>
        <v>46076.916666666664</v>
      </c>
      <c r="H160" s="8"/>
      <c r="I160" s="8"/>
      <c r="J160" s="2"/>
      <c r="K160" s="9" t="str">
        <f t="shared" si="6"/>
        <v>_00</v>
      </c>
      <c r="L160" s="10" t="str">
        <f t="shared" si="7"/>
        <v>SSEMG__20260223_00</v>
      </c>
      <c r="M160" s="10" t="str">
        <f t="shared" si="8"/>
        <v>SSEMG__IS_20260223_0000</v>
      </c>
      <c r="N160" t="b">
        <f>IF(ROW()-ROW($N$1) &lt;= FILLME!$G$4, TRUE, FALSE)</f>
        <v>0</v>
      </c>
      <c r="O160" t="b">
        <f>IF(ROW()-ROW($O$1) &lt;= FILLME!$G$5, TRUE, FALSE)</f>
        <v>0</v>
      </c>
      <c r="P160" t="b">
        <f>IF(ROW()-ROW($P$1) &lt;= FILLME!$G$7, TRUE, FALSE)</f>
        <v>0</v>
      </c>
      <c r="Q160" t="b">
        <f>IF(ROW()-ROW($Q$1) &lt;= FILLME!$G$6, TRUE, FALSE)</f>
        <v>0</v>
      </c>
      <c r="R160" t="b">
        <f>IF(ROW()-ROW($R$1) &lt;= FILLME!$G$8, TRUE, FALSE)</f>
        <v>0</v>
      </c>
      <c r="S160" t="b">
        <f>IF(ROW()-ROW($S$1) &lt;= FILLME!$G$9, TRUE, FALSE)</f>
        <v>0</v>
      </c>
      <c r="T160" t="b">
        <f>IF(ROW()-ROW($T$1) &lt;= FILLME!$G$10, TRUE, FALSE)</f>
        <v>0</v>
      </c>
      <c r="U160" t="b">
        <f>IF(ROW()-ROW($U$1) &lt;= FILLME!$G$11, TRUE, FALSE)</f>
        <v>0</v>
      </c>
    </row>
    <row r="161" spans="1:21" x14ac:dyDescent="0.25">
      <c r="A161" s="7" t="str">
        <f>FILLME!$B$7</f>
        <v>ISCO</v>
      </c>
      <c r="B161" t="str">
        <f>IF(FILLME!$B$3 = "", "", FILLME!$B$3)</f>
        <v/>
      </c>
      <c r="C161" s="67" t="str">
        <f>IF(FILLME!$B$7="ISCO",FILLME!$E$4,IF(FILLME!$B$7="Grab",FILLME!$E$5))</f>
        <v>IS</v>
      </c>
      <c r="D161" t="str">
        <f>IF(FILLME!$B$4 = "", "", FILLME!$B$4)</f>
        <v>SSEMG</v>
      </c>
      <c r="E161" s="7" t="str">
        <f>TEXT(FILLME!$B$6,"yyyymmdd")</f>
        <v>20260223</v>
      </c>
      <c r="F161" s="8"/>
      <c r="G161" s="7">
        <f>IF(FILLME!$B$7="ISCO",FILLME!$B$6+FILLME!$B$11+(FILLME!$B$13*(H161-FILLME!$B$14)),FILLME!$B$6)</f>
        <v>46076.916666666664</v>
      </c>
      <c r="H161" s="8"/>
      <c r="I161" s="8"/>
      <c r="J161" s="2"/>
      <c r="K161" s="9" t="str">
        <f t="shared" si="6"/>
        <v>_00</v>
      </c>
      <c r="L161" s="10" t="str">
        <f t="shared" si="7"/>
        <v>SSEMG__20260223_00</v>
      </c>
      <c r="M161" s="10" t="str">
        <f t="shared" si="8"/>
        <v>SSEMG__IS_20260223_0000</v>
      </c>
      <c r="N161" t="b">
        <f>IF(ROW()-ROW($N$1) &lt;= FILLME!$G$4, TRUE, FALSE)</f>
        <v>0</v>
      </c>
      <c r="O161" t="b">
        <f>IF(ROW()-ROW($O$1) &lt;= FILLME!$G$5, TRUE, FALSE)</f>
        <v>0</v>
      </c>
      <c r="P161" t="b">
        <f>IF(ROW()-ROW($P$1) &lt;= FILLME!$G$7, TRUE, FALSE)</f>
        <v>0</v>
      </c>
      <c r="Q161" t="b">
        <f>IF(ROW()-ROW($Q$1) &lt;= FILLME!$G$6, TRUE, FALSE)</f>
        <v>0</v>
      </c>
      <c r="R161" t="b">
        <f>IF(ROW()-ROW($R$1) &lt;= FILLME!$G$8, TRUE, FALSE)</f>
        <v>0</v>
      </c>
      <c r="S161" t="b">
        <f>IF(ROW()-ROW($S$1) &lt;= FILLME!$G$9, TRUE, FALSE)</f>
        <v>0</v>
      </c>
      <c r="T161" t="b">
        <f>IF(ROW()-ROW($T$1) &lt;= FILLME!$G$10, TRUE, FALSE)</f>
        <v>0</v>
      </c>
      <c r="U161" t="b">
        <f>IF(ROW()-ROW($U$1) &lt;= FILLME!$G$11, TRUE, FALSE)</f>
        <v>0</v>
      </c>
    </row>
    <row r="162" spans="1:21" x14ac:dyDescent="0.25">
      <c r="A162" s="7" t="str">
        <f>FILLME!$B$7</f>
        <v>ISCO</v>
      </c>
      <c r="B162" t="str">
        <f>IF(FILLME!$B$3 = "", "", FILLME!$B$3)</f>
        <v/>
      </c>
      <c r="C162" s="67" t="str">
        <f>IF(FILLME!$B$7="ISCO",FILLME!$E$4,IF(FILLME!$B$7="Grab",FILLME!$E$5))</f>
        <v>IS</v>
      </c>
      <c r="D162" t="str">
        <f>IF(FILLME!$B$4 = "", "", FILLME!$B$4)</f>
        <v>SSEMG</v>
      </c>
      <c r="E162" s="7" t="str">
        <f>TEXT(FILLME!$B$6,"yyyymmdd")</f>
        <v>20260223</v>
      </c>
      <c r="F162" s="8"/>
      <c r="G162" s="7">
        <f>IF(FILLME!$B$7="ISCO",FILLME!$B$6+FILLME!$B$11+(FILLME!$B$13*(H162-FILLME!$B$14)),FILLME!$B$6)</f>
        <v>46076.916666666664</v>
      </c>
      <c r="H162" s="8"/>
      <c r="I162" s="8"/>
      <c r="J162" s="2"/>
      <c r="K162" s="9" t="str">
        <f t="shared" si="6"/>
        <v>_00</v>
      </c>
      <c r="L162" s="10" t="str">
        <f t="shared" si="7"/>
        <v>SSEMG__20260223_00</v>
      </c>
      <c r="M162" s="10" t="str">
        <f t="shared" si="8"/>
        <v>SSEMG__IS_20260223_0000</v>
      </c>
      <c r="N162" t="b">
        <f>IF(ROW()-ROW($N$1) &lt;= FILLME!$G$4, TRUE, FALSE)</f>
        <v>0</v>
      </c>
      <c r="O162" t="b">
        <f>IF(ROW()-ROW($O$1) &lt;= FILLME!$G$5, TRUE, FALSE)</f>
        <v>0</v>
      </c>
      <c r="P162" t="b">
        <f>IF(ROW()-ROW($P$1) &lt;= FILLME!$G$7, TRUE, FALSE)</f>
        <v>0</v>
      </c>
      <c r="Q162" t="b">
        <f>IF(ROW()-ROW($Q$1) &lt;= FILLME!$G$6, TRUE, FALSE)</f>
        <v>0</v>
      </c>
      <c r="R162" t="b">
        <f>IF(ROW()-ROW($R$1) &lt;= FILLME!$G$8, TRUE, FALSE)</f>
        <v>0</v>
      </c>
      <c r="S162" t="b">
        <f>IF(ROW()-ROW($S$1) &lt;= FILLME!$G$9, TRUE, FALSE)</f>
        <v>0</v>
      </c>
      <c r="T162" t="b">
        <f>IF(ROW()-ROW($T$1) &lt;= FILLME!$G$10, TRUE, FALSE)</f>
        <v>0</v>
      </c>
      <c r="U162" t="b">
        <f>IF(ROW()-ROW($U$1) &lt;= FILLME!$G$11, TRUE, FALSE)</f>
        <v>0</v>
      </c>
    </row>
    <row r="163" spans="1:21" x14ac:dyDescent="0.25">
      <c r="A163" s="7" t="str">
        <f>FILLME!$B$7</f>
        <v>ISCO</v>
      </c>
      <c r="B163" t="str">
        <f>IF(FILLME!$B$3 = "", "", FILLME!$B$3)</f>
        <v/>
      </c>
      <c r="C163" s="67" t="str">
        <f>IF(FILLME!$B$7="ISCO",FILLME!$E$4,IF(FILLME!$B$7="Grab",FILLME!$E$5))</f>
        <v>IS</v>
      </c>
      <c r="D163" t="str">
        <f>IF(FILLME!$B$4 = "", "", FILLME!$B$4)</f>
        <v>SSEMG</v>
      </c>
      <c r="E163" s="7" t="str">
        <f>TEXT(FILLME!$B$6,"yyyymmdd")</f>
        <v>20260223</v>
      </c>
      <c r="F163" s="8"/>
      <c r="G163" s="7">
        <f>IF(FILLME!$B$7="ISCO",FILLME!$B$6+FILLME!$B$11+(FILLME!$B$13*(H163-FILLME!$B$14)),FILLME!$B$6)</f>
        <v>46076.916666666664</v>
      </c>
      <c r="H163" s="8"/>
      <c r="I163" s="8"/>
      <c r="J163" s="2"/>
      <c r="K163" s="9" t="str">
        <f t="shared" si="6"/>
        <v>_00</v>
      </c>
      <c r="L163" s="10" t="str">
        <f t="shared" si="7"/>
        <v>SSEMG__20260223_00</v>
      </c>
      <c r="M163" s="10" t="str">
        <f t="shared" si="8"/>
        <v>SSEMG__IS_20260223_0000</v>
      </c>
      <c r="N163" t="b">
        <f>IF(ROW()-ROW($N$1) &lt;= FILLME!$G$4, TRUE, FALSE)</f>
        <v>0</v>
      </c>
      <c r="O163" t="b">
        <f>IF(ROW()-ROW($O$1) &lt;= FILLME!$G$5, TRUE, FALSE)</f>
        <v>0</v>
      </c>
      <c r="P163" t="b">
        <f>IF(ROW()-ROW($P$1) &lt;= FILLME!$G$7, TRUE, FALSE)</f>
        <v>0</v>
      </c>
      <c r="Q163" t="b">
        <f>IF(ROW()-ROW($Q$1) &lt;= FILLME!$G$6, TRUE, FALSE)</f>
        <v>0</v>
      </c>
      <c r="R163" t="b">
        <f>IF(ROW()-ROW($R$1) &lt;= FILLME!$G$8, TRUE, FALSE)</f>
        <v>0</v>
      </c>
      <c r="S163" t="b">
        <f>IF(ROW()-ROW($S$1) &lt;= FILLME!$G$9, TRUE, FALSE)</f>
        <v>0</v>
      </c>
      <c r="T163" t="b">
        <f>IF(ROW()-ROW($T$1) &lt;= FILLME!$G$10, TRUE, FALSE)</f>
        <v>0</v>
      </c>
      <c r="U163" t="b">
        <f>IF(ROW()-ROW($U$1) &lt;= FILLME!$G$11, TRUE, FALSE)</f>
        <v>0</v>
      </c>
    </row>
    <row r="164" spans="1:21" x14ac:dyDescent="0.25">
      <c r="A164" s="7" t="str">
        <f>FILLME!$B$7</f>
        <v>ISCO</v>
      </c>
      <c r="B164" t="str">
        <f>IF(FILLME!$B$3 = "", "", FILLME!$B$3)</f>
        <v/>
      </c>
      <c r="C164" s="67" t="str">
        <f>IF(FILLME!$B$7="ISCO",FILLME!$E$4,IF(FILLME!$B$7="Grab",FILLME!$E$5))</f>
        <v>IS</v>
      </c>
      <c r="D164" t="str">
        <f>IF(FILLME!$B$4 = "", "", FILLME!$B$4)</f>
        <v>SSEMG</v>
      </c>
      <c r="E164" s="7" t="str">
        <f>TEXT(FILLME!$B$6,"yyyymmdd")</f>
        <v>20260223</v>
      </c>
      <c r="F164" s="8"/>
      <c r="G164" s="7">
        <f>IF(FILLME!$B$7="ISCO",FILLME!$B$6+FILLME!$B$11+(FILLME!$B$13*(H164-FILLME!$B$14)),FILLME!$B$6)</f>
        <v>46076.916666666664</v>
      </c>
      <c r="H164" s="8"/>
      <c r="I164" s="8"/>
      <c r="J164" s="2"/>
      <c r="K164" s="9" t="str">
        <f t="shared" si="6"/>
        <v>_00</v>
      </c>
      <c r="L164" s="10" t="str">
        <f t="shared" si="7"/>
        <v>SSEMG__20260223_00</v>
      </c>
      <c r="M164" s="10" t="str">
        <f t="shared" si="8"/>
        <v>SSEMG__IS_20260223_0000</v>
      </c>
      <c r="N164" t="b">
        <f>IF(ROW()-ROW($N$1) &lt;= FILLME!$G$4, TRUE, FALSE)</f>
        <v>0</v>
      </c>
      <c r="O164" t="b">
        <f>IF(ROW()-ROW($O$1) &lt;= FILLME!$G$5, TRUE, FALSE)</f>
        <v>0</v>
      </c>
      <c r="P164" t="b">
        <f>IF(ROW()-ROW($P$1) &lt;= FILLME!$G$7, TRUE, FALSE)</f>
        <v>0</v>
      </c>
      <c r="Q164" t="b">
        <f>IF(ROW()-ROW($Q$1) &lt;= FILLME!$G$6, TRUE, FALSE)</f>
        <v>0</v>
      </c>
      <c r="R164" t="b">
        <f>IF(ROW()-ROW($R$1) &lt;= FILLME!$G$8, TRUE, FALSE)</f>
        <v>0</v>
      </c>
      <c r="S164" t="b">
        <f>IF(ROW()-ROW($S$1) &lt;= FILLME!$G$9, TRUE, FALSE)</f>
        <v>0</v>
      </c>
      <c r="T164" t="b">
        <f>IF(ROW()-ROW($T$1) &lt;= FILLME!$G$10, TRUE, FALSE)</f>
        <v>0</v>
      </c>
      <c r="U164" t="b">
        <f>IF(ROW()-ROW($U$1) &lt;= FILLME!$G$11, TRUE, FALSE)</f>
        <v>0</v>
      </c>
    </row>
    <row r="165" spans="1:21" x14ac:dyDescent="0.25">
      <c r="A165" s="7" t="str">
        <f>FILLME!$B$7</f>
        <v>ISCO</v>
      </c>
      <c r="B165" t="str">
        <f>IF(FILLME!$B$3 = "", "", FILLME!$B$3)</f>
        <v/>
      </c>
      <c r="C165" s="67" t="str">
        <f>IF(FILLME!$B$7="ISCO",FILLME!$E$4,IF(FILLME!$B$7="Grab",FILLME!$E$5))</f>
        <v>IS</v>
      </c>
      <c r="D165" t="str">
        <f>IF(FILLME!$B$4 = "", "", FILLME!$B$4)</f>
        <v>SSEMG</v>
      </c>
      <c r="E165" s="7" t="str">
        <f>TEXT(FILLME!$B$6,"yyyymmdd")</f>
        <v>20260223</v>
      </c>
      <c r="F165" s="8"/>
      <c r="G165" s="7">
        <f>IF(FILLME!$B$7="ISCO",FILLME!$B$6+FILLME!$B$11+(FILLME!$B$13*(H165-FILLME!$B$14)),FILLME!$B$6)</f>
        <v>46076.916666666664</v>
      </c>
      <c r="H165" s="8"/>
      <c r="I165" s="8"/>
      <c r="J165" s="2"/>
      <c r="K165" s="9" t="str">
        <f t="shared" si="6"/>
        <v>_00</v>
      </c>
      <c r="L165" s="10" t="str">
        <f t="shared" si="7"/>
        <v>SSEMG__20260223_00</v>
      </c>
      <c r="M165" s="10" t="str">
        <f t="shared" si="8"/>
        <v>SSEMG__IS_20260223_0000</v>
      </c>
      <c r="N165" t="b">
        <f>IF(ROW()-ROW($N$1) &lt;= FILLME!$G$4, TRUE, FALSE)</f>
        <v>0</v>
      </c>
      <c r="O165" t="b">
        <f>IF(ROW()-ROW($O$1) &lt;= FILLME!$G$5, TRUE, FALSE)</f>
        <v>0</v>
      </c>
      <c r="P165" t="b">
        <f>IF(ROW()-ROW($P$1) &lt;= FILLME!$G$7, TRUE, FALSE)</f>
        <v>0</v>
      </c>
      <c r="Q165" t="b">
        <f>IF(ROW()-ROW($Q$1) &lt;= FILLME!$G$6, TRUE, FALSE)</f>
        <v>0</v>
      </c>
      <c r="R165" t="b">
        <f>IF(ROW()-ROW($R$1) &lt;= FILLME!$G$8, TRUE, FALSE)</f>
        <v>0</v>
      </c>
      <c r="S165" t="b">
        <f>IF(ROW()-ROW($S$1) &lt;= FILLME!$G$9, TRUE, FALSE)</f>
        <v>0</v>
      </c>
      <c r="T165" t="b">
        <f>IF(ROW()-ROW($T$1) &lt;= FILLME!$G$10, TRUE, FALSE)</f>
        <v>0</v>
      </c>
      <c r="U165" t="b">
        <f>IF(ROW()-ROW($U$1) &lt;= FILLME!$G$11, TRUE, FALSE)</f>
        <v>0</v>
      </c>
    </row>
    <row r="166" spans="1:21" x14ac:dyDescent="0.25">
      <c r="A166" s="7" t="str">
        <f>FILLME!$B$7</f>
        <v>ISCO</v>
      </c>
      <c r="B166" t="str">
        <f>IF(FILLME!$B$3 = "", "", FILLME!$B$3)</f>
        <v/>
      </c>
      <c r="C166" s="67" t="str">
        <f>IF(FILLME!$B$7="ISCO",FILLME!$E$4,IF(FILLME!$B$7="Grab",FILLME!$E$5))</f>
        <v>IS</v>
      </c>
      <c r="D166" t="str">
        <f>IF(FILLME!$B$4 = "", "", FILLME!$B$4)</f>
        <v>SSEMG</v>
      </c>
      <c r="E166" s="7" t="str">
        <f>TEXT(FILLME!$B$6,"yyyymmdd")</f>
        <v>20260223</v>
      </c>
      <c r="F166" s="8"/>
      <c r="G166" s="7">
        <f>IF(FILLME!$B$7="ISCO",FILLME!$B$6+FILLME!$B$11+(FILLME!$B$13*(H166-FILLME!$B$14)),FILLME!$B$6)</f>
        <v>46076.916666666664</v>
      </c>
      <c r="H166" s="8"/>
      <c r="I166" s="8"/>
      <c r="J166" s="2"/>
      <c r="K166" s="9" t="str">
        <f t="shared" si="6"/>
        <v>_00</v>
      </c>
      <c r="L166" s="10" t="str">
        <f t="shared" si="7"/>
        <v>SSEMG__20260223_00</v>
      </c>
      <c r="M166" s="10" t="str">
        <f t="shared" si="8"/>
        <v>SSEMG__IS_20260223_0000</v>
      </c>
      <c r="N166" t="b">
        <f>IF(ROW()-ROW($N$1) &lt;= FILLME!$G$4, TRUE, FALSE)</f>
        <v>0</v>
      </c>
      <c r="O166" t="b">
        <f>IF(ROW()-ROW($O$1) &lt;= FILLME!$G$5, TRUE, FALSE)</f>
        <v>0</v>
      </c>
      <c r="P166" t="b">
        <f>IF(ROW()-ROW($P$1) &lt;= FILLME!$G$7, TRUE, FALSE)</f>
        <v>0</v>
      </c>
      <c r="Q166" t="b">
        <f>IF(ROW()-ROW($Q$1) &lt;= FILLME!$G$6, TRUE, FALSE)</f>
        <v>0</v>
      </c>
      <c r="R166" t="b">
        <f>IF(ROW()-ROW($R$1) &lt;= FILLME!$G$8, TRUE, FALSE)</f>
        <v>0</v>
      </c>
      <c r="S166" t="b">
        <f>IF(ROW()-ROW($S$1) &lt;= FILLME!$G$9, TRUE, FALSE)</f>
        <v>0</v>
      </c>
      <c r="T166" t="b">
        <f>IF(ROW()-ROW($T$1) &lt;= FILLME!$G$10, TRUE, FALSE)</f>
        <v>0</v>
      </c>
      <c r="U166" t="b">
        <f>IF(ROW()-ROW($U$1) &lt;= FILLME!$G$11, TRUE, FALSE)</f>
        <v>0</v>
      </c>
    </row>
    <row r="167" spans="1:21" x14ac:dyDescent="0.25">
      <c r="A167" s="7" t="str">
        <f>FILLME!$B$7</f>
        <v>ISCO</v>
      </c>
      <c r="B167" t="str">
        <f>IF(FILLME!$B$3 = "", "", FILLME!$B$3)</f>
        <v/>
      </c>
      <c r="C167" s="67" t="str">
        <f>IF(FILLME!$B$7="ISCO",FILLME!$E$4,IF(FILLME!$B$7="Grab",FILLME!$E$5))</f>
        <v>IS</v>
      </c>
      <c r="D167" t="str">
        <f>IF(FILLME!$B$4 = "", "", FILLME!$B$4)</f>
        <v>SSEMG</v>
      </c>
      <c r="E167" s="7" t="str">
        <f>TEXT(FILLME!$B$6,"yyyymmdd")</f>
        <v>20260223</v>
      </c>
      <c r="F167" s="8"/>
      <c r="G167" s="7">
        <f>IF(FILLME!$B$7="ISCO",FILLME!$B$6+FILLME!$B$11+(FILLME!$B$13*(H167-FILLME!$B$14)),FILLME!$B$6)</f>
        <v>46076.916666666664</v>
      </c>
      <c r="H167" s="8"/>
      <c r="I167" s="8"/>
      <c r="J167" s="2"/>
      <c r="K167" s="9" t="str">
        <f t="shared" si="6"/>
        <v>_00</v>
      </c>
      <c r="L167" s="10" t="str">
        <f t="shared" si="7"/>
        <v>SSEMG__20260223_00</v>
      </c>
      <c r="M167" s="10" t="str">
        <f t="shared" si="8"/>
        <v>SSEMG__IS_20260223_0000</v>
      </c>
      <c r="N167" t="b">
        <f>IF(ROW()-ROW($N$1) &lt;= FILLME!$G$4, TRUE, FALSE)</f>
        <v>0</v>
      </c>
      <c r="O167" t="b">
        <f>IF(ROW()-ROW($O$1) &lt;= FILLME!$G$5, TRUE, FALSE)</f>
        <v>0</v>
      </c>
      <c r="P167" t="b">
        <f>IF(ROW()-ROW($P$1) &lt;= FILLME!$G$7, TRUE, FALSE)</f>
        <v>0</v>
      </c>
      <c r="Q167" t="b">
        <f>IF(ROW()-ROW($Q$1) &lt;= FILLME!$G$6, TRUE, FALSE)</f>
        <v>0</v>
      </c>
      <c r="R167" t="b">
        <f>IF(ROW()-ROW($R$1) &lt;= FILLME!$G$8, TRUE, FALSE)</f>
        <v>0</v>
      </c>
      <c r="S167" t="b">
        <f>IF(ROW()-ROW($S$1) &lt;= FILLME!$G$9, TRUE, FALSE)</f>
        <v>0</v>
      </c>
      <c r="T167" t="b">
        <f>IF(ROW()-ROW($T$1) &lt;= FILLME!$G$10, TRUE, FALSE)</f>
        <v>0</v>
      </c>
      <c r="U167" t="b">
        <f>IF(ROW()-ROW($U$1) &lt;= FILLME!$G$11, TRUE, FALSE)</f>
        <v>0</v>
      </c>
    </row>
    <row r="168" spans="1:21" x14ac:dyDescent="0.25">
      <c r="A168" s="7" t="str">
        <f>FILLME!$B$7</f>
        <v>ISCO</v>
      </c>
      <c r="B168" t="str">
        <f>IF(FILLME!$B$3 = "", "", FILLME!$B$3)</f>
        <v/>
      </c>
      <c r="C168" s="67" t="str">
        <f>IF(FILLME!$B$7="ISCO",FILLME!$E$4,IF(FILLME!$B$7="Grab",FILLME!$E$5))</f>
        <v>IS</v>
      </c>
      <c r="D168" t="str">
        <f>IF(FILLME!$B$4 = "", "", FILLME!$B$4)</f>
        <v>SSEMG</v>
      </c>
      <c r="E168" s="7" t="str">
        <f>TEXT(FILLME!$B$6,"yyyymmdd")</f>
        <v>20260223</v>
      </c>
      <c r="F168" s="8"/>
      <c r="G168" s="7">
        <f>IF(FILLME!$B$7="ISCO",FILLME!$B$6+FILLME!$B$11+(FILLME!$B$13*(H168-FILLME!$B$14)),FILLME!$B$6)</f>
        <v>46076.916666666664</v>
      </c>
      <c r="H168" s="8"/>
      <c r="I168" s="8"/>
      <c r="J168" s="2"/>
      <c r="K168" s="9" t="str">
        <f t="shared" si="6"/>
        <v>_00</v>
      </c>
      <c r="L168" s="10" t="str">
        <f t="shared" si="7"/>
        <v>SSEMG__20260223_00</v>
      </c>
      <c r="M168" s="10" t="str">
        <f t="shared" si="8"/>
        <v>SSEMG__IS_20260223_0000</v>
      </c>
      <c r="N168" t="b">
        <f>IF(ROW()-ROW($N$1) &lt;= FILLME!$G$4, TRUE, FALSE)</f>
        <v>0</v>
      </c>
      <c r="O168" t="b">
        <f>IF(ROW()-ROW($O$1) &lt;= FILLME!$G$5, TRUE, FALSE)</f>
        <v>0</v>
      </c>
      <c r="P168" t="b">
        <f>IF(ROW()-ROW($P$1) &lt;= FILLME!$G$7, TRUE, FALSE)</f>
        <v>0</v>
      </c>
      <c r="Q168" t="b">
        <f>IF(ROW()-ROW($Q$1) &lt;= FILLME!$G$6, TRUE, FALSE)</f>
        <v>0</v>
      </c>
      <c r="R168" t="b">
        <f>IF(ROW()-ROW($R$1) &lt;= FILLME!$G$8, TRUE, FALSE)</f>
        <v>0</v>
      </c>
      <c r="S168" t="b">
        <f>IF(ROW()-ROW($S$1) &lt;= FILLME!$G$9, TRUE, FALSE)</f>
        <v>0</v>
      </c>
      <c r="T168" t="b">
        <f>IF(ROW()-ROW($T$1) &lt;= FILLME!$G$10, TRUE, FALSE)</f>
        <v>0</v>
      </c>
      <c r="U168" t="b">
        <f>IF(ROW()-ROW($U$1) &lt;= FILLME!$G$11, TRUE, FALSE)</f>
        <v>0</v>
      </c>
    </row>
    <row r="169" spans="1:21" x14ac:dyDescent="0.25">
      <c r="A169" s="7" t="str">
        <f>FILLME!$B$7</f>
        <v>ISCO</v>
      </c>
      <c r="B169" t="str">
        <f>IF(FILLME!$B$3 = "", "", FILLME!$B$3)</f>
        <v/>
      </c>
      <c r="C169" s="67" t="str">
        <f>IF(FILLME!$B$7="ISCO",FILLME!$E$4,IF(FILLME!$B$7="Grab",FILLME!$E$5))</f>
        <v>IS</v>
      </c>
      <c r="D169" t="str">
        <f>IF(FILLME!$B$4 = "", "", FILLME!$B$4)</f>
        <v>SSEMG</v>
      </c>
      <c r="E169" s="7" t="str">
        <f>TEXT(FILLME!$B$6,"yyyymmdd")</f>
        <v>20260223</v>
      </c>
      <c r="F169" s="8"/>
      <c r="G169" s="7">
        <f>IF(FILLME!$B$7="ISCO",FILLME!$B$6+FILLME!$B$11+(FILLME!$B$13*(H169-FILLME!$B$14)),FILLME!$B$6)</f>
        <v>46076.916666666664</v>
      </c>
      <c r="H169" s="8"/>
      <c r="I169" s="8"/>
      <c r="J169" s="2"/>
      <c r="K169" s="9" t="str">
        <f t="shared" si="6"/>
        <v>_00</v>
      </c>
      <c r="L169" s="10" t="str">
        <f t="shared" si="7"/>
        <v>SSEMG__20260223_00</v>
      </c>
      <c r="M169" s="10" t="str">
        <f t="shared" si="8"/>
        <v>SSEMG__IS_20260223_0000</v>
      </c>
      <c r="N169" t="b">
        <f>IF(ROW()-ROW($N$1) &lt;= FILLME!$G$4, TRUE, FALSE)</f>
        <v>0</v>
      </c>
      <c r="O169" t="b">
        <f>IF(ROW()-ROW($O$1) &lt;= FILLME!$G$5, TRUE, FALSE)</f>
        <v>0</v>
      </c>
      <c r="P169" t="b">
        <f>IF(ROW()-ROW($P$1) &lt;= FILLME!$G$7, TRUE, FALSE)</f>
        <v>0</v>
      </c>
      <c r="Q169" t="b">
        <f>IF(ROW()-ROW($Q$1) &lt;= FILLME!$G$6, TRUE, FALSE)</f>
        <v>0</v>
      </c>
      <c r="R169" t="b">
        <f>IF(ROW()-ROW($R$1) &lt;= FILLME!$G$8, TRUE, FALSE)</f>
        <v>0</v>
      </c>
      <c r="S169" t="b">
        <f>IF(ROW()-ROW($S$1) &lt;= FILLME!$G$9, TRUE, FALSE)</f>
        <v>0</v>
      </c>
      <c r="T169" t="b">
        <f>IF(ROW()-ROW($T$1) &lt;= FILLME!$G$10, TRUE, FALSE)</f>
        <v>0</v>
      </c>
      <c r="U169" t="b">
        <f>IF(ROW()-ROW($U$1) &lt;= FILLME!$G$11, TRUE, FALSE)</f>
        <v>0</v>
      </c>
    </row>
    <row r="170" spans="1:21" x14ac:dyDescent="0.25">
      <c r="A170" s="7" t="str">
        <f>FILLME!$B$7</f>
        <v>ISCO</v>
      </c>
      <c r="B170" t="str">
        <f>IF(FILLME!$B$3 = "", "", FILLME!$B$3)</f>
        <v/>
      </c>
      <c r="C170" s="67" t="str">
        <f>IF(FILLME!$B$7="ISCO",FILLME!$E$4,IF(FILLME!$B$7="Grab",FILLME!$E$5))</f>
        <v>IS</v>
      </c>
      <c r="D170" t="str">
        <f>IF(FILLME!$B$4 = "", "", FILLME!$B$4)</f>
        <v>SSEMG</v>
      </c>
      <c r="E170" s="7" t="str">
        <f>TEXT(FILLME!$B$6,"yyyymmdd")</f>
        <v>20260223</v>
      </c>
      <c r="F170" s="8"/>
      <c r="G170" s="7">
        <f>IF(FILLME!$B$7="ISCO",FILLME!$B$6+FILLME!$B$11+(FILLME!$B$13*(H170-FILLME!$B$14)),FILLME!$B$6)</f>
        <v>46076.916666666664</v>
      </c>
      <c r="H170" s="8"/>
      <c r="I170" s="8"/>
      <c r="J170" s="2"/>
      <c r="K170" s="9" t="str">
        <f t="shared" si="6"/>
        <v>_00</v>
      </c>
      <c r="L170" s="10" t="str">
        <f t="shared" si="7"/>
        <v>SSEMG__20260223_00</v>
      </c>
      <c r="M170" s="10" t="str">
        <f t="shared" si="8"/>
        <v>SSEMG__IS_20260223_0000</v>
      </c>
      <c r="N170" t="b">
        <f>IF(ROW()-ROW($N$1) &lt;= FILLME!$G$4, TRUE, FALSE)</f>
        <v>0</v>
      </c>
      <c r="O170" t="b">
        <f>IF(ROW()-ROW($O$1) &lt;= FILLME!$G$5, TRUE, FALSE)</f>
        <v>0</v>
      </c>
      <c r="P170" t="b">
        <f>IF(ROW()-ROW($P$1) &lt;= FILLME!$G$7, TRUE, FALSE)</f>
        <v>0</v>
      </c>
      <c r="Q170" t="b">
        <f>IF(ROW()-ROW($Q$1) &lt;= FILLME!$G$6, TRUE, FALSE)</f>
        <v>0</v>
      </c>
      <c r="R170" t="b">
        <f>IF(ROW()-ROW($R$1) &lt;= FILLME!$G$8, TRUE, FALSE)</f>
        <v>0</v>
      </c>
      <c r="S170" t="b">
        <f>IF(ROW()-ROW($S$1) &lt;= FILLME!$G$9, TRUE, FALSE)</f>
        <v>0</v>
      </c>
      <c r="T170" t="b">
        <f>IF(ROW()-ROW($T$1) &lt;= FILLME!$G$10, TRUE, FALSE)</f>
        <v>0</v>
      </c>
      <c r="U170" t="b">
        <f>IF(ROW()-ROW($U$1) &lt;= FILLME!$G$11, TRUE, FALSE)</f>
        <v>0</v>
      </c>
    </row>
    <row r="171" spans="1:21" x14ac:dyDescent="0.25">
      <c r="A171" s="7" t="str">
        <f>FILLME!$B$7</f>
        <v>ISCO</v>
      </c>
      <c r="B171" t="str">
        <f>IF(FILLME!$B$3 = "", "", FILLME!$B$3)</f>
        <v/>
      </c>
      <c r="C171" s="67" t="str">
        <f>IF(FILLME!$B$7="ISCO",FILLME!$E$4,IF(FILLME!$B$7="Grab",FILLME!$E$5))</f>
        <v>IS</v>
      </c>
      <c r="D171" t="str">
        <f>IF(FILLME!$B$4 = "", "", FILLME!$B$4)</f>
        <v>SSEMG</v>
      </c>
      <c r="E171" s="7" t="str">
        <f>TEXT(FILLME!$B$6,"yyyymmdd")</f>
        <v>20260223</v>
      </c>
      <c r="F171" s="8"/>
      <c r="G171" s="7">
        <f>IF(FILLME!$B$7="ISCO",FILLME!$B$6+FILLME!$B$11+(FILLME!$B$13*(H171-FILLME!$B$14)),FILLME!$B$6)</f>
        <v>46076.916666666664</v>
      </c>
      <c r="H171" s="8"/>
      <c r="I171" s="8"/>
      <c r="J171" s="2"/>
      <c r="K171" s="9" t="str">
        <f t="shared" si="6"/>
        <v>_00</v>
      </c>
      <c r="L171" s="10" t="str">
        <f t="shared" si="7"/>
        <v>SSEMG__20260223_00</v>
      </c>
      <c r="M171" s="10" t="str">
        <f t="shared" si="8"/>
        <v>SSEMG__IS_20260223_0000</v>
      </c>
      <c r="N171" t="b">
        <f>IF(ROW()-ROW($N$1) &lt;= FILLME!$G$4, TRUE, FALSE)</f>
        <v>0</v>
      </c>
      <c r="O171" t="b">
        <f>IF(ROW()-ROW($O$1) &lt;= FILLME!$G$5, TRUE, FALSE)</f>
        <v>0</v>
      </c>
      <c r="P171" t="b">
        <f>IF(ROW()-ROW($P$1) &lt;= FILLME!$G$7, TRUE, FALSE)</f>
        <v>0</v>
      </c>
      <c r="Q171" t="b">
        <f>IF(ROW()-ROW($Q$1) &lt;= FILLME!$G$6, TRUE, FALSE)</f>
        <v>0</v>
      </c>
      <c r="R171" t="b">
        <f>IF(ROW()-ROW($R$1) &lt;= FILLME!$G$8, TRUE, FALSE)</f>
        <v>0</v>
      </c>
      <c r="S171" t="b">
        <f>IF(ROW()-ROW($S$1) &lt;= FILLME!$G$9, TRUE, FALSE)</f>
        <v>0</v>
      </c>
      <c r="T171" t="b">
        <f>IF(ROW()-ROW($T$1) &lt;= FILLME!$G$10, TRUE, FALSE)</f>
        <v>0</v>
      </c>
      <c r="U171" t="b">
        <f>IF(ROW()-ROW($U$1) &lt;= FILLME!$G$11, TRUE, FALSE)</f>
        <v>0</v>
      </c>
    </row>
    <row r="172" spans="1:21" x14ac:dyDescent="0.25">
      <c r="A172" s="7" t="str">
        <f>FILLME!$B$7</f>
        <v>ISCO</v>
      </c>
      <c r="B172" t="str">
        <f>IF(FILLME!$B$3 = "", "", FILLME!$B$3)</f>
        <v/>
      </c>
      <c r="C172" s="67" t="str">
        <f>IF(FILLME!$B$7="ISCO",FILLME!$E$4,IF(FILLME!$B$7="Grab",FILLME!$E$5))</f>
        <v>IS</v>
      </c>
      <c r="D172" t="str">
        <f>IF(FILLME!$B$4 = "", "", FILLME!$B$4)</f>
        <v>SSEMG</v>
      </c>
      <c r="E172" s="7" t="str">
        <f>TEXT(FILLME!$B$6,"yyyymmdd")</f>
        <v>20260223</v>
      </c>
      <c r="F172" s="8"/>
      <c r="G172" s="7">
        <f>IF(FILLME!$B$7="ISCO",FILLME!$B$6+FILLME!$B$11+(FILLME!$B$13*(H172-FILLME!$B$14)),FILLME!$B$6)</f>
        <v>46076.916666666664</v>
      </c>
      <c r="H172" s="8"/>
      <c r="I172" s="8"/>
      <c r="J172" s="2"/>
      <c r="K172" s="9" t="str">
        <f t="shared" si="6"/>
        <v>_00</v>
      </c>
      <c r="L172" s="10" t="str">
        <f t="shared" si="7"/>
        <v>SSEMG__20260223_00</v>
      </c>
      <c r="M172" s="10" t="str">
        <f t="shared" si="8"/>
        <v>SSEMG__IS_20260223_0000</v>
      </c>
      <c r="N172" t="b">
        <f>IF(ROW()-ROW($N$1) &lt;= FILLME!$G$4, TRUE, FALSE)</f>
        <v>0</v>
      </c>
      <c r="O172" t="b">
        <f>IF(ROW()-ROW($O$1) &lt;= FILLME!$G$5, TRUE, FALSE)</f>
        <v>0</v>
      </c>
      <c r="P172" t="b">
        <f>IF(ROW()-ROW($P$1) &lt;= FILLME!$G$7, TRUE, FALSE)</f>
        <v>0</v>
      </c>
      <c r="Q172" t="b">
        <f>IF(ROW()-ROW($Q$1) &lt;= FILLME!$G$6, TRUE, FALSE)</f>
        <v>0</v>
      </c>
      <c r="R172" t="b">
        <f>IF(ROW()-ROW($R$1) &lt;= FILLME!$G$8, TRUE, FALSE)</f>
        <v>0</v>
      </c>
      <c r="S172" t="b">
        <f>IF(ROW()-ROW($S$1) &lt;= FILLME!$G$9, TRUE, FALSE)</f>
        <v>0</v>
      </c>
      <c r="T172" t="b">
        <f>IF(ROW()-ROW($T$1) &lt;= FILLME!$G$10, TRUE, FALSE)</f>
        <v>0</v>
      </c>
      <c r="U172" t="b">
        <f>IF(ROW()-ROW($U$1) &lt;= FILLME!$G$11, TRUE, FALSE)</f>
        <v>0</v>
      </c>
    </row>
    <row r="173" spans="1:21" x14ac:dyDescent="0.25">
      <c r="A173" s="7" t="str">
        <f>FILLME!$B$7</f>
        <v>ISCO</v>
      </c>
      <c r="B173" t="str">
        <f>IF(FILLME!$B$3 = "", "", FILLME!$B$3)</f>
        <v/>
      </c>
      <c r="C173" s="67" t="str">
        <f>IF(FILLME!$B$7="ISCO",FILLME!$E$4,IF(FILLME!$B$7="Grab",FILLME!$E$5))</f>
        <v>IS</v>
      </c>
      <c r="D173" t="str">
        <f>IF(FILLME!$B$4 = "", "", FILLME!$B$4)</f>
        <v>SSEMG</v>
      </c>
      <c r="E173" s="7" t="str">
        <f>TEXT(FILLME!$B$6,"yyyymmdd")</f>
        <v>20260223</v>
      </c>
      <c r="F173" s="8"/>
      <c r="G173" s="7">
        <f>IF(FILLME!$B$7="ISCO",FILLME!$B$6+FILLME!$B$11+(FILLME!$B$13*(H173-FILLME!$B$14)),FILLME!$B$6)</f>
        <v>46076.916666666664</v>
      </c>
      <c r="H173" s="8"/>
      <c r="I173" s="8"/>
      <c r="J173" s="2"/>
      <c r="K173" s="9" t="str">
        <f t="shared" si="6"/>
        <v>_00</v>
      </c>
      <c r="L173" s="10" t="str">
        <f t="shared" si="7"/>
        <v>SSEMG__20260223_00</v>
      </c>
      <c r="M173" s="10" t="str">
        <f t="shared" si="8"/>
        <v>SSEMG__IS_20260223_0000</v>
      </c>
      <c r="N173" t="b">
        <f>IF(ROW()-ROW($N$1) &lt;= FILLME!$G$4, TRUE, FALSE)</f>
        <v>0</v>
      </c>
      <c r="O173" t="b">
        <f>IF(ROW()-ROW($O$1) &lt;= FILLME!$G$5, TRUE, FALSE)</f>
        <v>0</v>
      </c>
      <c r="P173" t="b">
        <f>IF(ROW()-ROW($P$1) &lt;= FILLME!$G$7, TRUE, FALSE)</f>
        <v>0</v>
      </c>
      <c r="Q173" t="b">
        <f>IF(ROW()-ROW($Q$1) &lt;= FILLME!$G$6, TRUE, FALSE)</f>
        <v>0</v>
      </c>
      <c r="R173" t="b">
        <f>IF(ROW()-ROW($R$1) &lt;= FILLME!$G$8, TRUE, FALSE)</f>
        <v>0</v>
      </c>
      <c r="S173" t="b">
        <f>IF(ROW()-ROW($S$1) &lt;= FILLME!$G$9, TRUE, FALSE)</f>
        <v>0</v>
      </c>
      <c r="T173" t="b">
        <f>IF(ROW()-ROW($T$1) &lt;= FILLME!$G$10, TRUE, FALSE)</f>
        <v>0</v>
      </c>
      <c r="U173" t="b">
        <f>IF(ROW()-ROW($U$1) &lt;= FILLME!$G$11, TRUE, FALSE)</f>
        <v>0</v>
      </c>
    </row>
    <row r="174" spans="1:21" x14ac:dyDescent="0.25">
      <c r="A174" s="7" t="str">
        <f>FILLME!$B$7</f>
        <v>ISCO</v>
      </c>
      <c r="B174" t="str">
        <f>IF(FILLME!$B$3 = "", "", FILLME!$B$3)</f>
        <v/>
      </c>
      <c r="C174" s="67" t="str">
        <f>IF(FILLME!$B$7="ISCO",FILLME!$E$4,IF(FILLME!$B$7="Grab",FILLME!$E$5))</f>
        <v>IS</v>
      </c>
      <c r="D174" t="str">
        <f>IF(FILLME!$B$4 = "", "", FILLME!$B$4)</f>
        <v>SSEMG</v>
      </c>
      <c r="E174" s="7" t="str">
        <f>TEXT(FILLME!$B$6,"yyyymmdd")</f>
        <v>20260223</v>
      </c>
      <c r="F174" s="8"/>
      <c r="G174" s="7">
        <f>IF(FILLME!$B$7="ISCO",FILLME!$B$6+FILLME!$B$11+(FILLME!$B$13*(H174-FILLME!$B$14)),FILLME!$B$6)</f>
        <v>46076.916666666664</v>
      </c>
      <c r="H174" s="8"/>
      <c r="I174" s="8"/>
      <c r="J174" s="2"/>
      <c r="K174" s="9" t="str">
        <f t="shared" si="6"/>
        <v>_00</v>
      </c>
      <c r="L174" s="10" t="str">
        <f t="shared" si="7"/>
        <v>SSEMG__20260223_00</v>
      </c>
      <c r="M174" s="10" t="str">
        <f t="shared" si="8"/>
        <v>SSEMG__IS_20260223_0000</v>
      </c>
      <c r="N174" t="b">
        <f>IF(ROW()-ROW($N$1) &lt;= FILLME!$G$4, TRUE, FALSE)</f>
        <v>0</v>
      </c>
      <c r="O174" t="b">
        <f>IF(ROW()-ROW($O$1) &lt;= FILLME!$G$5, TRUE, FALSE)</f>
        <v>0</v>
      </c>
      <c r="P174" t="b">
        <f>IF(ROW()-ROW($P$1) &lt;= FILLME!$G$7, TRUE, FALSE)</f>
        <v>0</v>
      </c>
      <c r="Q174" t="b">
        <f>IF(ROW()-ROW($Q$1) &lt;= FILLME!$G$6, TRUE, FALSE)</f>
        <v>0</v>
      </c>
      <c r="R174" t="b">
        <f>IF(ROW()-ROW($R$1) &lt;= FILLME!$G$8, TRUE, FALSE)</f>
        <v>0</v>
      </c>
      <c r="S174" t="b">
        <f>IF(ROW()-ROW($S$1) &lt;= FILLME!$G$9, TRUE, FALSE)</f>
        <v>0</v>
      </c>
      <c r="T174" t="b">
        <f>IF(ROW()-ROW($T$1) &lt;= FILLME!$G$10, TRUE, FALSE)</f>
        <v>0</v>
      </c>
      <c r="U174" t="b">
        <f>IF(ROW()-ROW($U$1) &lt;= FILLME!$G$11, TRUE, FALSE)</f>
        <v>0</v>
      </c>
    </row>
    <row r="175" spans="1:21" x14ac:dyDescent="0.25">
      <c r="A175" s="7" t="str">
        <f>FILLME!$B$7</f>
        <v>ISCO</v>
      </c>
      <c r="B175" t="str">
        <f>IF(FILLME!$B$3 = "", "", FILLME!$B$3)</f>
        <v/>
      </c>
      <c r="C175" s="67" t="str">
        <f>IF(FILLME!$B$7="ISCO",FILLME!$E$4,IF(FILLME!$B$7="Grab",FILLME!$E$5))</f>
        <v>IS</v>
      </c>
      <c r="D175" t="str">
        <f>IF(FILLME!$B$4 = "", "", FILLME!$B$4)</f>
        <v>SSEMG</v>
      </c>
      <c r="E175" s="7" t="str">
        <f>TEXT(FILLME!$B$6,"yyyymmdd")</f>
        <v>20260223</v>
      </c>
      <c r="F175" s="8"/>
      <c r="G175" s="7">
        <f>IF(FILLME!$B$7="ISCO",FILLME!$B$6+FILLME!$B$11+(FILLME!$B$13*(H175-FILLME!$B$14)),FILLME!$B$6)</f>
        <v>46076.916666666664</v>
      </c>
      <c r="H175" s="8"/>
      <c r="I175" s="8"/>
      <c r="J175" s="2"/>
      <c r="K175" s="9" t="str">
        <f t="shared" si="6"/>
        <v>_00</v>
      </c>
      <c r="L175" s="10" t="str">
        <f t="shared" si="7"/>
        <v>SSEMG__20260223_00</v>
      </c>
      <c r="M175" s="10" t="str">
        <f t="shared" si="8"/>
        <v>SSEMG__IS_20260223_0000</v>
      </c>
      <c r="N175" t="b">
        <f>IF(ROW()-ROW($N$1) &lt;= FILLME!$G$4, TRUE, FALSE)</f>
        <v>0</v>
      </c>
      <c r="O175" t="b">
        <f>IF(ROW()-ROW($O$1) &lt;= FILLME!$G$5, TRUE, FALSE)</f>
        <v>0</v>
      </c>
      <c r="P175" t="b">
        <f>IF(ROW()-ROW($P$1) &lt;= FILLME!$G$7, TRUE, FALSE)</f>
        <v>0</v>
      </c>
      <c r="Q175" t="b">
        <f>IF(ROW()-ROW($Q$1) &lt;= FILLME!$G$6, TRUE, FALSE)</f>
        <v>0</v>
      </c>
      <c r="R175" t="b">
        <f>IF(ROW()-ROW($R$1) &lt;= FILLME!$G$8, TRUE, FALSE)</f>
        <v>0</v>
      </c>
      <c r="S175" t="b">
        <f>IF(ROW()-ROW($S$1) &lt;= FILLME!$G$9, TRUE, FALSE)</f>
        <v>0</v>
      </c>
      <c r="T175" t="b">
        <f>IF(ROW()-ROW($T$1) &lt;= FILLME!$G$10, TRUE, FALSE)</f>
        <v>0</v>
      </c>
      <c r="U175" t="b">
        <f>IF(ROW()-ROW($U$1) &lt;= FILLME!$G$11, TRUE, FALSE)</f>
        <v>0</v>
      </c>
    </row>
    <row r="176" spans="1:21" x14ac:dyDescent="0.25">
      <c r="A176" s="7" t="str">
        <f>FILLME!$B$7</f>
        <v>ISCO</v>
      </c>
      <c r="B176" t="str">
        <f>IF(FILLME!$B$3 = "", "", FILLME!$B$3)</f>
        <v/>
      </c>
      <c r="C176" s="67" t="str">
        <f>IF(FILLME!$B$7="ISCO",FILLME!$E$4,IF(FILLME!$B$7="Grab",FILLME!$E$5))</f>
        <v>IS</v>
      </c>
      <c r="D176" t="str">
        <f>IF(FILLME!$B$4 = "", "", FILLME!$B$4)</f>
        <v>SSEMG</v>
      </c>
      <c r="E176" s="7" t="str">
        <f>TEXT(FILLME!$B$6,"yyyymmdd")</f>
        <v>20260223</v>
      </c>
      <c r="F176" s="8"/>
      <c r="G176" s="7">
        <f>IF(FILLME!$B$7="ISCO",FILLME!$B$6+FILLME!$B$11+(FILLME!$B$13*(H176-FILLME!$B$14)),FILLME!$B$6)</f>
        <v>46076.916666666664</v>
      </c>
      <c r="H176" s="8"/>
      <c r="I176" s="8"/>
      <c r="J176" s="2"/>
      <c r="K176" s="9" t="str">
        <f t="shared" si="6"/>
        <v>_00</v>
      </c>
      <c r="L176" s="10" t="str">
        <f t="shared" si="7"/>
        <v>SSEMG__20260223_00</v>
      </c>
      <c r="M176" s="10" t="str">
        <f t="shared" si="8"/>
        <v>SSEMG__IS_20260223_0000</v>
      </c>
      <c r="N176" t="b">
        <f>IF(ROW()-ROW($N$1) &lt;= FILLME!$G$4, TRUE, FALSE)</f>
        <v>0</v>
      </c>
      <c r="O176" t="b">
        <f>IF(ROW()-ROW($O$1) &lt;= FILLME!$G$5, TRUE, FALSE)</f>
        <v>0</v>
      </c>
      <c r="P176" t="b">
        <f>IF(ROW()-ROW($P$1) &lt;= FILLME!$G$7, TRUE, FALSE)</f>
        <v>0</v>
      </c>
      <c r="Q176" t="b">
        <f>IF(ROW()-ROW($Q$1) &lt;= FILLME!$G$6, TRUE, FALSE)</f>
        <v>0</v>
      </c>
      <c r="R176" t="b">
        <f>IF(ROW()-ROW($R$1) &lt;= FILLME!$G$8, TRUE, FALSE)</f>
        <v>0</v>
      </c>
      <c r="S176" t="b">
        <f>IF(ROW()-ROW($S$1) &lt;= FILLME!$G$9, TRUE, FALSE)</f>
        <v>0</v>
      </c>
      <c r="T176" t="b">
        <f>IF(ROW()-ROW($T$1) &lt;= FILLME!$G$10, TRUE, FALSE)</f>
        <v>0</v>
      </c>
      <c r="U176" t="b">
        <f>IF(ROW()-ROW($U$1) &lt;= FILLME!$G$11, TRUE, FALSE)</f>
        <v>0</v>
      </c>
    </row>
    <row r="177" spans="1:21" x14ac:dyDescent="0.25">
      <c r="A177" s="7" t="str">
        <f>FILLME!$B$7</f>
        <v>ISCO</v>
      </c>
      <c r="B177" t="str">
        <f>IF(FILLME!$B$3 = "", "", FILLME!$B$3)</f>
        <v/>
      </c>
      <c r="C177" s="67" t="str">
        <f>IF(FILLME!$B$7="ISCO",FILLME!$E$4,IF(FILLME!$B$7="Grab",FILLME!$E$5))</f>
        <v>IS</v>
      </c>
      <c r="D177" t="str">
        <f>IF(FILLME!$B$4 = "", "", FILLME!$B$4)</f>
        <v>SSEMG</v>
      </c>
      <c r="E177" s="7" t="str">
        <f>TEXT(FILLME!$B$6,"yyyymmdd")</f>
        <v>20260223</v>
      </c>
      <c r="F177" s="8"/>
      <c r="G177" s="7">
        <f>IF(FILLME!$B$7="ISCO",FILLME!$B$6+FILLME!$B$11+(FILLME!$B$13*(H177-FILLME!$B$14)),FILLME!$B$6)</f>
        <v>46076.916666666664</v>
      </c>
      <c r="H177" s="8"/>
      <c r="I177" s="8"/>
      <c r="J177" s="2"/>
      <c r="K177" s="9" t="str">
        <f t="shared" si="6"/>
        <v>_00</v>
      </c>
      <c r="L177" s="10" t="str">
        <f t="shared" si="7"/>
        <v>SSEMG__20260223_00</v>
      </c>
      <c r="M177" s="10" t="str">
        <f t="shared" si="8"/>
        <v>SSEMG__IS_20260223_0000</v>
      </c>
      <c r="N177" t="b">
        <f>IF(ROW()-ROW($N$1) &lt;= FILLME!$G$4, TRUE, FALSE)</f>
        <v>0</v>
      </c>
      <c r="O177" t="b">
        <f>IF(ROW()-ROW($O$1) &lt;= FILLME!$G$5, TRUE, FALSE)</f>
        <v>0</v>
      </c>
      <c r="P177" t="b">
        <f>IF(ROW()-ROW($P$1) &lt;= FILLME!$G$7, TRUE, FALSE)</f>
        <v>0</v>
      </c>
      <c r="Q177" t="b">
        <f>IF(ROW()-ROW($Q$1) &lt;= FILLME!$G$6, TRUE, FALSE)</f>
        <v>0</v>
      </c>
      <c r="R177" t="b">
        <f>IF(ROW()-ROW($R$1) &lt;= FILLME!$G$8, TRUE, FALSE)</f>
        <v>0</v>
      </c>
      <c r="S177" t="b">
        <f>IF(ROW()-ROW($S$1) &lt;= FILLME!$G$9, TRUE, FALSE)</f>
        <v>0</v>
      </c>
      <c r="T177" t="b">
        <f>IF(ROW()-ROW($T$1) &lt;= FILLME!$G$10, TRUE, FALSE)</f>
        <v>0</v>
      </c>
      <c r="U177" t="b">
        <f>IF(ROW()-ROW($U$1) &lt;= FILLME!$G$11, TRUE, FALSE)</f>
        <v>0</v>
      </c>
    </row>
    <row r="178" spans="1:21" x14ac:dyDescent="0.25">
      <c r="A178" s="7" t="str">
        <f>FILLME!$B$7</f>
        <v>ISCO</v>
      </c>
      <c r="B178" t="str">
        <f>IF(FILLME!$B$3 = "", "", FILLME!$B$3)</f>
        <v/>
      </c>
      <c r="C178" s="67" t="str">
        <f>IF(FILLME!$B$7="ISCO",FILLME!$E$4,IF(FILLME!$B$7="Grab",FILLME!$E$5))</f>
        <v>IS</v>
      </c>
      <c r="D178" t="str">
        <f>IF(FILLME!$B$4 = "", "", FILLME!$B$4)</f>
        <v>SSEMG</v>
      </c>
      <c r="E178" s="7" t="str">
        <f>TEXT(FILLME!$B$6,"yyyymmdd")</f>
        <v>20260223</v>
      </c>
      <c r="F178" s="8"/>
      <c r="G178" s="7">
        <f>IF(FILLME!$B$7="ISCO",FILLME!$B$6+FILLME!$B$11+(FILLME!$B$13*(H178-FILLME!$B$14)),FILLME!$B$6)</f>
        <v>46076.916666666664</v>
      </c>
      <c r="H178" s="8"/>
      <c r="I178" s="8"/>
      <c r="J178" s="2"/>
      <c r="K178" s="9" t="str">
        <f t="shared" si="6"/>
        <v>_00</v>
      </c>
      <c r="L178" s="10" t="str">
        <f t="shared" si="7"/>
        <v>SSEMG__20260223_00</v>
      </c>
      <c r="M178" s="10" t="str">
        <f t="shared" si="8"/>
        <v>SSEMG__IS_20260223_0000</v>
      </c>
      <c r="N178" t="b">
        <f>IF(ROW()-ROW($N$1) &lt;= FILLME!$G$4, TRUE, FALSE)</f>
        <v>0</v>
      </c>
      <c r="O178" t="b">
        <f>IF(ROW()-ROW($O$1) &lt;= FILLME!$G$5, TRUE, FALSE)</f>
        <v>0</v>
      </c>
      <c r="P178" t="b">
        <f>IF(ROW()-ROW($P$1) &lt;= FILLME!$G$7, TRUE, FALSE)</f>
        <v>0</v>
      </c>
      <c r="Q178" t="b">
        <f>IF(ROW()-ROW($Q$1) &lt;= FILLME!$G$6, TRUE, FALSE)</f>
        <v>0</v>
      </c>
      <c r="R178" t="b">
        <f>IF(ROW()-ROW($R$1) &lt;= FILLME!$G$8, TRUE, FALSE)</f>
        <v>0</v>
      </c>
      <c r="S178" t="b">
        <f>IF(ROW()-ROW($S$1) &lt;= FILLME!$G$9, TRUE, FALSE)</f>
        <v>0</v>
      </c>
      <c r="T178" t="b">
        <f>IF(ROW()-ROW($T$1) &lt;= FILLME!$G$10, TRUE, FALSE)</f>
        <v>0</v>
      </c>
      <c r="U178" t="b">
        <f>IF(ROW()-ROW($U$1) &lt;= FILLME!$G$11, TRUE, FALSE)</f>
        <v>0</v>
      </c>
    </row>
    <row r="179" spans="1:21" x14ac:dyDescent="0.25">
      <c r="A179" s="7" t="str">
        <f>FILLME!$B$7</f>
        <v>ISCO</v>
      </c>
      <c r="B179" t="str">
        <f>IF(FILLME!$B$3 = "", "", FILLME!$B$3)</f>
        <v/>
      </c>
      <c r="C179" s="67" t="str">
        <f>IF(FILLME!$B$7="ISCO",FILLME!$E$4,IF(FILLME!$B$7="Grab",FILLME!$E$5))</f>
        <v>IS</v>
      </c>
      <c r="D179" t="str">
        <f>IF(FILLME!$B$4 = "", "", FILLME!$B$4)</f>
        <v>SSEMG</v>
      </c>
      <c r="E179" s="7" t="str">
        <f>TEXT(FILLME!$B$6,"yyyymmdd")</f>
        <v>20260223</v>
      </c>
      <c r="F179" s="8"/>
      <c r="G179" s="7">
        <f>IF(FILLME!$B$7="ISCO",FILLME!$B$6+FILLME!$B$11+(FILLME!$B$13*(H179-FILLME!$B$14)),FILLME!$B$6)</f>
        <v>46076.916666666664</v>
      </c>
      <c r="H179" s="8"/>
      <c r="I179" s="8"/>
      <c r="J179" s="2"/>
      <c r="K179" s="9" t="str">
        <f t="shared" si="6"/>
        <v>_00</v>
      </c>
      <c r="L179" s="10" t="str">
        <f t="shared" si="7"/>
        <v>SSEMG__20260223_00</v>
      </c>
      <c r="M179" s="10" t="str">
        <f t="shared" si="8"/>
        <v>SSEMG__IS_20260223_0000</v>
      </c>
      <c r="N179" t="b">
        <f>IF(ROW()-ROW($N$1) &lt;= FILLME!$G$4, TRUE, FALSE)</f>
        <v>0</v>
      </c>
      <c r="O179" t="b">
        <f>IF(ROW()-ROW($O$1) &lt;= FILLME!$G$5, TRUE, FALSE)</f>
        <v>0</v>
      </c>
      <c r="P179" t="b">
        <f>IF(ROW()-ROW($P$1) &lt;= FILLME!$G$7, TRUE, FALSE)</f>
        <v>0</v>
      </c>
      <c r="Q179" t="b">
        <f>IF(ROW()-ROW($Q$1) &lt;= FILLME!$G$6, TRUE, FALSE)</f>
        <v>0</v>
      </c>
      <c r="R179" t="b">
        <f>IF(ROW()-ROW($R$1) &lt;= FILLME!$G$8, TRUE, FALSE)</f>
        <v>0</v>
      </c>
      <c r="S179" t="b">
        <f>IF(ROW()-ROW($S$1) &lt;= FILLME!$G$9, TRUE, FALSE)</f>
        <v>0</v>
      </c>
      <c r="T179" t="b">
        <f>IF(ROW()-ROW($T$1) &lt;= FILLME!$G$10, TRUE, FALSE)</f>
        <v>0</v>
      </c>
      <c r="U179" t="b">
        <f>IF(ROW()-ROW($U$1) &lt;= FILLME!$G$11, TRUE, FALSE)</f>
        <v>0</v>
      </c>
    </row>
    <row r="180" spans="1:21" x14ac:dyDescent="0.25">
      <c r="A180" s="7" t="str">
        <f>FILLME!$B$7</f>
        <v>ISCO</v>
      </c>
      <c r="B180" t="str">
        <f>IF(FILLME!$B$3 = "", "", FILLME!$B$3)</f>
        <v/>
      </c>
      <c r="C180" s="67" t="str">
        <f>IF(FILLME!$B$7="ISCO",FILLME!$E$4,IF(FILLME!$B$7="Grab",FILLME!$E$5))</f>
        <v>IS</v>
      </c>
      <c r="D180" t="str">
        <f>IF(FILLME!$B$4 = "", "", FILLME!$B$4)</f>
        <v>SSEMG</v>
      </c>
      <c r="E180" s="7" t="str">
        <f>TEXT(FILLME!$B$6,"yyyymmdd")</f>
        <v>20260223</v>
      </c>
      <c r="F180" s="8"/>
      <c r="G180" s="7">
        <f>IF(FILLME!$B$7="ISCO",FILLME!$B$6+FILLME!$B$11+(FILLME!$B$13*(H180-FILLME!$B$14)),FILLME!$B$6)</f>
        <v>46076.916666666664</v>
      </c>
      <c r="H180" s="8"/>
      <c r="I180" s="8"/>
      <c r="J180" s="2"/>
      <c r="K180" s="9" t="str">
        <f t="shared" si="6"/>
        <v>_00</v>
      </c>
      <c r="L180" s="10" t="str">
        <f t="shared" si="7"/>
        <v>SSEMG__20260223_00</v>
      </c>
      <c r="M180" s="10" t="str">
        <f t="shared" si="8"/>
        <v>SSEMG__IS_20260223_0000</v>
      </c>
      <c r="N180" t="b">
        <f>IF(ROW()-ROW($N$1) &lt;= FILLME!$G$4, TRUE, FALSE)</f>
        <v>0</v>
      </c>
      <c r="O180" t="b">
        <f>IF(ROW()-ROW($O$1) &lt;= FILLME!$G$5, TRUE, FALSE)</f>
        <v>0</v>
      </c>
      <c r="P180" t="b">
        <f>IF(ROW()-ROW($P$1) &lt;= FILLME!$G$7, TRUE, FALSE)</f>
        <v>0</v>
      </c>
      <c r="Q180" t="b">
        <f>IF(ROW()-ROW($Q$1) &lt;= FILLME!$G$6, TRUE, FALSE)</f>
        <v>0</v>
      </c>
      <c r="R180" t="b">
        <f>IF(ROW()-ROW($R$1) &lt;= FILLME!$G$8, TRUE, FALSE)</f>
        <v>0</v>
      </c>
      <c r="S180" t="b">
        <f>IF(ROW()-ROW($S$1) &lt;= FILLME!$G$9, TRUE, FALSE)</f>
        <v>0</v>
      </c>
      <c r="T180" t="b">
        <f>IF(ROW()-ROW($T$1) &lt;= FILLME!$G$10, TRUE, FALSE)</f>
        <v>0</v>
      </c>
      <c r="U180" t="b">
        <f>IF(ROW()-ROW($U$1) &lt;= FILLME!$G$11, TRUE, FALSE)</f>
        <v>0</v>
      </c>
    </row>
    <row r="181" spans="1:21" x14ac:dyDescent="0.25">
      <c r="A181" s="7" t="str">
        <f>FILLME!$B$7</f>
        <v>ISCO</v>
      </c>
      <c r="B181" t="str">
        <f>IF(FILLME!$B$3 = "", "", FILLME!$B$3)</f>
        <v/>
      </c>
      <c r="C181" s="67" t="str">
        <f>IF(FILLME!$B$7="ISCO",FILLME!$E$4,IF(FILLME!$B$7="Grab",FILLME!$E$5))</f>
        <v>IS</v>
      </c>
      <c r="D181" t="str">
        <f>IF(FILLME!$B$4 = "", "", FILLME!$B$4)</f>
        <v>SSEMG</v>
      </c>
      <c r="E181" s="7" t="str">
        <f>TEXT(FILLME!$B$6,"yyyymmdd")</f>
        <v>20260223</v>
      </c>
      <c r="F181" s="8"/>
      <c r="G181" s="7">
        <f>IF(FILLME!$B$7="ISCO",FILLME!$B$6+FILLME!$B$11+(FILLME!$B$13*(H181-FILLME!$B$14)),FILLME!$B$6)</f>
        <v>46076.916666666664</v>
      </c>
      <c r="H181" s="8"/>
      <c r="I181" s="8"/>
      <c r="J181" s="2"/>
      <c r="K181" s="9" t="str">
        <f t="shared" si="6"/>
        <v>_00</v>
      </c>
      <c r="L181" s="10" t="str">
        <f t="shared" si="7"/>
        <v>SSEMG__20260223_00</v>
      </c>
      <c r="M181" s="10" t="str">
        <f t="shared" si="8"/>
        <v>SSEMG__IS_20260223_0000</v>
      </c>
      <c r="N181" t="b">
        <f>IF(ROW()-ROW($N$1) &lt;= FILLME!$G$4, TRUE, FALSE)</f>
        <v>0</v>
      </c>
      <c r="O181" t="b">
        <f>IF(ROW()-ROW($O$1) &lt;= FILLME!$G$5, TRUE, FALSE)</f>
        <v>0</v>
      </c>
      <c r="P181" t="b">
        <f>IF(ROW()-ROW($P$1) &lt;= FILLME!$G$7, TRUE, FALSE)</f>
        <v>0</v>
      </c>
      <c r="Q181" t="b">
        <f>IF(ROW()-ROW($Q$1) &lt;= FILLME!$G$6, TRUE, FALSE)</f>
        <v>0</v>
      </c>
      <c r="R181" t="b">
        <f>IF(ROW()-ROW($R$1) &lt;= FILLME!$G$8, TRUE, FALSE)</f>
        <v>0</v>
      </c>
      <c r="S181" t="b">
        <f>IF(ROW()-ROW($S$1) &lt;= FILLME!$G$9, TRUE, FALSE)</f>
        <v>0</v>
      </c>
      <c r="T181" t="b">
        <f>IF(ROW()-ROW($T$1) &lt;= FILLME!$G$10, TRUE, FALSE)</f>
        <v>0</v>
      </c>
      <c r="U181" t="b">
        <f>IF(ROW()-ROW($U$1) &lt;= FILLME!$G$11, TRUE, FALSE)</f>
        <v>0</v>
      </c>
    </row>
    <row r="182" spans="1:21" x14ac:dyDescent="0.25">
      <c r="A182" s="7" t="str">
        <f>FILLME!$B$7</f>
        <v>ISCO</v>
      </c>
      <c r="B182" t="str">
        <f>IF(FILLME!$B$3 = "", "", FILLME!$B$3)</f>
        <v/>
      </c>
      <c r="C182" s="67" t="str">
        <f>IF(FILLME!$B$7="ISCO",FILLME!$E$4,IF(FILLME!$B$7="Grab",FILLME!$E$5))</f>
        <v>IS</v>
      </c>
      <c r="D182" t="str">
        <f>IF(FILLME!$B$4 = "", "", FILLME!$B$4)</f>
        <v>SSEMG</v>
      </c>
      <c r="E182" s="7" t="str">
        <f>TEXT(FILLME!$B$6,"yyyymmdd")</f>
        <v>20260223</v>
      </c>
      <c r="F182" s="8"/>
      <c r="G182" s="7">
        <f>IF(FILLME!$B$7="ISCO",FILLME!$B$6+FILLME!$B$11+(FILLME!$B$13*(H182-FILLME!$B$14)),FILLME!$B$6)</f>
        <v>46076.916666666664</v>
      </c>
      <c r="H182" s="8"/>
      <c r="I182" s="8"/>
      <c r="J182" s="2"/>
      <c r="K182" s="9" t="str">
        <f t="shared" si="6"/>
        <v>_00</v>
      </c>
      <c r="L182" s="10" t="str">
        <f t="shared" si="7"/>
        <v>SSEMG__20260223_00</v>
      </c>
      <c r="M182" s="10" t="str">
        <f t="shared" si="8"/>
        <v>SSEMG__IS_20260223_0000</v>
      </c>
      <c r="N182" t="b">
        <f>IF(ROW()-ROW($N$1) &lt;= FILLME!$G$4, TRUE, FALSE)</f>
        <v>0</v>
      </c>
      <c r="O182" t="b">
        <f>IF(ROW()-ROW($O$1) &lt;= FILLME!$G$5, TRUE, FALSE)</f>
        <v>0</v>
      </c>
      <c r="P182" t="b">
        <f>IF(ROW()-ROW($P$1) &lt;= FILLME!$G$7, TRUE, FALSE)</f>
        <v>0</v>
      </c>
      <c r="Q182" t="b">
        <f>IF(ROW()-ROW($Q$1) &lt;= FILLME!$G$6, TRUE, FALSE)</f>
        <v>0</v>
      </c>
      <c r="R182" t="b">
        <f>IF(ROW()-ROW($R$1) &lt;= FILLME!$G$8, TRUE, FALSE)</f>
        <v>0</v>
      </c>
      <c r="S182" t="b">
        <f>IF(ROW()-ROW($S$1) &lt;= FILLME!$G$9, TRUE, FALSE)</f>
        <v>0</v>
      </c>
      <c r="T182" t="b">
        <f>IF(ROW()-ROW($T$1) &lt;= FILLME!$G$10, TRUE, FALSE)</f>
        <v>0</v>
      </c>
      <c r="U182" t="b">
        <f>IF(ROW()-ROW($U$1) &lt;= FILLME!$G$11, TRUE, FALSE)</f>
        <v>0</v>
      </c>
    </row>
    <row r="183" spans="1:21" x14ac:dyDescent="0.25">
      <c r="A183" s="7" t="str">
        <f>FILLME!$B$7</f>
        <v>ISCO</v>
      </c>
      <c r="B183" t="str">
        <f>IF(FILLME!$B$3 = "", "", FILLME!$B$3)</f>
        <v/>
      </c>
      <c r="C183" s="67" t="str">
        <f>IF(FILLME!$B$7="ISCO",FILLME!$E$4,IF(FILLME!$B$7="Grab",FILLME!$E$5))</f>
        <v>IS</v>
      </c>
      <c r="D183" t="str">
        <f>IF(FILLME!$B$4 = "", "", FILLME!$B$4)</f>
        <v>SSEMG</v>
      </c>
      <c r="E183" s="7" t="str">
        <f>TEXT(FILLME!$B$6,"yyyymmdd")</f>
        <v>20260223</v>
      </c>
      <c r="F183" s="8"/>
      <c r="G183" s="7">
        <f>IF(FILLME!$B$7="ISCO",FILLME!$B$6+FILLME!$B$11+(FILLME!$B$13*(H183-FILLME!$B$14)),FILLME!$B$6)</f>
        <v>46076.916666666664</v>
      </c>
      <c r="H183" s="8"/>
      <c r="I183" s="8"/>
      <c r="J183" s="2"/>
      <c r="K183" s="9" t="str">
        <f t="shared" si="6"/>
        <v>_00</v>
      </c>
      <c r="L183" s="10" t="str">
        <f t="shared" si="7"/>
        <v>SSEMG__20260223_00</v>
      </c>
      <c r="M183" s="10" t="str">
        <f t="shared" si="8"/>
        <v>SSEMG__IS_20260223_0000</v>
      </c>
      <c r="N183" t="b">
        <f>IF(ROW()-ROW($N$1) &lt;= FILLME!$G$4, TRUE, FALSE)</f>
        <v>0</v>
      </c>
      <c r="O183" t="b">
        <f>IF(ROW()-ROW($O$1) &lt;= FILLME!$G$5, TRUE, FALSE)</f>
        <v>0</v>
      </c>
      <c r="P183" t="b">
        <f>IF(ROW()-ROW($P$1) &lt;= FILLME!$G$7, TRUE, FALSE)</f>
        <v>0</v>
      </c>
      <c r="Q183" t="b">
        <f>IF(ROW()-ROW($Q$1) &lt;= FILLME!$G$6, TRUE, FALSE)</f>
        <v>0</v>
      </c>
      <c r="R183" t="b">
        <f>IF(ROW()-ROW($R$1) &lt;= FILLME!$G$8, TRUE, FALSE)</f>
        <v>0</v>
      </c>
      <c r="S183" t="b">
        <f>IF(ROW()-ROW($S$1) &lt;= FILLME!$G$9, TRUE, FALSE)</f>
        <v>0</v>
      </c>
      <c r="T183" t="b">
        <f>IF(ROW()-ROW($T$1) &lt;= FILLME!$G$10, TRUE, FALSE)</f>
        <v>0</v>
      </c>
      <c r="U183" t="b">
        <f>IF(ROW()-ROW($U$1) &lt;= FILLME!$G$11, TRUE, FALSE)</f>
        <v>0</v>
      </c>
    </row>
    <row r="184" spans="1:21" x14ac:dyDescent="0.25">
      <c r="A184" s="7" t="str">
        <f>FILLME!$B$7</f>
        <v>ISCO</v>
      </c>
      <c r="B184" t="str">
        <f>IF(FILLME!$B$3 = "", "", FILLME!$B$3)</f>
        <v/>
      </c>
      <c r="C184" s="67" t="str">
        <f>IF(FILLME!$B$7="ISCO",FILLME!$E$4,IF(FILLME!$B$7="Grab",FILLME!$E$5))</f>
        <v>IS</v>
      </c>
      <c r="D184" t="str">
        <f>IF(FILLME!$B$4 = "", "", FILLME!$B$4)</f>
        <v>SSEMG</v>
      </c>
      <c r="E184" s="7" t="str">
        <f>TEXT(FILLME!$B$6,"yyyymmdd")</f>
        <v>20260223</v>
      </c>
      <c r="F184" s="8"/>
      <c r="G184" s="7">
        <f>IF(FILLME!$B$7="ISCO",FILLME!$B$6+FILLME!$B$11+(FILLME!$B$13*(H184-FILLME!$B$14)),FILLME!$B$6)</f>
        <v>46076.916666666664</v>
      </c>
      <c r="H184" s="8"/>
      <c r="I184" s="8"/>
      <c r="J184" s="2"/>
      <c r="K184" s="9" t="str">
        <f t="shared" si="6"/>
        <v>_00</v>
      </c>
      <c r="L184" s="10" t="str">
        <f t="shared" si="7"/>
        <v>SSEMG__20260223_00</v>
      </c>
      <c r="M184" s="10" t="str">
        <f t="shared" si="8"/>
        <v>SSEMG__IS_20260223_0000</v>
      </c>
      <c r="N184" t="b">
        <f>IF(ROW()-ROW($N$1) &lt;= FILLME!$G$4, TRUE, FALSE)</f>
        <v>0</v>
      </c>
      <c r="O184" t="b">
        <f>IF(ROW()-ROW($O$1) &lt;= FILLME!$G$5, TRUE, FALSE)</f>
        <v>0</v>
      </c>
      <c r="P184" t="b">
        <f>IF(ROW()-ROW($P$1) &lt;= FILLME!$G$7, TRUE, FALSE)</f>
        <v>0</v>
      </c>
      <c r="Q184" t="b">
        <f>IF(ROW()-ROW($Q$1) &lt;= FILLME!$G$6, TRUE, FALSE)</f>
        <v>0</v>
      </c>
      <c r="R184" t="b">
        <f>IF(ROW()-ROW($R$1) &lt;= FILLME!$G$8, TRUE, FALSE)</f>
        <v>0</v>
      </c>
      <c r="S184" t="b">
        <f>IF(ROW()-ROW($S$1) &lt;= FILLME!$G$9, TRUE, FALSE)</f>
        <v>0</v>
      </c>
      <c r="T184" t="b">
        <f>IF(ROW()-ROW($T$1) &lt;= FILLME!$G$10, TRUE, FALSE)</f>
        <v>0</v>
      </c>
      <c r="U184" t="b">
        <f>IF(ROW()-ROW($U$1) &lt;= FILLME!$G$11, TRUE, FALSE)</f>
        <v>0</v>
      </c>
    </row>
    <row r="185" spans="1:21" x14ac:dyDescent="0.25">
      <c r="A185" s="7" t="str">
        <f>FILLME!$B$7</f>
        <v>ISCO</v>
      </c>
      <c r="B185" t="str">
        <f>IF(FILLME!$B$3 = "", "", FILLME!$B$3)</f>
        <v/>
      </c>
      <c r="C185" s="67" t="str">
        <f>IF(FILLME!$B$7="ISCO",FILLME!$E$4,IF(FILLME!$B$7="Grab",FILLME!$E$5))</f>
        <v>IS</v>
      </c>
      <c r="D185" t="str">
        <f>IF(FILLME!$B$4 = "", "", FILLME!$B$4)</f>
        <v>SSEMG</v>
      </c>
      <c r="E185" s="7" t="str">
        <f>TEXT(FILLME!$B$6,"yyyymmdd")</f>
        <v>20260223</v>
      </c>
      <c r="F185" s="8"/>
      <c r="G185" s="7">
        <f>IF(FILLME!$B$7="ISCO",FILLME!$B$6+FILLME!$B$11+(FILLME!$B$13*(H185-FILLME!$B$14)),FILLME!$B$6)</f>
        <v>46076.916666666664</v>
      </c>
      <c r="H185" s="8"/>
      <c r="I185" s="8"/>
      <c r="J185" s="2"/>
      <c r="K185" s="9" t="str">
        <f t="shared" si="6"/>
        <v>_00</v>
      </c>
      <c r="L185" s="10" t="str">
        <f t="shared" si="7"/>
        <v>SSEMG__20260223_00</v>
      </c>
      <c r="M185" s="10" t="str">
        <f t="shared" si="8"/>
        <v>SSEMG__IS_20260223_0000</v>
      </c>
      <c r="N185" t="b">
        <f>IF(ROW()-ROW($N$1) &lt;= FILLME!$G$4, TRUE, FALSE)</f>
        <v>0</v>
      </c>
      <c r="O185" t="b">
        <f>IF(ROW()-ROW($O$1) &lt;= FILLME!$G$5, TRUE, FALSE)</f>
        <v>0</v>
      </c>
      <c r="P185" t="b">
        <f>IF(ROW()-ROW($P$1) &lt;= FILLME!$G$7, TRUE, FALSE)</f>
        <v>0</v>
      </c>
      <c r="Q185" t="b">
        <f>IF(ROW()-ROW($Q$1) &lt;= FILLME!$G$6, TRUE, FALSE)</f>
        <v>0</v>
      </c>
      <c r="R185" t="b">
        <f>IF(ROW()-ROW($R$1) &lt;= FILLME!$G$8, TRUE, FALSE)</f>
        <v>0</v>
      </c>
      <c r="S185" t="b">
        <f>IF(ROW()-ROW($S$1) &lt;= FILLME!$G$9, TRUE, FALSE)</f>
        <v>0</v>
      </c>
      <c r="T185" t="b">
        <f>IF(ROW()-ROW($T$1) &lt;= FILLME!$G$10, TRUE, FALSE)</f>
        <v>0</v>
      </c>
      <c r="U185" t="b">
        <f>IF(ROW()-ROW($U$1) &lt;= FILLME!$G$11, TRUE, FALSE)</f>
        <v>0</v>
      </c>
    </row>
    <row r="186" spans="1:21" x14ac:dyDescent="0.25">
      <c r="A186" s="7" t="str">
        <f>FILLME!$B$7</f>
        <v>ISCO</v>
      </c>
      <c r="B186" t="str">
        <f>IF(FILLME!$B$3 = "", "", FILLME!$B$3)</f>
        <v/>
      </c>
      <c r="C186" s="67" t="str">
        <f>IF(FILLME!$B$7="ISCO",FILLME!$E$4,IF(FILLME!$B$7="Grab",FILLME!$E$5))</f>
        <v>IS</v>
      </c>
      <c r="D186" t="str">
        <f>IF(FILLME!$B$4 = "", "", FILLME!$B$4)</f>
        <v>SSEMG</v>
      </c>
      <c r="E186" s="7" t="str">
        <f>TEXT(FILLME!$B$6,"yyyymmdd")</f>
        <v>20260223</v>
      </c>
      <c r="F186" s="8"/>
      <c r="G186" s="7">
        <f>IF(FILLME!$B$7="ISCO",FILLME!$B$6+FILLME!$B$11+(FILLME!$B$13*(H186-FILLME!$B$14)),FILLME!$B$6)</f>
        <v>46076.916666666664</v>
      </c>
      <c r="H186" s="8"/>
      <c r="I186" s="8"/>
      <c r="J186" s="2"/>
      <c r="K186" s="9" t="str">
        <f t="shared" si="6"/>
        <v>_00</v>
      </c>
      <c r="L186" s="10" t="str">
        <f t="shared" si="7"/>
        <v>SSEMG__20260223_00</v>
      </c>
      <c r="M186" s="10" t="str">
        <f t="shared" si="8"/>
        <v>SSEMG__IS_20260223_0000</v>
      </c>
      <c r="N186" t="b">
        <f>IF(ROW()-ROW($N$1) &lt;= FILLME!$G$4, TRUE, FALSE)</f>
        <v>0</v>
      </c>
      <c r="O186" t="b">
        <f>IF(ROW()-ROW($O$1) &lt;= FILLME!$G$5, TRUE, FALSE)</f>
        <v>0</v>
      </c>
      <c r="P186" t="b">
        <f>IF(ROW()-ROW($P$1) &lt;= FILLME!$G$7, TRUE, FALSE)</f>
        <v>0</v>
      </c>
      <c r="Q186" t="b">
        <f>IF(ROW()-ROW($Q$1) &lt;= FILLME!$G$6, TRUE, FALSE)</f>
        <v>0</v>
      </c>
      <c r="R186" t="b">
        <f>IF(ROW()-ROW($R$1) &lt;= FILLME!$G$8, TRUE, FALSE)</f>
        <v>0</v>
      </c>
      <c r="S186" t="b">
        <f>IF(ROW()-ROW($S$1) &lt;= FILLME!$G$9, TRUE, FALSE)</f>
        <v>0</v>
      </c>
      <c r="T186" t="b">
        <f>IF(ROW()-ROW($T$1) &lt;= FILLME!$G$10, TRUE, FALSE)</f>
        <v>0</v>
      </c>
      <c r="U186" t="b">
        <f>IF(ROW()-ROW($U$1) &lt;= FILLME!$G$11, TRUE, FALSE)</f>
        <v>0</v>
      </c>
    </row>
    <row r="187" spans="1:21" x14ac:dyDescent="0.25">
      <c r="A187" s="7" t="str">
        <f>FILLME!$B$7</f>
        <v>ISCO</v>
      </c>
      <c r="B187" t="str">
        <f>IF(FILLME!$B$3 = "", "", FILLME!$B$3)</f>
        <v/>
      </c>
      <c r="C187" s="67" t="str">
        <f>IF(FILLME!$B$7="ISCO",FILLME!$E$4,IF(FILLME!$B$7="Grab",FILLME!$E$5))</f>
        <v>IS</v>
      </c>
      <c r="D187" t="str">
        <f>IF(FILLME!$B$4 = "", "", FILLME!$B$4)</f>
        <v>SSEMG</v>
      </c>
      <c r="E187" s="7" t="str">
        <f>TEXT(FILLME!$B$6,"yyyymmdd")</f>
        <v>20260223</v>
      </c>
      <c r="F187" s="8"/>
      <c r="G187" s="7">
        <f>IF(FILLME!$B$7="ISCO",FILLME!$B$6+FILLME!$B$11+(FILLME!$B$13*(H187-FILLME!$B$14)),FILLME!$B$6)</f>
        <v>46076.916666666664</v>
      </c>
      <c r="H187" s="8"/>
      <c r="I187" s="8"/>
      <c r="J187" s="2"/>
      <c r="K187" s="9" t="str">
        <f t="shared" si="6"/>
        <v>_00</v>
      </c>
      <c r="L187" s="10" t="str">
        <f t="shared" si="7"/>
        <v>SSEMG__20260223_00</v>
      </c>
      <c r="M187" s="10" t="str">
        <f t="shared" si="8"/>
        <v>SSEMG__IS_20260223_0000</v>
      </c>
      <c r="N187" t="b">
        <f>IF(ROW()-ROW($N$1) &lt;= FILLME!$G$4, TRUE, FALSE)</f>
        <v>0</v>
      </c>
      <c r="O187" t="b">
        <f>IF(ROW()-ROW($O$1) &lt;= FILLME!$G$5, TRUE, FALSE)</f>
        <v>0</v>
      </c>
      <c r="P187" t="b">
        <f>IF(ROW()-ROW($P$1) &lt;= FILLME!$G$7, TRUE, FALSE)</f>
        <v>0</v>
      </c>
      <c r="Q187" t="b">
        <f>IF(ROW()-ROW($Q$1) &lt;= FILLME!$G$6, TRUE, FALSE)</f>
        <v>0</v>
      </c>
      <c r="R187" t="b">
        <f>IF(ROW()-ROW($R$1) &lt;= FILLME!$G$8, TRUE, FALSE)</f>
        <v>0</v>
      </c>
      <c r="S187" t="b">
        <f>IF(ROW()-ROW($S$1) &lt;= FILLME!$G$9, TRUE, FALSE)</f>
        <v>0</v>
      </c>
      <c r="T187" t="b">
        <f>IF(ROW()-ROW($T$1) &lt;= FILLME!$G$10, TRUE, FALSE)</f>
        <v>0</v>
      </c>
      <c r="U187" t="b">
        <f>IF(ROW()-ROW($U$1) &lt;= FILLME!$G$11, TRUE, FALSE)</f>
        <v>0</v>
      </c>
    </row>
    <row r="188" spans="1:21" x14ac:dyDescent="0.25">
      <c r="A188" s="7" t="str">
        <f>FILLME!$B$7</f>
        <v>ISCO</v>
      </c>
      <c r="B188" t="str">
        <f>IF(FILLME!$B$3 = "", "", FILLME!$B$3)</f>
        <v/>
      </c>
      <c r="C188" s="67" t="str">
        <f>IF(FILLME!$B$7="ISCO",FILLME!$E$4,IF(FILLME!$B$7="Grab",FILLME!$E$5))</f>
        <v>IS</v>
      </c>
      <c r="D188" t="str">
        <f>IF(FILLME!$B$4 = "", "", FILLME!$B$4)</f>
        <v>SSEMG</v>
      </c>
      <c r="E188" s="7" t="str">
        <f>TEXT(FILLME!$B$6,"yyyymmdd")</f>
        <v>20260223</v>
      </c>
      <c r="F188" s="8"/>
      <c r="G188" s="7">
        <f>IF(FILLME!$B$7="ISCO",FILLME!$B$6+FILLME!$B$11+(FILLME!$B$13*(H188-FILLME!$B$14)),FILLME!$B$6)</f>
        <v>46076.916666666664</v>
      </c>
      <c r="H188" s="8"/>
      <c r="I188" s="8"/>
      <c r="J188" s="2"/>
      <c r="K188" s="9" t="str">
        <f t="shared" si="6"/>
        <v>_00</v>
      </c>
      <c r="L188" s="10" t="str">
        <f t="shared" si="7"/>
        <v>SSEMG__20260223_00</v>
      </c>
      <c r="M188" s="10" t="str">
        <f t="shared" si="8"/>
        <v>SSEMG__IS_20260223_0000</v>
      </c>
      <c r="N188" t="b">
        <f>IF(ROW()-ROW($N$1) &lt;= FILLME!$G$4, TRUE, FALSE)</f>
        <v>0</v>
      </c>
      <c r="O188" t="b">
        <f>IF(ROW()-ROW($O$1) &lt;= FILLME!$G$5, TRUE, FALSE)</f>
        <v>0</v>
      </c>
      <c r="P188" t="b">
        <f>IF(ROW()-ROW($P$1) &lt;= FILLME!$G$7, TRUE, FALSE)</f>
        <v>0</v>
      </c>
      <c r="Q188" t="b">
        <f>IF(ROW()-ROW($Q$1) &lt;= FILLME!$G$6, TRUE, FALSE)</f>
        <v>0</v>
      </c>
      <c r="R188" t="b">
        <f>IF(ROW()-ROW($R$1) &lt;= FILLME!$G$8, TRUE, FALSE)</f>
        <v>0</v>
      </c>
      <c r="S188" t="b">
        <f>IF(ROW()-ROW($S$1) &lt;= FILLME!$G$9, TRUE, FALSE)</f>
        <v>0</v>
      </c>
      <c r="T188" t="b">
        <f>IF(ROW()-ROW($T$1) &lt;= FILLME!$G$10, TRUE, FALSE)</f>
        <v>0</v>
      </c>
      <c r="U188" t="b">
        <f>IF(ROW()-ROW($U$1) &lt;= FILLME!$G$11, TRUE, FALSE)</f>
        <v>0</v>
      </c>
    </row>
    <row r="189" spans="1:21" x14ac:dyDescent="0.25">
      <c r="A189" s="7" t="str">
        <f>FILLME!$B$7</f>
        <v>ISCO</v>
      </c>
      <c r="B189" t="str">
        <f>IF(FILLME!$B$3 = "", "", FILLME!$B$3)</f>
        <v/>
      </c>
      <c r="C189" s="67" t="str">
        <f>IF(FILLME!$B$7="ISCO",FILLME!$E$4,IF(FILLME!$B$7="Grab",FILLME!$E$5))</f>
        <v>IS</v>
      </c>
      <c r="D189" t="str">
        <f>IF(FILLME!$B$4 = "", "", FILLME!$B$4)</f>
        <v>SSEMG</v>
      </c>
      <c r="E189" s="7" t="str">
        <f>TEXT(FILLME!$B$6,"yyyymmdd")</f>
        <v>20260223</v>
      </c>
      <c r="F189" s="8"/>
      <c r="G189" s="7">
        <f>IF(FILLME!$B$7="ISCO",FILLME!$B$6+FILLME!$B$11+(FILLME!$B$13*(H189-FILLME!$B$14)),FILLME!$B$6)</f>
        <v>46076.916666666664</v>
      </c>
      <c r="H189" s="8"/>
      <c r="I189" s="8"/>
      <c r="J189" s="2"/>
      <c r="K189" s="9" t="str">
        <f t="shared" si="6"/>
        <v>_00</v>
      </c>
      <c r="L189" s="10" t="str">
        <f t="shared" si="7"/>
        <v>SSEMG__20260223_00</v>
      </c>
      <c r="M189" s="10" t="str">
        <f t="shared" si="8"/>
        <v>SSEMG__IS_20260223_0000</v>
      </c>
      <c r="N189" t="b">
        <f>IF(ROW()-ROW($N$1) &lt;= FILLME!$G$4, TRUE, FALSE)</f>
        <v>0</v>
      </c>
      <c r="O189" t="b">
        <f>IF(ROW()-ROW($O$1) &lt;= FILLME!$G$5, TRUE, FALSE)</f>
        <v>0</v>
      </c>
      <c r="P189" t="b">
        <f>IF(ROW()-ROW($P$1) &lt;= FILLME!$G$7, TRUE, FALSE)</f>
        <v>0</v>
      </c>
      <c r="Q189" t="b">
        <f>IF(ROW()-ROW($Q$1) &lt;= FILLME!$G$6, TRUE, FALSE)</f>
        <v>0</v>
      </c>
      <c r="R189" t="b">
        <f>IF(ROW()-ROW($R$1) &lt;= FILLME!$G$8, TRUE, FALSE)</f>
        <v>0</v>
      </c>
      <c r="S189" t="b">
        <f>IF(ROW()-ROW($S$1) &lt;= FILLME!$G$9, TRUE, FALSE)</f>
        <v>0</v>
      </c>
      <c r="T189" t="b">
        <f>IF(ROW()-ROW($T$1) &lt;= FILLME!$G$10, TRUE, FALSE)</f>
        <v>0</v>
      </c>
      <c r="U189" t="b">
        <f>IF(ROW()-ROW($U$1) &lt;= FILLME!$G$11, TRUE, FALSE)</f>
        <v>0</v>
      </c>
    </row>
    <row r="190" spans="1:21" x14ac:dyDescent="0.25">
      <c r="A190" s="7" t="str">
        <f>FILLME!$B$7</f>
        <v>ISCO</v>
      </c>
      <c r="B190" t="str">
        <f>IF(FILLME!$B$3 = "", "", FILLME!$B$3)</f>
        <v/>
      </c>
      <c r="C190" s="67" t="str">
        <f>IF(FILLME!$B$7="ISCO",FILLME!$E$4,IF(FILLME!$B$7="Grab",FILLME!$E$5))</f>
        <v>IS</v>
      </c>
      <c r="D190" t="str">
        <f>IF(FILLME!$B$4 = "", "", FILLME!$B$4)</f>
        <v>SSEMG</v>
      </c>
      <c r="E190" s="7" t="str">
        <f>TEXT(FILLME!$B$6,"yyyymmdd")</f>
        <v>20260223</v>
      </c>
      <c r="F190" s="8"/>
      <c r="G190" s="7">
        <f>IF(FILLME!$B$7="ISCO",FILLME!$B$6+FILLME!$B$11+(FILLME!$B$13*(H190-FILLME!$B$14)),FILLME!$B$6)</f>
        <v>46076.916666666664</v>
      </c>
      <c r="H190" s="8"/>
      <c r="I190" s="8"/>
      <c r="J190" s="2"/>
      <c r="K190" s="9" t="str">
        <f t="shared" si="6"/>
        <v>_00</v>
      </c>
      <c r="L190" s="10" t="str">
        <f t="shared" si="7"/>
        <v>SSEMG__20260223_00</v>
      </c>
      <c r="M190" s="10" t="str">
        <f t="shared" si="8"/>
        <v>SSEMG__IS_20260223_0000</v>
      </c>
      <c r="N190" t="b">
        <f>IF(ROW()-ROW($N$1) &lt;= FILLME!$G$4, TRUE, FALSE)</f>
        <v>0</v>
      </c>
      <c r="O190" t="b">
        <f>IF(ROW()-ROW($O$1) &lt;= FILLME!$G$5, TRUE, FALSE)</f>
        <v>0</v>
      </c>
      <c r="P190" t="b">
        <f>IF(ROW()-ROW($P$1) &lt;= FILLME!$G$7, TRUE, FALSE)</f>
        <v>0</v>
      </c>
      <c r="Q190" t="b">
        <f>IF(ROW()-ROW($Q$1) &lt;= FILLME!$G$6, TRUE, FALSE)</f>
        <v>0</v>
      </c>
      <c r="R190" t="b">
        <f>IF(ROW()-ROW($R$1) &lt;= FILLME!$G$8, TRUE, FALSE)</f>
        <v>0</v>
      </c>
      <c r="S190" t="b">
        <f>IF(ROW()-ROW($S$1) &lt;= FILLME!$G$9, TRUE, FALSE)</f>
        <v>0</v>
      </c>
      <c r="T190" t="b">
        <f>IF(ROW()-ROW($T$1) &lt;= FILLME!$G$10, TRUE, FALSE)</f>
        <v>0</v>
      </c>
      <c r="U190" t="b">
        <f>IF(ROW()-ROW($U$1) &lt;= FILLME!$G$11, TRUE, FALSE)</f>
        <v>0</v>
      </c>
    </row>
    <row r="191" spans="1:21" x14ac:dyDescent="0.25">
      <c r="A191" s="7" t="str">
        <f>FILLME!$B$7</f>
        <v>ISCO</v>
      </c>
      <c r="B191" t="str">
        <f>IF(FILLME!$B$3 = "", "", FILLME!$B$3)</f>
        <v/>
      </c>
      <c r="C191" s="67" t="str">
        <f>IF(FILLME!$B$7="ISCO",FILLME!$E$4,IF(FILLME!$B$7="Grab",FILLME!$E$5))</f>
        <v>IS</v>
      </c>
      <c r="D191" t="str">
        <f>IF(FILLME!$B$4 = "", "", FILLME!$B$4)</f>
        <v>SSEMG</v>
      </c>
      <c r="E191" s="7" t="str">
        <f>TEXT(FILLME!$B$6,"yyyymmdd")</f>
        <v>20260223</v>
      </c>
      <c r="F191" s="8"/>
      <c r="G191" s="7">
        <f>IF(FILLME!$B$7="ISCO",FILLME!$B$6+FILLME!$B$11+(FILLME!$B$13*(H191-FILLME!$B$14)),FILLME!$B$6)</f>
        <v>46076.916666666664</v>
      </c>
      <c r="H191" s="8"/>
      <c r="I191" s="8"/>
      <c r="J191" s="2"/>
      <c r="K191" s="9" t="str">
        <f t="shared" si="6"/>
        <v>_00</v>
      </c>
      <c r="L191" s="10" t="str">
        <f t="shared" si="7"/>
        <v>SSEMG__20260223_00</v>
      </c>
      <c r="M191" s="10" t="str">
        <f t="shared" si="8"/>
        <v>SSEMG__IS_20260223_0000</v>
      </c>
      <c r="N191" t="b">
        <f>IF(ROW()-ROW($N$1) &lt;= FILLME!$G$4, TRUE, FALSE)</f>
        <v>0</v>
      </c>
      <c r="O191" t="b">
        <f>IF(ROW()-ROW($O$1) &lt;= FILLME!$G$5, TRUE, FALSE)</f>
        <v>0</v>
      </c>
      <c r="P191" t="b">
        <f>IF(ROW()-ROW($P$1) &lt;= FILLME!$G$7, TRUE, FALSE)</f>
        <v>0</v>
      </c>
      <c r="Q191" t="b">
        <f>IF(ROW()-ROW($Q$1) &lt;= FILLME!$G$6, TRUE, FALSE)</f>
        <v>0</v>
      </c>
      <c r="R191" t="b">
        <f>IF(ROW()-ROW($R$1) &lt;= FILLME!$G$8, TRUE, FALSE)</f>
        <v>0</v>
      </c>
      <c r="S191" t="b">
        <f>IF(ROW()-ROW($S$1) &lt;= FILLME!$G$9, TRUE, FALSE)</f>
        <v>0</v>
      </c>
      <c r="T191" t="b">
        <f>IF(ROW()-ROW($T$1) &lt;= FILLME!$G$10, TRUE, FALSE)</f>
        <v>0</v>
      </c>
      <c r="U191" t="b">
        <f>IF(ROW()-ROW($U$1) &lt;= FILLME!$G$11, TRUE, FALSE)</f>
        <v>0</v>
      </c>
    </row>
    <row r="192" spans="1:21" x14ac:dyDescent="0.25">
      <c r="A192" s="7" t="str">
        <f>FILLME!$B$7</f>
        <v>ISCO</v>
      </c>
      <c r="B192" t="str">
        <f>IF(FILLME!$B$3 = "", "", FILLME!$B$3)</f>
        <v/>
      </c>
      <c r="C192" s="67" t="str">
        <f>IF(FILLME!$B$7="ISCO",FILLME!$E$4,IF(FILLME!$B$7="Grab",FILLME!$E$5))</f>
        <v>IS</v>
      </c>
      <c r="D192" t="str">
        <f>IF(FILLME!$B$4 = "", "", FILLME!$B$4)</f>
        <v>SSEMG</v>
      </c>
      <c r="E192" s="7" t="str">
        <f>TEXT(FILLME!$B$6,"yyyymmdd")</f>
        <v>20260223</v>
      </c>
      <c r="F192" s="8"/>
      <c r="G192" s="7">
        <f>IF(FILLME!$B$7="ISCO",FILLME!$B$6+FILLME!$B$11+(FILLME!$B$13*(H192-FILLME!$B$14)),FILLME!$B$6)</f>
        <v>46076.916666666664</v>
      </c>
      <c r="H192" s="8"/>
      <c r="I192" s="8"/>
      <c r="J192" s="2"/>
      <c r="K192" s="9" t="str">
        <f t="shared" si="6"/>
        <v>_00</v>
      </c>
      <c r="L192" s="10" t="str">
        <f t="shared" si="7"/>
        <v>SSEMG__20260223_00</v>
      </c>
      <c r="M192" s="10" t="str">
        <f t="shared" si="8"/>
        <v>SSEMG__IS_20260223_0000</v>
      </c>
      <c r="N192" t="b">
        <f>IF(ROW()-ROW($N$1) &lt;= FILLME!$G$4, TRUE, FALSE)</f>
        <v>0</v>
      </c>
      <c r="O192" t="b">
        <f>IF(ROW()-ROW($O$1) &lt;= FILLME!$G$5, TRUE, FALSE)</f>
        <v>0</v>
      </c>
      <c r="P192" t="b">
        <f>IF(ROW()-ROW($P$1) &lt;= FILLME!$G$7, TRUE, FALSE)</f>
        <v>0</v>
      </c>
      <c r="Q192" t="b">
        <f>IF(ROW()-ROW($Q$1) &lt;= FILLME!$G$6, TRUE, FALSE)</f>
        <v>0</v>
      </c>
      <c r="R192" t="b">
        <f>IF(ROW()-ROW($R$1) &lt;= FILLME!$G$8, TRUE, FALSE)</f>
        <v>0</v>
      </c>
      <c r="S192" t="b">
        <f>IF(ROW()-ROW($S$1) &lt;= FILLME!$G$9, TRUE, FALSE)</f>
        <v>0</v>
      </c>
      <c r="T192" t="b">
        <f>IF(ROW()-ROW($T$1) &lt;= FILLME!$G$10, TRUE, FALSE)</f>
        <v>0</v>
      </c>
      <c r="U192" t="b">
        <f>IF(ROW()-ROW($U$1) &lt;= FILLME!$G$11, TRUE, FALSE)</f>
        <v>0</v>
      </c>
    </row>
    <row r="193" spans="1:21" x14ac:dyDescent="0.25">
      <c r="A193" s="7" t="str">
        <f>FILLME!$B$7</f>
        <v>ISCO</v>
      </c>
      <c r="B193" t="str">
        <f>IF(FILLME!$B$3 = "", "", FILLME!$B$3)</f>
        <v/>
      </c>
      <c r="C193" s="67" t="str">
        <f>IF(FILLME!$B$7="ISCO",FILLME!$E$4,IF(FILLME!$B$7="Grab",FILLME!$E$5))</f>
        <v>IS</v>
      </c>
      <c r="D193" t="str">
        <f>IF(FILLME!$B$4 = "", "", FILLME!$B$4)</f>
        <v>SSEMG</v>
      </c>
      <c r="E193" s="7" t="str">
        <f>TEXT(FILLME!$B$6,"yyyymmdd")</f>
        <v>20260223</v>
      </c>
      <c r="F193" s="8"/>
      <c r="G193" s="7">
        <f>IF(FILLME!$B$7="ISCO",FILLME!$B$6+FILLME!$B$11+(FILLME!$B$13*(H193-FILLME!$B$14)),FILLME!$B$6)</f>
        <v>46076.916666666664</v>
      </c>
      <c r="H193" s="8"/>
      <c r="I193" s="8"/>
      <c r="J193" s="2"/>
      <c r="K193" s="9" t="str">
        <f t="shared" si="6"/>
        <v>_00</v>
      </c>
      <c r="L193" s="10" t="str">
        <f t="shared" si="7"/>
        <v>SSEMG__20260223_00</v>
      </c>
      <c r="M193" s="10" t="str">
        <f t="shared" si="8"/>
        <v>SSEMG__IS_20260223_0000</v>
      </c>
      <c r="N193" t="b">
        <f>IF(ROW()-ROW($N$1) &lt;= FILLME!$G$4, TRUE, FALSE)</f>
        <v>0</v>
      </c>
      <c r="O193" t="b">
        <f>IF(ROW()-ROW($O$1) &lt;= FILLME!$G$5, TRUE, FALSE)</f>
        <v>0</v>
      </c>
      <c r="P193" t="b">
        <f>IF(ROW()-ROW($P$1) &lt;= FILLME!$G$7, TRUE, FALSE)</f>
        <v>0</v>
      </c>
      <c r="Q193" t="b">
        <f>IF(ROW()-ROW($Q$1) &lt;= FILLME!$G$6, TRUE, FALSE)</f>
        <v>0</v>
      </c>
      <c r="R193" t="b">
        <f>IF(ROW()-ROW($R$1) &lt;= FILLME!$G$8, TRUE, FALSE)</f>
        <v>0</v>
      </c>
      <c r="S193" t="b">
        <f>IF(ROW()-ROW($S$1) &lt;= FILLME!$G$9, TRUE, FALSE)</f>
        <v>0</v>
      </c>
      <c r="T193" t="b">
        <f>IF(ROW()-ROW($T$1) &lt;= FILLME!$G$10, TRUE, FALSE)</f>
        <v>0</v>
      </c>
      <c r="U193" t="b">
        <f>IF(ROW()-ROW($U$1) &lt;= FILLME!$G$11, TRUE, FALSE)</f>
        <v>0</v>
      </c>
    </row>
    <row r="194" spans="1:21" x14ac:dyDescent="0.25">
      <c r="A194" s="7" t="str">
        <f>FILLME!$B$7</f>
        <v>ISCO</v>
      </c>
      <c r="B194" t="str">
        <f>IF(FILLME!$B$3 = "", "", FILLME!$B$3)</f>
        <v/>
      </c>
      <c r="C194" s="67" t="str">
        <f>IF(FILLME!$B$7="ISCO",FILLME!$E$4,IF(FILLME!$B$7="Grab",FILLME!$E$5))</f>
        <v>IS</v>
      </c>
      <c r="D194" t="str">
        <f>IF(FILLME!$B$4 = "", "", FILLME!$B$4)</f>
        <v>SSEMG</v>
      </c>
      <c r="E194" s="7" t="str">
        <f>TEXT(FILLME!$B$6,"yyyymmdd")</f>
        <v>20260223</v>
      </c>
      <c r="F194" s="8"/>
      <c r="G194" s="7">
        <f>IF(FILLME!$B$7="ISCO",FILLME!$B$6+FILLME!$B$11+(FILLME!$B$13*(H194-FILLME!$B$14)),FILLME!$B$6)</f>
        <v>46076.916666666664</v>
      </c>
      <c r="H194" s="8"/>
      <c r="I194" s="8"/>
      <c r="J194" s="2"/>
      <c r="K194" s="9" t="str">
        <f t="shared" ref="K194:K257" si="9">CONCATENATE(J194,"_",TEXT(H194,"00"))</f>
        <v>_00</v>
      </c>
      <c r="L194" s="10" t="str">
        <f t="shared" ref="L194:L257" si="10">CONCATENATE(D194,"_", J194,"_",E194,"_",TEXT(H194,"00"))</f>
        <v>SSEMG__20260223_00</v>
      </c>
      <c r="M194" s="10" t="str">
        <f t="shared" ref="M194:M257" si="11">CONCATENATE(D194,"_", J194,"_",C194,"_",TEXT(G194, "yyyymmdd"),"_",TEXT(F194, "hhmm"))</f>
        <v>SSEMG__IS_20260223_0000</v>
      </c>
      <c r="N194" t="b">
        <f>IF(ROW()-ROW($N$1) &lt;= FILLME!$G$4, TRUE, FALSE)</f>
        <v>0</v>
      </c>
      <c r="O194" t="b">
        <f>IF(ROW()-ROW($O$1) &lt;= FILLME!$G$5, TRUE, FALSE)</f>
        <v>0</v>
      </c>
      <c r="P194" t="b">
        <f>IF(ROW()-ROW($P$1) &lt;= FILLME!$G$7, TRUE, FALSE)</f>
        <v>0</v>
      </c>
      <c r="Q194" t="b">
        <f>IF(ROW()-ROW($Q$1) &lt;= FILLME!$G$6, TRUE, FALSE)</f>
        <v>0</v>
      </c>
      <c r="R194" t="b">
        <f>IF(ROW()-ROW($R$1) &lt;= FILLME!$G$8, TRUE, FALSE)</f>
        <v>0</v>
      </c>
      <c r="S194" t="b">
        <f>IF(ROW()-ROW($S$1) &lt;= FILLME!$G$9, TRUE, FALSE)</f>
        <v>0</v>
      </c>
      <c r="T194" t="b">
        <f>IF(ROW()-ROW($T$1) &lt;= FILLME!$G$10, TRUE, FALSE)</f>
        <v>0</v>
      </c>
      <c r="U194" t="b">
        <f>IF(ROW()-ROW($U$1) &lt;= FILLME!$G$11, TRUE, FALSE)</f>
        <v>0</v>
      </c>
    </row>
    <row r="195" spans="1:21" x14ac:dyDescent="0.25">
      <c r="A195" s="7" t="str">
        <f>FILLME!$B$7</f>
        <v>ISCO</v>
      </c>
      <c r="B195" t="str">
        <f>IF(FILLME!$B$3 = "", "", FILLME!$B$3)</f>
        <v/>
      </c>
      <c r="C195" s="67" t="str">
        <f>IF(FILLME!$B$7="ISCO",FILLME!$E$4,IF(FILLME!$B$7="Grab",FILLME!$E$5))</f>
        <v>IS</v>
      </c>
      <c r="D195" t="str">
        <f>IF(FILLME!$B$4 = "", "", FILLME!$B$4)</f>
        <v>SSEMG</v>
      </c>
      <c r="E195" s="7" t="str">
        <f>TEXT(FILLME!$B$6,"yyyymmdd")</f>
        <v>20260223</v>
      </c>
      <c r="F195" s="8"/>
      <c r="G195" s="7">
        <f>IF(FILLME!$B$7="ISCO",FILLME!$B$6+FILLME!$B$11+(FILLME!$B$13*(H195-FILLME!$B$14)),FILLME!$B$6)</f>
        <v>46076.916666666664</v>
      </c>
      <c r="H195" s="8"/>
      <c r="I195" s="8"/>
      <c r="J195" s="2"/>
      <c r="K195" s="9" t="str">
        <f t="shared" si="9"/>
        <v>_00</v>
      </c>
      <c r="L195" s="10" t="str">
        <f t="shared" si="10"/>
        <v>SSEMG__20260223_00</v>
      </c>
      <c r="M195" s="10" t="str">
        <f t="shared" si="11"/>
        <v>SSEMG__IS_20260223_0000</v>
      </c>
      <c r="N195" t="b">
        <f>IF(ROW()-ROW($N$1) &lt;= FILLME!$G$4, TRUE, FALSE)</f>
        <v>0</v>
      </c>
      <c r="O195" t="b">
        <f>IF(ROW()-ROW($O$1) &lt;= FILLME!$G$5, TRUE, FALSE)</f>
        <v>0</v>
      </c>
      <c r="P195" t="b">
        <f>IF(ROW()-ROW($P$1) &lt;= FILLME!$G$7, TRUE, FALSE)</f>
        <v>0</v>
      </c>
      <c r="Q195" t="b">
        <f>IF(ROW()-ROW($Q$1) &lt;= FILLME!$G$6, TRUE, FALSE)</f>
        <v>0</v>
      </c>
      <c r="R195" t="b">
        <f>IF(ROW()-ROW($R$1) &lt;= FILLME!$G$8, TRUE, FALSE)</f>
        <v>0</v>
      </c>
      <c r="S195" t="b">
        <f>IF(ROW()-ROW($S$1) &lt;= FILLME!$G$9, TRUE, FALSE)</f>
        <v>0</v>
      </c>
      <c r="T195" t="b">
        <f>IF(ROW()-ROW($T$1) &lt;= FILLME!$G$10, TRUE, FALSE)</f>
        <v>0</v>
      </c>
      <c r="U195" t="b">
        <f>IF(ROW()-ROW($U$1) &lt;= FILLME!$G$11, TRUE, FALSE)</f>
        <v>0</v>
      </c>
    </row>
    <row r="196" spans="1:21" x14ac:dyDescent="0.25">
      <c r="A196" s="7" t="str">
        <f>FILLME!$B$7</f>
        <v>ISCO</v>
      </c>
      <c r="B196" t="str">
        <f>IF(FILLME!$B$3 = "", "", FILLME!$B$3)</f>
        <v/>
      </c>
      <c r="C196" s="67" t="str">
        <f>IF(FILLME!$B$7="ISCO",FILLME!$E$4,IF(FILLME!$B$7="Grab",FILLME!$E$5))</f>
        <v>IS</v>
      </c>
      <c r="D196" t="str">
        <f>IF(FILLME!$B$4 = "", "", FILLME!$B$4)</f>
        <v>SSEMG</v>
      </c>
      <c r="E196" s="7" t="str">
        <f>TEXT(FILLME!$B$6,"yyyymmdd")</f>
        <v>20260223</v>
      </c>
      <c r="F196" s="8"/>
      <c r="G196" s="7">
        <f>IF(FILLME!$B$7="ISCO",FILLME!$B$6+FILLME!$B$11+(FILLME!$B$13*(H196-FILLME!$B$14)),FILLME!$B$6)</f>
        <v>46076.916666666664</v>
      </c>
      <c r="H196" s="8"/>
      <c r="I196" s="8"/>
      <c r="J196" s="2"/>
      <c r="K196" s="9" t="str">
        <f t="shared" si="9"/>
        <v>_00</v>
      </c>
      <c r="L196" s="10" t="str">
        <f t="shared" si="10"/>
        <v>SSEMG__20260223_00</v>
      </c>
      <c r="M196" s="10" t="str">
        <f t="shared" si="11"/>
        <v>SSEMG__IS_20260223_0000</v>
      </c>
      <c r="N196" t="b">
        <f>IF(ROW()-ROW($N$1) &lt;= FILLME!$G$4, TRUE, FALSE)</f>
        <v>0</v>
      </c>
      <c r="O196" t="b">
        <f>IF(ROW()-ROW($O$1) &lt;= FILLME!$G$5, TRUE, FALSE)</f>
        <v>0</v>
      </c>
      <c r="P196" t="b">
        <f>IF(ROW()-ROW($P$1) &lt;= FILLME!$G$7, TRUE, FALSE)</f>
        <v>0</v>
      </c>
      <c r="Q196" t="b">
        <f>IF(ROW()-ROW($Q$1) &lt;= FILLME!$G$6, TRUE, FALSE)</f>
        <v>0</v>
      </c>
      <c r="R196" t="b">
        <f>IF(ROW()-ROW($R$1) &lt;= FILLME!$G$8, TRUE, FALSE)</f>
        <v>0</v>
      </c>
      <c r="S196" t="b">
        <f>IF(ROW()-ROW($S$1) &lt;= FILLME!$G$9, TRUE, FALSE)</f>
        <v>0</v>
      </c>
      <c r="T196" t="b">
        <f>IF(ROW()-ROW($T$1) &lt;= FILLME!$G$10, TRUE, FALSE)</f>
        <v>0</v>
      </c>
      <c r="U196" t="b">
        <f>IF(ROW()-ROW($U$1) &lt;= FILLME!$G$11, TRUE, FALSE)</f>
        <v>0</v>
      </c>
    </row>
    <row r="197" spans="1:21" x14ac:dyDescent="0.25">
      <c r="A197" s="7" t="str">
        <f>FILLME!$B$7</f>
        <v>ISCO</v>
      </c>
      <c r="B197" t="str">
        <f>IF(FILLME!$B$3 = "", "", FILLME!$B$3)</f>
        <v/>
      </c>
      <c r="C197" s="67" t="str">
        <f>IF(FILLME!$B$7="ISCO",FILLME!$E$4,IF(FILLME!$B$7="Grab",FILLME!$E$5))</f>
        <v>IS</v>
      </c>
      <c r="D197" t="str">
        <f>IF(FILLME!$B$4 = "", "", FILLME!$B$4)</f>
        <v>SSEMG</v>
      </c>
      <c r="E197" s="7" t="str">
        <f>TEXT(FILLME!$B$6,"yyyymmdd")</f>
        <v>20260223</v>
      </c>
      <c r="F197" s="8"/>
      <c r="G197" s="7">
        <f>IF(FILLME!$B$7="ISCO",FILLME!$B$6+FILLME!$B$11+(FILLME!$B$13*(H197-FILLME!$B$14)),FILLME!$B$6)</f>
        <v>46076.916666666664</v>
      </c>
      <c r="H197" s="8"/>
      <c r="I197" s="8"/>
      <c r="J197" s="2"/>
      <c r="K197" s="9" t="str">
        <f t="shared" si="9"/>
        <v>_00</v>
      </c>
      <c r="L197" s="10" t="str">
        <f t="shared" si="10"/>
        <v>SSEMG__20260223_00</v>
      </c>
      <c r="M197" s="10" t="str">
        <f t="shared" si="11"/>
        <v>SSEMG__IS_20260223_0000</v>
      </c>
      <c r="N197" t="b">
        <f>IF(ROW()-ROW($N$1) &lt;= FILLME!$G$4, TRUE, FALSE)</f>
        <v>0</v>
      </c>
      <c r="O197" t="b">
        <f>IF(ROW()-ROW($O$1) &lt;= FILLME!$G$5, TRUE, FALSE)</f>
        <v>0</v>
      </c>
      <c r="P197" t="b">
        <f>IF(ROW()-ROW($P$1) &lt;= FILLME!$G$7, TRUE, FALSE)</f>
        <v>0</v>
      </c>
      <c r="Q197" t="b">
        <f>IF(ROW()-ROW($Q$1) &lt;= FILLME!$G$6, TRUE, FALSE)</f>
        <v>0</v>
      </c>
      <c r="R197" t="b">
        <f>IF(ROW()-ROW($R$1) &lt;= FILLME!$G$8, TRUE, FALSE)</f>
        <v>0</v>
      </c>
      <c r="S197" t="b">
        <f>IF(ROW()-ROW($S$1) &lt;= FILLME!$G$9, TRUE, FALSE)</f>
        <v>0</v>
      </c>
      <c r="T197" t="b">
        <f>IF(ROW()-ROW($T$1) &lt;= FILLME!$G$10, TRUE, FALSE)</f>
        <v>0</v>
      </c>
      <c r="U197" t="b">
        <f>IF(ROW()-ROW($U$1) &lt;= FILLME!$G$11, TRUE, FALSE)</f>
        <v>0</v>
      </c>
    </row>
    <row r="198" spans="1:21" x14ac:dyDescent="0.25">
      <c r="A198" s="7" t="str">
        <f>FILLME!$B$7</f>
        <v>ISCO</v>
      </c>
      <c r="B198" t="str">
        <f>IF(FILLME!$B$3 = "", "", FILLME!$B$3)</f>
        <v/>
      </c>
      <c r="C198" s="67" t="str">
        <f>IF(FILLME!$B$7="ISCO",FILLME!$E$4,IF(FILLME!$B$7="Grab",FILLME!$E$5))</f>
        <v>IS</v>
      </c>
      <c r="D198" t="str">
        <f>IF(FILLME!$B$4 = "", "", FILLME!$B$4)</f>
        <v>SSEMG</v>
      </c>
      <c r="E198" s="7" t="str">
        <f>TEXT(FILLME!$B$6,"yyyymmdd")</f>
        <v>20260223</v>
      </c>
      <c r="F198" s="8"/>
      <c r="G198" s="7">
        <f>IF(FILLME!$B$7="ISCO",FILLME!$B$6+FILLME!$B$11+(FILLME!$B$13*(H198-FILLME!$B$14)),FILLME!$B$6)</f>
        <v>46076.916666666664</v>
      </c>
      <c r="H198" s="8"/>
      <c r="I198" s="8"/>
      <c r="J198" s="2"/>
      <c r="K198" s="9" t="str">
        <f t="shared" si="9"/>
        <v>_00</v>
      </c>
      <c r="L198" s="10" t="str">
        <f t="shared" si="10"/>
        <v>SSEMG__20260223_00</v>
      </c>
      <c r="M198" s="10" t="str">
        <f t="shared" si="11"/>
        <v>SSEMG__IS_20260223_0000</v>
      </c>
      <c r="N198" t="b">
        <f>IF(ROW()-ROW($N$1) &lt;= FILLME!$G$4, TRUE, FALSE)</f>
        <v>0</v>
      </c>
      <c r="O198" t="b">
        <f>IF(ROW()-ROW($O$1) &lt;= FILLME!$G$5, TRUE, FALSE)</f>
        <v>0</v>
      </c>
      <c r="P198" t="b">
        <f>IF(ROW()-ROW($P$1) &lt;= FILLME!$G$7, TRUE, FALSE)</f>
        <v>0</v>
      </c>
      <c r="Q198" t="b">
        <f>IF(ROW()-ROW($Q$1) &lt;= FILLME!$G$6, TRUE, FALSE)</f>
        <v>0</v>
      </c>
      <c r="R198" t="b">
        <f>IF(ROW()-ROW($R$1) &lt;= FILLME!$G$8, TRUE, FALSE)</f>
        <v>0</v>
      </c>
      <c r="S198" t="b">
        <f>IF(ROW()-ROW($S$1) &lt;= FILLME!$G$9, TRUE, FALSE)</f>
        <v>0</v>
      </c>
      <c r="T198" t="b">
        <f>IF(ROW()-ROW($T$1) &lt;= FILLME!$G$10, TRUE, FALSE)</f>
        <v>0</v>
      </c>
      <c r="U198" t="b">
        <f>IF(ROW()-ROW($U$1) &lt;= FILLME!$G$11, TRUE, FALSE)</f>
        <v>0</v>
      </c>
    </row>
    <row r="199" spans="1:21" x14ac:dyDescent="0.25">
      <c r="A199" s="7" t="str">
        <f>FILLME!$B$7</f>
        <v>ISCO</v>
      </c>
      <c r="B199" t="str">
        <f>IF(FILLME!$B$3 = "", "", FILLME!$B$3)</f>
        <v/>
      </c>
      <c r="C199" s="67" t="str">
        <f>IF(FILLME!$B$7="ISCO",FILLME!$E$4,IF(FILLME!$B$7="Grab",FILLME!$E$5))</f>
        <v>IS</v>
      </c>
      <c r="D199" t="str">
        <f>IF(FILLME!$B$4 = "", "", FILLME!$B$4)</f>
        <v>SSEMG</v>
      </c>
      <c r="E199" s="7" t="str">
        <f>TEXT(FILLME!$B$6,"yyyymmdd")</f>
        <v>20260223</v>
      </c>
      <c r="F199" s="8"/>
      <c r="G199" s="7">
        <f>IF(FILLME!$B$7="ISCO",FILLME!$B$6+FILLME!$B$11+(FILLME!$B$13*(H199-FILLME!$B$14)),FILLME!$B$6)</f>
        <v>46076.916666666664</v>
      </c>
      <c r="H199" s="8"/>
      <c r="I199" s="8"/>
      <c r="J199" s="2"/>
      <c r="K199" s="9" t="str">
        <f t="shared" si="9"/>
        <v>_00</v>
      </c>
      <c r="L199" s="10" t="str">
        <f t="shared" si="10"/>
        <v>SSEMG__20260223_00</v>
      </c>
      <c r="M199" s="10" t="str">
        <f t="shared" si="11"/>
        <v>SSEMG__IS_20260223_0000</v>
      </c>
      <c r="N199" t="b">
        <f>IF(ROW()-ROW($N$1) &lt;= FILLME!$G$4, TRUE, FALSE)</f>
        <v>0</v>
      </c>
      <c r="O199" t="b">
        <f>IF(ROW()-ROW($O$1) &lt;= FILLME!$G$5, TRUE, FALSE)</f>
        <v>0</v>
      </c>
      <c r="P199" t="b">
        <f>IF(ROW()-ROW($P$1) &lt;= FILLME!$G$7, TRUE, FALSE)</f>
        <v>0</v>
      </c>
      <c r="Q199" t="b">
        <f>IF(ROW()-ROW($Q$1) &lt;= FILLME!$G$6, TRUE, FALSE)</f>
        <v>0</v>
      </c>
      <c r="R199" t="b">
        <f>IF(ROW()-ROW($R$1) &lt;= FILLME!$G$8, TRUE, FALSE)</f>
        <v>0</v>
      </c>
      <c r="S199" t="b">
        <f>IF(ROW()-ROW($S$1) &lt;= FILLME!$G$9, TRUE, FALSE)</f>
        <v>0</v>
      </c>
      <c r="T199" t="b">
        <f>IF(ROW()-ROW($T$1) &lt;= FILLME!$G$10, TRUE, FALSE)</f>
        <v>0</v>
      </c>
      <c r="U199" t="b">
        <f>IF(ROW()-ROW($U$1) &lt;= FILLME!$G$11, TRUE, FALSE)</f>
        <v>0</v>
      </c>
    </row>
    <row r="200" spans="1:21" x14ac:dyDescent="0.25">
      <c r="A200" s="7" t="str">
        <f>FILLME!$B$7</f>
        <v>ISCO</v>
      </c>
      <c r="B200" t="str">
        <f>IF(FILLME!$B$3 = "", "", FILLME!$B$3)</f>
        <v/>
      </c>
      <c r="C200" s="67" t="str">
        <f>IF(FILLME!$B$7="ISCO",FILLME!$E$4,IF(FILLME!$B$7="Grab",FILLME!$E$5))</f>
        <v>IS</v>
      </c>
      <c r="D200" t="str">
        <f>IF(FILLME!$B$4 = "", "", FILLME!$B$4)</f>
        <v>SSEMG</v>
      </c>
      <c r="E200" s="7" t="str">
        <f>TEXT(FILLME!$B$6,"yyyymmdd")</f>
        <v>20260223</v>
      </c>
      <c r="F200" s="8"/>
      <c r="G200" s="7">
        <f>IF(FILLME!$B$7="ISCO",FILLME!$B$6+FILLME!$B$11+(FILLME!$B$13*(H200-FILLME!$B$14)),FILLME!$B$6)</f>
        <v>46076.916666666664</v>
      </c>
      <c r="H200" s="8"/>
      <c r="I200" s="8"/>
      <c r="J200" s="2"/>
      <c r="K200" s="9" t="str">
        <f t="shared" si="9"/>
        <v>_00</v>
      </c>
      <c r="L200" s="10" t="str">
        <f t="shared" si="10"/>
        <v>SSEMG__20260223_00</v>
      </c>
      <c r="M200" s="10" t="str">
        <f t="shared" si="11"/>
        <v>SSEMG__IS_20260223_0000</v>
      </c>
      <c r="N200" t="b">
        <f>IF(ROW()-ROW($N$1) &lt;= FILLME!$G$4, TRUE, FALSE)</f>
        <v>0</v>
      </c>
      <c r="O200" t="b">
        <f>IF(ROW()-ROW($O$1) &lt;= FILLME!$G$5, TRUE, FALSE)</f>
        <v>0</v>
      </c>
      <c r="P200" t="b">
        <f>IF(ROW()-ROW($P$1) &lt;= FILLME!$G$7, TRUE, FALSE)</f>
        <v>0</v>
      </c>
      <c r="Q200" t="b">
        <f>IF(ROW()-ROW($Q$1) &lt;= FILLME!$G$6, TRUE, FALSE)</f>
        <v>0</v>
      </c>
      <c r="R200" t="b">
        <f>IF(ROW()-ROW($R$1) &lt;= FILLME!$G$8, TRUE, FALSE)</f>
        <v>0</v>
      </c>
      <c r="S200" t="b">
        <f>IF(ROW()-ROW($S$1) &lt;= FILLME!$G$9, TRUE, FALSE)</f>
        <v>0</v>
      </c>
      <c r="T200" t="b">
        <f>IF(ROW()-ROW($T$1) &lt;= FILLME!$G$10, TRUE, FALSE)</f>
        <v>0</v>
      </c>
      <c r="U200" t="b">
        <f>IF(ROW()-ROW($U$1) &lt;= FILLME!$G$11, TRUE, FALSE)</f>
        <v>0</v>
      </c>
    </row>
    <row r="201" spans="1:21" x14ac:dyDescent="0.25">
      <c r="A201" s="7" t="str">
        <f>FILLME!$B$7</f>
        <v>ISCO</v>
      </c>
      <c r="B201" t="str">
        <f>IF(FILLME!$B$3 = "", "", FILLME!$B$3)</f>
        <v/>
      </c>
      <c r="C201" s="67" t="str">
        <f>IF(FILLME!$B$7="ISCO",FILLME!$E$4,IF(FILLME!$B$7="Grab",FILLME!$E$5))</f>
        <v>IS</v>
      </c>
      <c r="D201" t="str">
        <f>IF(FILLME!$B$4 = "", "", FILLME!$B$4)</f>
        <v>SSEMG</v>
      </c>
      <c r="E201" s="7" t="str">
        <f>TEXT(FILLME!$B$6,"yyyymmdd")</f>
        <v>20260223</v>
      </c>
      <c r="F201" s="8"/>
      <c r="G201" s="7">
        <f>IF(FILLME!$B$7="ISCO",FILLME!$B$6+FILLME!$B$11+(FILLME!$B$13*(H201-FILLME!$B$14)),FILLME!$B$6)</f>
        <v>46076.916666666664</v>
      </c>
      <c r="H201" s="8"/>
      <c r="I201" s="8"/>
      <c r="J201" s="2"/>
      <c r="K201" s="9" t="str">
        <f t="shared" si="9"/>
        <v>_00</v>
      </c>
      <c r="L201" s="10" t="str">
        <f t="shared" si="10"/>
        <v>SSEMG__20260223_00</v>
      </c>
      <c r="M201" s="10" t="str">
        <f t="shared" si="11"/>
        <v>SSEMG__IS_20260223_0000</v>
      </c>
      <c r="N201" t="b">
        <f>IF(ROW()-ROW($N$1) &lt;= FILLME!$G$4, TRUE, FALSE)</f>
        <v>0</v>
      </c>
      <c r="O201" t="b">
        <f>IF(ROW()-ROW($O$1) &lt;= FILLME!$G$5, TRUE, FALSE)</f>
        <v>0</v>
      </c>
      <c r="P201" t="b">
        <f>IF(ROW()-ROW($P$1) &lt;= FILLME!$G$7, TRUE, FALSE)</f>
        <v>0</v>
      </c>
      <c r="Q201" t="b">
        <f>IF(ROW()-ROW($Q$1) &lt;= FILLME!$G$6, TRUE, FALSE)</f>
        <v>0</v>
      </c>
      <c r="R201" t="b">
        <f>IF(ROW()-ROW($R$1) &lt;= FILLME!$G$8, TRUE, FALSE)</f>
        <v>0</v>
      </c>
      <c r="S201" t="b">
        <f>IF(ROW()-ROW($S$1) &lt;= FILLME!$G$9, TRUE, FALSE)</f>
        <v>0</v>
      </c>
      <c r="T201" t="b">
        <f>IF(ROW()-ROW($T$1) &lt;= FILLME!$G$10, TRUE, FALSE)</f>
        <v>0</v>
      </c>
      <c r="U201" t="b">
        <f>IF(ROW()-ROW($U$1) &lt;= FILLME!$G$11, TRUE, FALSE)</f>
        <v>0</v>
      </c>
    </row>
    <row r="202" spans="1:21" x14ac:dyDescent="0.25">
      <c r="A202" s="7" t="str">
        <f>FILLME!$B$7</f>
        <v>ISCO</v>
      </c>
      <c r="B202" t="str">
        <f>IF(FILLME!$B$3 = "", "", FILLME!$B$3)</f>
        <v/>
      </c>
      <c r="C202" s="67" t="str">
        <f>IF(FILLME!$B$7="ISCO",FILLME!$E$4,IF(FILLME!$B$7="Grab",FILLME!$E$5))</f>
        <v>IS</v>
      </c>
      <c r="D202" t="str">
        <f>IF(FILLME!$B$4 = "", "", FILLME!$B$4)</f>
        <v>SSEMG</v>
      </c>
      <c r="E202" s="7" t="str">
        <f>TEXT(FILLME!$B$6,"yyyymmdd")</f>
        <v>20260223</v>
      </c>
      <c r="F202" s="8"/>
      <c r="G202" s="7">
        <f>IF(FILLME!$B$7="ISCO",FILLME!$B$6+FILLME!$B$11+(FILLME!$B$13*(H202-FILLME!$B$14)),FILLME!$B$6)</f>
        <v>46076.916666666664</v>
      </c>
      <c r="H202" s="8"/>
      <c r="I202" s="8"/>
      <c r="J202" s="2"/>
      <c r="K202" s="9" t="str">
        <f t="shared" si="9"/>
        <v>_00</v>
      </c>
      <c r="L202" s="10" t="str">
        <f t="shared" si="10"/>
        <v>SSEMG__20260223_00</v>
      </c>
      <c r="M202" s="10" t="str">
        <f t="shared" si="11"/>
        <v>SSEMG__IS_20260223_0000</v>
      </c>
      <c r="N202" t="b">
        <f>IF(ROW()-ROW($N$1) &lt;= FILLME!$G$4, TRUE, FALSE)</f>
        <v>0</v>
      </c>
      <c r="O202" t="b">
        <f>IF(ROW()-ROW($O$1) &lt;= FILLME!$G$5, TRUE, FALSE)</f>
        <v>0</v>
      </c>
      <c r="P202" t="b">
        <f>IF(ROW()-ROW($P$1) &lt;= FILLME!$G$7, TRUE, FALSE)</f>
        <v>0</v>
      </c>
      <c r="Q202" t="b">
        <f>IF(ROW()-ROW($Q$1) &lt;= FILLME!$G$6, TRUE, FALSE)</f>
        <v>0</v>
      </c>
      <c r="R202" t="b">
        <f>IF(ROW()-ROW($R$1) &lt;= FILLME!$G$8, TRUE, FALSE)</f>
        <v>0</v>
      </c>
      <c r="S202" t="b">
        <f>IF(ROW()-ROW($S$1) &lt;= FILLME!$G$9, TRUE, FALSE)</f>
        <v>0</v>
      </c>
      <c r="T202" t="b">
        <f>IF(ROW()-ROW($T$1) &lt;= FILLME!$G$10, TRUE, FALSE)</f>
        <v>0</v>
      </c>
      <c r="U202" t="b">
        <f>IF(ROW()-ROW($U$1) &lt;= FILLME!$G$11, TRUE, FALSE)</f>
        <v>0</v>
      </c>
    </row>
    <row r="203" spans="1:21" x14ac:dyDescent="0.25">
      <c r="A203" s="7" t="str">
        <f>FILLME!$B$7</f>
        <v>ISCO</v>
      </c>
      <c r="B203" t="str">
        <f>IF(FILLME!$B$3 = "", "", FILLME!$B$3)</f>
        <v/>
      </c>
      <c r="C203" s="67" t="str">
        <f>IF(FILLME!$B$7="ISCO",FILLME!$E$4,IF(FILLME!$B$7="Grab",FILLME!$E$5))</f>
        <v>IS</v>
      </c>
      <c r="D203" t="str">
        <f>IF(FILLME!$B$4 = "", "", FILLME!$B$4)</f>
        <v>SSEMG</v>
      </c>
      <c r="E203" s="7" t="str">
        <f>TEXT(FILLME!$B$6,"yyyymmdd")</f>
        <v>20260223</v>
      </c>
      <c r="F203" s="8"/>
      <c r="G203" s="7">
        <f>IF(FILLME!$B$7="ISCO",FILLME!$B$6+FILLME!$B$11+(FILLME!$B$13*(H203-FILLME!$B$14)),FILLME!$B$6)</f>
        <v>46076.916666666664</v>
      </c>
      <c r="H203" s="8"/>
      <c r="I203" s="8"/>
      <c r="J203" s="2"/>
      <c r="K203" s="9" t="str">
        <f t="shared" si="9"/>
        <v>_00</v>
      </c>
      <c r="L203" s="10" t="str">
        <f t="shared" si="10"/>
        <v>SSEMG__20260223_00</v>
      </c>
      <c r="M203" s="10" t="str">
        <f t="shared" si="11"/>
        <v>SSEMG__IS_20260223_0000</v>
      </c>
      <c r="N203" t="b">
        <f>IF(ROW()-ROW($N$1) &lt;= FILLME!$G$4, TRUE, FALSE)</f>
        <v>0</v>
      </c>
      <c r="O203" t="b">
        <f>IF(ROW()-ROW($O$1) &lt;= FILLME!$G$5, TRUE, FALSE)</f>
        <v>0</v>
      </c>
      <c r="P203" t="b">
        <f>IF(ROW()-ROW($P$1) &lt;= FILLME!$G$7, TRUE, FALSE)</f>
        <v>0</v>
      </c>
      <c r="Q203" t="b">
        <f>IF(ROW()-ROW($Q$1) &lt;= FILLME!$G$6, TRUE, FALSE)</f>
        <v>0</v>
      </c>
      <c r="R203" t="b">
        <f>IF(ROW()-ROW($R$1) &lt;= FILLME!$G$8, TRUE, FALSE)</f>
        <v>0</v>
      </c>
      <c r="S203" t="b">
        <f>IF(ROW()-ROW($S$1) &lt;= FILLME!$G$9, TRUE, FALSE)</f>
        <v>0</v>
      </c>
      <c r="T203" t="b">
        <f>IF(ROW()-ROW($T$1) &lt;= FILLME!$G$10, TRUE, FALSE)</f>
        <v>0</v>
      </c>
      <c r="U203" t="b">
        <f>IF(ROW()-ROW($U$1) &lt;= FILLME!$G$11, TRUE, FALSE)</f>
        <v>0</v>
      </c>
    </row>
    <row r="204" spans="1:21" x14ac:dyDescent="0.25">
      <c r="A204" s="7" t="str">
        <f>FILLME!$B$7</f>
        <v>ISCO</v>
      </c>
      <c r="B204" t="str">
        <f>IF(FILLME!$B$3 = "", "", FILLME!$B$3)</f>
        <v/>
      </c>
      <c r="C204" s="67" t="str">
        <f>IF(FILLME!$B$7="ISCO",FILLME!$E$4,IF(FILLME!$B$7="Grab",FILLME!$E$5))</f>
        <v>IS</v>
      </c>
      <c r="D204" t="str">
        <f>IF(FILLME!$B$4 = "", "", FILLME!$B$4)</f>
        <v>SSEMG</v>
      </c>
      <c r="E204" s="7" t="str">
        <f>TEXT(FILLME!$B$6,"yyyymmdd")</f>
        <v>20260223</v>
      </c>
      <c r="F204" s="8"/>
      <c r="G204" s="7">
        <f>IF(FILLME!$B$7="ISCO",FILLME!$B$6+FILLME!$B$11+(FILLME!$B$13*(H204-FILLME!$B$14)),FILLME!$B$6)</f>
        <v>46076.916666666664</v>
      </c>
      <c r="H204" s="8"/>
      <c r="I204" s="8"/>
      <c r="J204" s="2"/>
      <c r="K204" s="9" t="str">
        <f t="shared" si="9"/>
        <v>_00</v>
      </c>
      <c r="L204" s="10" t="str">
        <f t="shared" si="10"/>
        <v>SSEMG__20260223_00</v>
      </c>
      <c r="M204" s="10" t="str">
        <f t="shared" si="11"/>
        <v>SSEMG__IS_20260223_0000</v>
      </c>
      <c r="N204" t="b">
        <f>IF(ROW()-ROW($N$1) &lt;= FILLME!$G$4, TRUE, FALSE)</f>
        <v>0</v>
      </c>
      <c r="O204" t="b">
        <f>IF(ROW()-ROW($O$1) &lt;= FILLME!$G$5, TRUE, FALSE)</f>
        <v>0</v>
      </c>
      <c r="P204" t="b">
        <f>IF(ROW()-ROW($P$1) &lt;= FILLME!$G$7, TRUE, FALSE)</f>
        <v>0</v>
      </c>
      <c r="Q204" t="b">
        <f>IF(ROW()-ROW($Q$1) &lt;= FILLME!$G$6, TRUE, FALSE)</f>
        <v>0</v>
      </c>
      <c r="R204" t="b">
        <f>IF(ROW()-ROW($R$1) &lt;= FILLME!$G$8, TRUE, FALSE)</f>
        <v>0</v>
      </c>
      <c r="S204" t="b">
        <f>IF(ROW()-ROW($S$1) &lt;= FILLME!$G$9, TRUE, FALSE)</f>
        <v>0</v>
      </c>
      <c r="T204" t="b">
        <f>IF(ROW()-ROW($T$1) &lt;= FILLME!$G$10, TRUE, FALSE)</f>
        <v>0</v>
      </c>
      <c r="U204" t="b">
        <f>IF(ROW()-ROW($U$1) &lt;= FILLME!$G$11, TRUE, FALSE)</f>
        <v>0</v>
      </c>
    </row>
    <row r="205" spans="1:21" x14ac:dyDescent="0.25">
      <c r="A205" s="7" t="str">
        <f>FILLME!$B$7</f>
        <v>ISCO</v>
      </c>
      <c r="B205" t="str">
        <f>IF(FILLME!$B$3 = "", "", FILLME!$B$3)</f>
        <v/>
      </c>
      <c r="C205" s="67" t="str">
        <f>IF(FILLME!$B$7="ISCO",FILLME!$E$4,IF(FILLME!$B$7="Grab",FILLME!$E$5))</f>
        <v>IS</v>
      </c>
      <c r="D205" t="str">
        <f>IF(FILLME!$B$4 = "", "", FILLME!$B$4)</f>
        <v>SSEMG</v>
      </c>
      <c r="E205" s="7" t="str">
        <f>TEXT(FILLME!$B$6,"yyyymmdd")</f>
        <v>20260223</v>
      </c>
      <c r="F205" s="8"/>
      <c r="G205" s="7">
        <f>IF(FILLME!$B$7="ISCO",FILLME!$B$6+FILLME!$B$11+(FILLME!$B$13*(H205-FILLME!$B$14)),FILLME!$B$6)</f>
        <v>46076.916666666664</v>
      </c>
      <c r="H205" s="8"/>
      <c r="I205" s="8"/>
      <c r="J205" s="2"/>
      <c r="K205" s="9" t="str">
        <f t="shared" si="9"/>
        <v>_00</v>
      </c>
      <c r="L205" s="10" t="str">
        <f t="shared" si="10"/>
        <v>SSEMG__20260223_00</v>
      </c>
      <c r="M205" s="10" t="str">
        <f t="shared" si="11"/>
        <v>SSEMG__IS_20260223_0000</v>
      </c>
      <c r="N205" t="b">
        <f>IF(ROW()-ROW($N$1) &lt;= FILLME!$G$4, TRUE, FALSE)</f>
        <v>0</v>
      </c>
      <c r="O205" t="b">
        <f>IF(ROW()-ROW($O$1) &lt;= FILLME!$G$5, TRUE, FALSE)</f>
        <v>0</v>
      </c>
      <c r="P205" t="b">
        <f>IF(ROW()-ROW($P$1) &lt;= FILLME!$G$7, TRUE, FALSE)</f>
        <v>0</v>
      </c>
      <c r="Q205" t="b">
        <f>IF(ROW()-ROW($Q$1) &lt;= FILLME!$G$6, TRUE, FALSE)</f>
        <v>0</v>
      </c>
      <c r="R205" t="b">
        <f>IF(ROW()-ROW($R$1) &lt;= FILLME!$G$8, TRUE, FALSE)</f>
        <v>0</v>
      </c>
      <c r="S205" t="b">
        <f>IF(ROW()-ROW($S$1) &lt;= FILLME!$G$9, TRUE, FALSE)</f>
        <v>0</v>
      </c>
      <c r="T205" t="b">
        <f>IF(ROW()-ROW($T$1) &lt;= FILLME!$G$10, TRUE, FALSE)</f>
        <v>0</v>
      </c>
      <c r="U205" t="b">
        <f>IF(ROW()-ROW($U$1) &lt;= FILLME!$G$11, TRUE, FALSE)</f>
        <v>0</v>
      </c>
    </row>
    <row r="206" spans="1:21" x14ac:dyDescent="0.25">
      <c r="A206" s="7" t="str">
        <f>FILLME!$B$7</f>
        <v>ISCO</v>
      </c>
      <c r="B206" t="str">
        <f>IF(FILLME!$B$3 = "", "", FILLME!$B$3)</f>
        <v/>
      </c>
      <c r="C206" s="67" t="str">
        <f>IF(FILLME!$B$7="ISCO",FILLME!$E$4,IF(FILLME!$B$7="Grab",FILLME!$E$5))</f>
        <v>IS</v>
      </c>
      <c r="D206" t="str">
        <f>IF(FILLME!$B$4 = "", "", FILLME!$B$4)</f>
        <v>SSEMG</v>
      </c>
      <c r="E206" s="7" t="str">
        <f>TEXT(FILLME!$B$6,"yyyymmdd")</f>
        <v>20260223</v>
      </c>
      <c r="F206" s="8"/>
      <c r="G206" s="7">
        <f>IF(FILLME!$B$7="ISCO",FILLME!$B$6+FILLME!$B$11+(FILLME!$B$13*(H206-FILLME!$B$14)),FILLME!$B$6)</f>
        <v>46076.916666666664</v>
      </c>
      <c r="H206" s="8"/>
      <c r="I206" s="8"/>
      <c r="J206" s="2"/>
      <c r="K206" s="9" t="str">
        <f t="shared" si="9"/>
        <v>_00</v>
      </c>
      <c r="L206" s="10" t="str">
        <f t="shared" si="10"/>
        <v>SSEMG__20260223_00</v>
      </c>
      <c r="M206" s="10" t="str">
        <f t="shared" si="11"/>
        <v>SSEMG__IS_20260223_0000</v>
      </c>
      <c r="N206" t="b">
        <f>IF(ROW()-ROW($N$1) &lt;= FILLME!$G$4, TRUE, FALSE)</f>
        <v>0</v>
      </c>
      <c r="O206" t="b">
        <f>IF(ROW()-ROW($O$1) &lt;= FILLME!$G$5, TRUE, FALSE)</f>
        <v>0</v>
      </c>
      <c r="P206" t="b">
        <f>IF(ROW()-ROW($P$1) &lt;= FILLME!$G$7, TRUE, FALSE)</f>
        <v>0</v>
      </c>
      <c r="Q206" t="b">
        <f>IF(ROW()-ROW($Q$1) &lt;= FILLME!$G$6, TRUE, FALSE)</f>
        <v>0</v>
      </c>
      <c r="R206" t="b">
        <f>IF(ROW()-ROW($R$1) &lt;= FILLME!$G$8, TRUE, FALSE)</f>
        <v>0</v>
      </c>
      <c r="S206" t="b">
        <f>IF(ROW()-ROW($S$1) &lt;= FILLME!$G$9, TRUE, FALSE)</f>
        <v>0</v>
      </c>
      <c r="T206" t="b">
        <f>IF(ROW()-ROW($T$1) &lt;= FILLME!$G$10, TRUE, FALSE)</f>
        <v>0</v>
      </c>
      <c r="U206" t="b">
        <f>IF(ROW()-ROW($U$1) &lt;= FILLME!$G$11, TRUE, FALSE)</f>
        <v>0</v>
      </c>
    </row>
    <row r="207" spans="1:21" x14ac:dyDescent="0.25">
      <c r="A207" s="7" t="str">
        <f>FILLME!$B$7</f>
        <v>ISCO</v>
      </c>
      <c r="B207" t="str">
        <f>IF(FILLME!$B$3 = "", "", FILLME!$B$3)</f>
        <v/>
      </c>
      <c r="C207" s="67" t="str">
        <f>IF(FILLME!$B$7="ISCO",FILLME!$E$4,IF(FILLME!$B$7="Grab",FILLME!$E$5))</f>
        <v>IS</v>
      </c>
      <c r="D207" t="str">
        <f>IF(FILLME!$B$4 = "", "", FILLME!$B$4)</f>
        <v>SSEMG</v>
      </c>
      <c r="E207" s="7" t="str">
        <f>TEXT(FILLME!$B$6,"yyyymmdd")</f>
        <v>20260223</v>
      </c>
      <c r="F207" s="8"/>
      <c r="G207" s="7">
        <f>IF(FILLME!$B$7="ISCO",FILLME!$B$6+FILLME!$B$11+(FILLME!$B$13*(H207-FILLME!$B$14)),FILLME!$B$6)</f>
        <v>46076.916666666664</v>
      </c>
      <c r="H207" s="8"/>
      <c r="I207" s="8"/>
      <c r="J207" s="2"/>
      <c r="K207" s="9" t="str">
        <f t="shared" si="9"/>
        <v>_00</v>
      </c>
      <c r="L207" s="10" t="str">
        <f t="shared" si="10"/>
        <v>SSEMG__20260223_00</v>
      </c>
      <c r="M207" s="10" t="str">
        <f t="shared" si="11"/>
        <v>SSEMG__IS_20260223_0000</v>
      </c>
      <c r="N207" t="b">
        <f>IF(ROW()-ROW($N$1) &lt;= FILLME!$G$4, TRUE, FALSE)</f>
        <v>0</v>
      </c>
      <c r="O207" t="b">
        <f>IF(ROW()-ROW($O$1) &lt;= FILLME!$G$5, TRUE, FALSE)</f>
        <v>0</v>
      </c>
      <c r="P207" t="b">
        <f>IF(ROW()-ROW($P$1) &lt;= FILLME!$G$7, TRUE, FALSE)</f>
        <v>0</v>
      </c>
      <c r="Q207" t="b">
        <f>IF(ROW()-ROW($Q$1) &lt;= FILLME!$G$6, TRUE, FALSE)</f>
        <v>0</v>
      </c>
      <c r="R207" t="b">
        <f>IF(ROW()-ROW($R$1) &lt;= FILLME!$G$8, TRUE, FALSE)</f>
        <v>0</v>
      </c>
      <c r="S207" t="b">
        <f>IF(ROW()-ROW($S$1) &lt;= FILLME!$G$9, TRUE, FALSE)</f>
        <v>0</v>
      </c>
      <c r="T207" t="b">
        <f>IF(ROW()-ROW($T$1) &lt;= FILLME!$G$10, TRUE, FALSE)</f>
        <v>0</v>
      </c>
      <c r="U207" t="b">
        <f>IF(ROW()-ROW($U$1) &lt;= FILLME!$G$11, TRUE, FALSE)</f>
        <v>0</v>
      </c>
    </row>
    <row r="208" spans="1:21" x14ac:dyDescent="0.25">
      <c r="A208" s="7" t="str">
        <f>FILLME!$B$7</f>
        <v>ISCO</v>
      </c>
      <c r="B208" t="str">
        <f>IF(FILLME!$B$3 = "", "", FILLME!$B$3)</f>
        <v/>
      </c>
      <c r="C208" s="67" t="str">
        <f>IF(FILLME!$B$7="ISCO",FILLME!$E$4,IF(FILLME!$B$7="Grab",FILLME!$E$5))</f>
        <v>IS</v>
      </c>
      <c r="D208" t="str">
        <f>IF(FILLME!$B$4 = "", "", FILLME!$B$4)</f>
        <v>SSEMG</v>
      </c>
      <c r="E208" s="7" t="str">
        <f>TEXT(FILLME!$B$6,"yyyymmdd")</f>
        <v>20260223</v>
      </c>
      <c r="F208" s="8"/>
      <c r="G208" s="7">
        <f>IF(FILLME!$B$7="ISCO",FILLME!$B$6+FILLME!$B$11+(FILLME!$B$13*(H208-FILLME!$B$14)),FILLME!$B$6)</f>
        <v>46076.916666666664</v>
      </c>
      <c r="H208" s="8"/>
      <c r="I208" s="8"/>
      <c r="J208" s="2"/>
      <c r="K208" s="9" t="str">
        <f t="shared" si="9"/>
        <v>_00</v>
      </c>
      <c r="L208" s="10" t="str">
        <f t="shared" si="10"/>
        <v>SSEMG__20260223_00</v>
      </c>
      <c r="M208" s="10" t="str">
        <f t="shared" si="11"/>
        <v>SSEMG__IS_20260223_0000</v>
      </c>
      <c r="N208" t="b">
        <f>IF(ROW()-ROW($N$1) &lt;= FILLME!$G$4, TRUE, FALSE)</f>
        <v>0</v>
      </c>
      <c r="O208" t="b">
        <f>IF(ROW()-ROW($O$1) &lt;= FILLME!$G$5, TRUE, FALSE)</f>
        <v>0</v>
      </c>
      <c r="P208" t="b">
        <f>IF(ROW()-ROW($P$1) &lt;= FILLME!$G$7, TRUE, FALSE)</f>
        <v>0</v>
      </c>
      <c r="Q208" t="b">
        <f>IF(ROW()-ROW($Q$1) &lt;= FILLME!$G$6, TRUE, FALSE)</f>
        <v>0</v>
      </c>
      <c r="R208" t="b">
        <f>IF(ROW()-ROW($R$1) &lt;= FILLME!$G$8, TRUE, FALSE)</f>
        <v>0</v>
      </c>
      <c r="S208" t="b">
        <f>IF(ROW()-ROW($S$1) &lt;= FILLME!$G$9, TRUE, FALSE)</f>
        <v>0</v>
      </c>
      <c r="T208" t="b">
        <f>IF(ROW()-ROW($T$1) &lt;= FILLME!$G$10, TRUE, FALSE)</f>
        <v>0</v>
      </c>
      <c r="U208" t="b">
        <f>IF(ROW()-ROW($U$1) &lt;= FILLME!$G$11, TRUE, FALSE)</f>
        <v>0</v>
      </c>
    </row>
    <row r="209" spans="1:21" x14ac:dyDescent="0.25">
      <c r="A209" s="7" t="str">
        <f>FILLME!$B$7</f>
        <v>ISCO</v>
      </c>
      <c r="B209" t="str">
        <f>IF(FILLME!$B$3 = "", "", FILLME!$B$3)</f>
        <v/>
      </c>
      <c r="C209" s="67" t="str">
        <f>IF(FILLME!$B$7="ISCO",FILLME!$E$4,IF(FILLME!$B$7="Grab",FILLME!$E$5))</f>
        <v>IS</v>
      </c>
      <c r="D209" t="str">
        <f>IF(FILLME!$B$4 = "", "", FILLME!$B$4)</f>
        <v>SSEMG</v>
      </c>
      <c r="E209" s="7" t="str">
        <f>TEXT(FILLME!$B$6,"yyyymmdd")</f>
        <v>20260223</v>
      </c>
      <c r="F209" s="8"/>
      <c r="G209" s="7">
        <f>IF(FILLME!$B$7="ISCO",FILLME!$B$6+FILLME!$B$11+(FILLME!$B$13*(H209-FILLME!$B$14)),FILLME!$B$6)</f>
        <v>46076.916666666664</v>
      </c>
      <c r="H209" s="8"/>
      <c r="I209" s="8"/>
      <c r="J209" s="2"/>
      <c r="K209" s="9" t="str">
        <f t="shared" si="9"/>
        <v>_00</v>
      </c>
      <c r="L209" s="10" t="str">
        <f t="shared" si="10"/>
        <v>SSEMG__20260223_00</v>
      </c>
      <c r="M209" s="10" t="str">
        <f t="shared" si="11"/>
        <v>SSEMG__IS_20260223_0000</v>
      </c>
      <c r="N209" t="b">
        <f>IF(ROW()-ROW($N$1) &lt;= FILLME!$G$4, TRUE, FALSE)</f>
        <v>0</v>
      </c>
      <c r="O209" t="b">
        <f>IF(ROW()-ROW($O$1) &lt;= FILLME!$G$5, TRUE, FALSE)</f>
        <v>0</v>
      </c>
      <c r="P209" t="b">
        <f>IF(ROW()-ROW($P$1) &lt;= FILLME!$G$7, TRUE, FALSE)</f>
        <v>0</v>
      </c>
      <c r="Q209" t="b">
        <f>IF(ROW()-ROW($Q$1) &lt;= FILLME!$G$6, TRUE, FALSE)</f>
        <v>0</v>
      </c>
      <c r="R209" t="b">
        <f>IF(ROW()-ROW($R$1) &lt;= FILLME!$G$8, TRUE, FALSE)</f>
        <v>0</v>
      </c>
      <c r="S209" t="b">
        <f>IF(ROW()-ROW($S$1) &lt;= FILLME!$G$9, TRUE, FALSE)</f>
        <v>0</v>
      </c>
      <c r="T209" t="b">
        <f>IF(ROW()-ROW($T$1) &lt;= FILLME!$G$10, TRUE, FALSE)</f>
        <v>0</v>
      </c>
      <c r="U209" t="b">
        <f>IF(ROW()-ROW($U$1) &lt;= FILLME!$G$11, TRUE, FALSE)</f>
        <v>0</v>
      </c>
    </row>
    <row r="210" spans="1:21" x14ac:dyDescent="0.25">
      <c r="A210" s="7" t="str">
        <f>FILLME!$B$7</f>
        <v>ISCO</v>
      </c>
      <c r="B210" t="str">
        <f>IF(FILLME!$B$3 = "", "", FILLME!$B$3)</f>
        <v/>
      </c>
      <c r="C210" s="67" t="str">
        <f>IF(FILLME!$B$7="ISCO",FILLME!$E$4,IF(FILLME!$B$7="Grab",FILLME!$E$5))</f>
        <v>IS</v>
      </c>
      <c r="D210" t="str">
        <f>IF(FILLME!$B$4 = "", "", FILLME!$B$4)</f>
        <v>SSEMG</v>
      </c>
      <c r="E210" s="7" t="str">
        <f>TEXT(FILLME!$B$6,"yyyymmdd")</f>
        <v>20260223</v>
      </c>
      <c r="F210" s="8"/>
      <c r="G210" s="7">
        <f>IF(FILLME!$B$7="ISCO",FILLME!$B$6+FILLME!$B$11+(FILLME!$B$13*(H210-FILLME!$B$14)),FILLME!$B$6)</f>
        <v>46076.916666666664</v>
      </c>
      <c r="H210" s="8"/>
      <c r="I210" s="8"/>
      <c r="J210" s="2"/>
      <c r="K210" s="9" t="str">
        <f t="shared" si="9"/>
        <v>_00</v>
      </c>
      <c r="L210" s="10" t="str">
        <f t="shared" si="10"/>
        <v>SSEMG__20260223_00</v>
      </c>
      <c r="M210" s="10" t="str">
        <f t="shared" si="11"/>
        <v>SSEMG__IS_20260223_0000</v>
      </c>
      <c r="N210" t="b">
        <f>IF(ROW()-ROW($N$1) &lt;= FILLME!$G$4, TRUE, FALSE)</f>
        <v>0</v>
      </c>
      <c r="O210" t="b">
        <f>IF(ROW()-ROW($O$1) &lt;= FILLME!$G$5, TRUE, FALSE)</f>
        <v>0</v>
      </c>
      <c r="P210" t="b">
        <f>IF(ROW()-ROW($P$1) &lt;= FILLME!$G$7, TRUE, FALSE)</f>
        <v>0</v>
      </c>
      <c r="Q210" t="b">
        <f>IF(ROW()-ROW($Q$1) &lt;= FILLME!$G$6, TRUE, FALSE)</f>
        <v>0</v>
      </c>
      <c r="R210" t="b">
        <f>IF(ROW()-ROW($R$1) &lt;= FILLME!$G$8, TRUE, FALSE)</f>
        <v>0</v>
      </c>
      <c r="S210" t="b">
        <f>IF(ROW()-ROW($S$1) &lt;= FILLME!$G$9, TRUE, FALSE)</f>
        <v>0</v>
      </c>
      <c r="T210" t="b">
        <f>IF(ROW()-ROW($T$1) &lt;= FILLME!$G$10, TRUE, FALSE)</f>
        <v>0</v>
      </c>
      <c r="U210" t="b">
        <f>IF(ROW()-ROW($U$1) &lt;= FILLME!$G$11, TRUE, FALSE)</f>
        <v>0</v>
      </c>
    </row>
    <row r="211" spans="1:21" x14ac:dyDescent="0.25">
      <c r="A211" s="7" t="str">
        <f>FILLME!$B$7</f>
        <v>ISCO</v>
      </c>
      <c r="B211" t="str">
        <f>IF(FILLME!$B$3 = "", "", FILLME!$B$3)</f>
        <v/>
      </c>
      <c r="C211" s="67" t="str">
        <f>IF(FILLME!$B$7="ISCO",FILLME!$E$4,IF(FILLME!$B$7="Grab",FILLME!$E$5))</f>
        <v>IS</v>
      </c>
      <c r="D211" t="str">
        <f>IF(FILLME!$B$4 = "", "", FILLME!$B$4)</f>
        <v>SSEMG</v>
      </c>
      <c r="E211" s="7" t="str">
        <f>TEXT(FILLME!$B$6,"yyyymmdd")</f>
        <v>20260223</v>
      </c>
      <c r="F211" s="8"/>
      <c r="G211" s="7">
        <f>IF(FILLME!$B$7="ISCO",FILLME!$B$6+FILLME!$B$11+(FILLME!$B$13*(H211-FILLME!$B$14)),FILLME!$B$6)</f>
        <v>46076.916666666664</v>
      </c>
      <c r="H211" s="8"/>
      <c r="I211" s="8"/>
      <c r="J211" s="2"/>
      <c r="K211" s="9" t="str">
        <f t="shared" si="9"/>
        <v>_00</v>
      </c>
      <c r="L211" s="10" t="str">
        <f t="shared" si="10"/>
        <v>SSEMG__20260223_00</v>
      </c>
      <c r="M211" s="10" t="str">
        <f t="shared" si="11"/>
        <v>SSEMG__IS_20260223_0000</v>
      </c>
      <c r="N211" t="b">
        <f>IF(ROW()-ROW($N$1) &lt;= FILLME!$G$4, TRUE, FALSE)</f>
        <v>0</v>
      </c>
      <c r="O211" t="b">
        <f>IF(ROW()-ROW($O$1) &lt;= FILLME!$G$5, TRUE, FALSE)</f>
        <v>0</v>
      </c>
      <c r="P211" t="b">
        <f>IF(ROW()-ROW($P$1) &lt;= FILLME!$G$7, TRUE, FALSE)</f>
        <v>0</v>
      </c>
      <c r="Q211" t="b">
        <f>IF(ROW()-ROW($Q$1) &lt;= FILLME!$G$6, TRUE, FALSE)</f>
        <v>0</v>
      </c>
      <c r="R211" t="b">
        <f>IF(ROW()-ROW($R$1) &lt;= FILLME!$G$8, TRUE, FALSE)</f>
        <v>0</v>
      </c>
      <c r="S211" t="b">
        <f>IF(ROW()-ROW($S$1) &lt;= FILLME!$G$9, TRUE, FALSE)</f>
        <v>0</v>
      </c>
      <c r="T211" t="b">
        <f>IF(ROW()-ROW($T$1) &lt;= FILLME!$G$10, TRUE, FALSE)</f>
        <v>0</v>
      </c>
      <c r="U211" t="b">
        <f>IF(ROW()-ROW($U$1) &lt;= FILLME!$G$11, TRUE, FALSE)</f>
        <v>0</v>
      </c>
    </row>
    <row r="212" spans="1:21" x14ac:dyDescent="0.25">
      <c r="A212" s="7" t="str">
        <f>FILLME!$B$7</f>
        <v>ISCO</v>
      </c>
      <c r="B212" t="str">
        <f>IF(FILLME!$B$3 = "", "", FILLME!$B$3)</f>
        <v/>
      </c>
      <c r="C212" s="67" t="str">
        <f>IF(FILLME!$B$7="ISCO",FILLME!$E$4,IF(FILLME!$B$7="Grab",FILLME!$E$5))</f>
        <v>IS</v>
      </c>
      <c r="D212" t="str">
        <f>IF(FILLME!$B$4 = "", "", FILLME!$B$4)</f>
        <v>SSEMG</v>
      </c>
      <c r="E212" s="7" t="str">
        <f>TEXT(FILLME!$B$6,"yyyymmdd")</f>
        <v>20260223</v>
      </c>
      <c r="F212" s="8"/>
      <c r="G212" s="7">
        <f>IF(FILLME!$B$7="ISCO",FILLME!$B$6+FILLME!$B$11+(FILLME!$B$13*(H212-FILLME!$B$14)),FILLME!$B$6)</f>
        <v>46076.916666666664</v>
      </c>
      <c r="H212" s="8"/>
      <c r="I212" s="8"/>
      <c r="J212" s="2"/>
      <c r="K212" s="9" t="str">
        <f t="shared" si="9"/>
        <v>_00</v>
      </c>
      <c r="L212" s="10" t="str">
        <f t="shared" si="10"/>
        <v>SSEMG__20260223_00</v>
      </c>
      <c r="M212" s="10" t="str">
        <f t="shared" si="11"/>
        <v>SSEMG__IS_20260223_0000</v>
      </c>
      <c r="N212" t="b">
        <f>IF(ROW()-ROW($N$1) &lt;= FILLME!$G$4, TRUE, FALSE)</f>
        <v>0</v>
      </c>
      <c r="O212" t="b">
        <f>IF(ROW()-ROW($O$1) &lt;= FILLME!$G$5, TRUE, FALSE)</f>
        <v>0</v>
      </c>
      <c r="P212" t="b">
        <f>IF(ROW()-ROW($P$1) &lt;= FILLME!$G$7, TRUE, FALSE)</f>
        <v>0</v>
      </c>
      <c r="Q212" t="b">
        <f>IF(ROW()-ROW($Q$1) &lt;= FILLME!$G$6, TRUE, FALSE)</f>
        <v>0</v>
      </c>
      <c r="R212" t="b">
        <f>IF(ROW()-ROW($R$1) &lt;= FILLME!$G$8, TRUE, FALSE)</f>
        <v>0</v>
      </c>
      <c r="S212" t="b">
        <f>IF(ROW()-ROW($S$1) &lt;= FILLME!$G$9, TRUE, FALSE)</f>
        <v>0</v>
      </c>
      <c r="T212" t="b">
        <f>IF(ROW()-ROW($T$1) &lt;= FILLME!$G$10, TRUE, FALSE)</f>
        <v>0</v>
      </c>
      <c r="U212" t="b">
        <f>IF(ROW()-ROW($U$1) &lt;= FILLME!$G$11, TRUE, FALSE)</f>
        <v>0</v>
      </c>
    </row>
    <row r="213" spans="1:21" x14ac:dyDescent="0.25">
      <c r="A213" s="7" t="str">
        <f>FILLME!$B$7</f>
        <v>ISCO</v>
      </c>
      <c r="B213" t="str">
        <f>IF(FILLME!$B$3 = "", "", FILLME!$B$3)</f>
        <v/>
      </c>
      <c r="C213" s="67" t="str">
        <f>IF(FILLME!$B$7="ISCO",FILLME!$E$4,IF(FILLME!$B$7="Grab",FILLME!$E$5))</f>
        <v>IS</v>
      </c>
      <c r="D213" t="str">
        <f>IF(FILLME!$B$4 = "", "", FILLME!$B$4)</f>
        <v>SSEMG</v>
      </c>
      <c r="E213" s="7" t="str">
        <f>TEXT(FILLME!$B$6,"yyyymmdd")</f>
        <v>20260223</v>
      </c>
      <c r="F213" s="8"/>
      <c r="G213" s="7">
        <f>IF(FILLME!$B$7="ISCO",FILLME!$B$6+FILLME!$B$11+(FILLME!$B$13*(H213-FILLME!$B$14)),FILLME!$B$6)</f>
        <v>46076.916666666664</v>
      </c>
      <c r="H213" s="8"/>
      <c r="I213" s="8"/>
      <c r="J213" s="2"/>
      <c r="K213" s="9" t="str">
        <f t="shared" si="9"/>
        <v>_00</v>
      </c>
      <c r="L213" s="10" t="str">
        <f t="shared" si="10"/>
        <v>SSEMG__20260223_00</v>
      </c>
      <c r="M213" s="10" t="str">
        <f t="shared" si="11"/>
        <v>SSEMG__IS_20260223_0000</v>
      </c>
      <c r="N213" t="b">
        <f>IF(ROW()-ROW($N$1) &lt;= FILLME!$G$4, TRUE, FALSE)</f>
        <v>0</v>
      </c>
      <c r="O213" t="b">
        <f>IF(ROW()-ROW($O$1) &lt;= FILLME!$G$5, TRUE, FALSE)</f>
        <v>0</v>
      </c>
      <c r="P213" t="b">
        <f>IF(ROW()-ROW($P$1) &lt;= FILLME!$G$7, TRUE, FALSE)</f>
        <v>0</v>
      </c>
      <c r="Q213" t="b">
        <f>IF(ROW()-ROW($Q$1) &lt;= FILLME!$G$6, TRUE, FALSE)</f>
        <v>0</v>
      </c>
      <c r="R213" t="b">
        <f>IF(ROW()-ROW($R$1) &lt;= FILLME!$G$8, TRUE, FALSE)</f>
        <v>0</v>
      </c>
      <c r="S213" t="b">
        <f>IF(ROW()-ROW($S$1) &lt;= FILLME!$G$9, TRUE, FALSE)</f>
        <v>0</v>
      </c>
      <c r="T213" t="b">
        <f>IF(ROW()-ROW($T$1) &lt;= FILLME!$G$10, TRUE, FALSE)</f>
        <v>0</v>
      </c>
      <c r="U213" t="b">
        <f>IF(ROW()-ROW($U$1) &lt;= FILLME!$G$11, TRUE, FALSE)</f>
        <v>0</v>
      </c>
    </row>
    <row r="214" spans="1:21" x14ac:dyDescent="0.25">
      <c r="A214" s="7" t="str">
        <f>FILLME!$B$7</f>
        <v>ISCO</v>
      </c>
      <c r="B214" t="str">
        <f>IF(FILLME!$B$3 = "", "", FILLME!$B$3)</f>
        <v/>
      </c>
      <c r="C214" s="67" t="str">
        <f>IF(FILLME!$B$7="ISCO",FILLME!$E$4,IF(FILLME!$B$7="Grab",FILLME!$E$5))</f>
        <v>IS</v>
      </c>
      <c r="D214" t="str">
        <f>IF(FILLME!$B$4 = "", "", FILLME!$B$4)</f>
        <v>SSEMG</v>
      </c>
      <c r="E214" s="7" t="str">
        <f>TEXT(FILLME!$B$6,"yyyymmdd")</f>
        <v>20260223</v>
      </c>
      <c r="F214" s="8"/>
      <c r="G214" s="7">
        <f>IF(FILLME!$B$7="ISCO",FILLME!$B$6+FILLME!$B$11+(FILLME!$B$13*(H214-FILLME!$B$14)),FILLME!$B$6)</f>
        <v>46076.916666666664</v>
      </c>
      <c r="H214" s="8"/>
      <c r="I214" s="8"/>
      <c r="J214" s="2"/>
      <c r="K214" s="9" t="str">
        <f t="shared" si="9"/>
        <v>_00</v>
      </c>
      <c r="L214" s="10" t="str">
        <f t="shared" si="10"/>
        <v>SSEMG__20260223_00</v>
      </c>
      <c r="M214" s="10" t="str">
        <f t="shared" si="11"/>
        <v>SSEMG__IS_20260223_0000</v>
      </c>
      <c r="N214" t="b">
        <f>IF(ROW()-ROW($N$1) &lt;= FILLME!$G$4, TRUE, FALSE)</f>
        <v>0</v>
      </c>
      <c r="O214" t="b">
        <f>IF(ROW()-ROW($O$1) &lt;= FILLME!$G$5, TRUE, FALSE)</f>
        <v>0</v>
      </c>
      <c r="P214" t="b">
        <f>IF(ROW()-ROW($P$1) &lt;= FILLME!$G$7, TRUE, FALSE)</f>
        <v>0</v>
      </c>
      <c r="Q214" t="b">
        <f>IF(ROW()-ROW($Q$1) &lt;= FILLME!$G$6, TRUE, FALSE)</f>
        <v>0</v>
      </c>
      <c r="R214" t="b">
        <f>IF(ROW()-ROW($R$1) &lt;= FILLME!$G$8, TRUE, FALSE)</f>
        <v>0</v>
      </c>
      <c r="S214" t="b">
        <f>IF(ROW()-ROW($S$1) &lt;= FILLME!$G$9, TRUE, FALSE)</f>
        <v>0</v>
      </c>
      <c r="T214" t="b">
        <f>IF(ROW()-ROW($T$1) &lt;= FILLME!$G$10, TRUE, FALSE)</f>
        <v>0</v>
      </c>
      <c r="U214" t="b">
        <f>IF(ROW()-ROW($U$1) &lt;= FILLME!$G$11, TRUE, FALSE)</f>
        <v>0</v>
      </c>
    </row>
    <row r="215" spans="1:21" x14ac:dyDescent="0.25">
      <c r="A215" s="7" t="str">
        <f>FILLME!$B$7</f>
        <v>ISCO</v>
      </c>
      <c r="B215" t="str">
        <f>IF(FILLME!$B$3 = "", "", FILLME!$B$3)</f>
        <v/>
      </c>
      <c r="C215" s="67" t="str">
        <f>IF(FILLME!$B$7="ISCO",FILLME!$E$4,IF(FILLME!$B$7="Grab",FILLME!$E$5))</f>
        <v>IS</v>
      </c>
      <c r="D215" t="str">
        <f>IF(FILLME!$B$4 = "", "", FILLME!$B$4)</f>
        <v>SSEMG</v>
      </c>
      <c r="E215" s="7" t="str">
        <f>TEXT(FILLME!$B$6,"yyyymmdd")</f>
        <v>20260223</v>
      </c>
      <c r="F215" s="8"/>
      <c r="G215" s="7">
        <f>IF(FILLME!$B$7="ISCO",FILLME!$B$6+FILLME!$B$11+(FILLME!$B$13*(H215-FILLME!$B$14)),FILLME!$B$6)</f>
        <v>46076.916666666664</v>
      </c>
      <c r="H215" s="8"/>
      <c r="I215" s="8"/>
      <c r="J215" s="2"/>
      <c r="K215" s="9" t="str">
        <f t="shared" si="9"/>
        <v>_00</v>
      </c>
      <c r="L215" s="10" t="str">
        <f t="shared" si="10"/>
        <v>SSEMG__20260223_00</v>
      </c>
      <c r="M215" s="10" t="str">
        <f t="shared" si="11"/>
        <v>SSEMG__IS_20260223_0000</v>
      </c>
      <c r="N215" t="b">
        <f>IF(ROW()-ROW($N$1) &lt;= FILLME!$G$4, TRUE, FALSE)</f>
        <v>0</v>
      </c>
      <c r="O215" t="b">
        <f>IF(ROW()-ROW($O$1) &lt;= FILLME!$G$5, TRUE, FALSE)</f>
        <v>0</v>
      </c>
      <c r="P215" t="b">
        <f>IF(ROW()-ROW($P$1) &lt;= FILLME!$G$7, TRUE, FALSE)</f>
        <v>0</v>
      </c>
      <c r="Q215" t="b">
        <f>IF(ROW()-ROW($Q$1) &lt;= FILLME!$G$6, TRUE, FALSE)</f>
        <v>0</v>
      </c>
      <c r="R215" t="b">
        <f>IF(ROW()-ROW($R$1) &lt;= FILLME!$G$8, TRUE, FALSE)</f>
        <v>0</v>
      </c>
      <c r="S215" t="b">
        <f>IF(ROW()-ROW($S$1) &lt;= FILLME!$G$9, TRUE, FALSE)</f>
        <v>0</v>
      </c>
      <c r="T215" t="b">
        <f>IF(ROW()-ROW($T$1) &lt;= FILLME!$G$10, TRUE, FALSE)</f>
        <v>0</v>
      </c>
      <c r="U215" t="b">
        <f>IF(ROW()-ROW($U$1) &lt;= FILLME!$G$11, TRUE, FALSE)</f>
        <v>0</v>
      </c>
    </row>
    <row r="216" spans="1:21" x14ac:dyDescent="0.25">
      <c r="A216" s="7" t="str">
        <f>FILLME!$B$7</f>
        <v>ISCO</v>
      </c>
      <c r="B216" t="str">
        <f>IF(FILLME!$B$3 = "", "", FILLME!$B$3)</f>
        <v/>
      </c>
      <c r="C216" s="67" t="str">
        <f>IF(FILLME!$B$7="ISCO",FILLME!$E$4,IF(FILLME!$B$7="Grab",FILLME!$E$5))</f>
        <v>IS</v>
      </c>
      <c r="D216" t="str">
        <f>IF(FILLME!$B$4 = "", "", FILLME!$B$4)</f>
        <v>SSEMG</v>
      </c>
      <c r="E216" s="7" t="str">
        <f>TEXT(FILLME!$B$6,"yyyymmdd")</f>
        <v>20260223</v>
      </c>
      <c r="F216" s="8"/>
      <c r="G216" s="7">
        <f>IF(FILLME!$B$7="ISCO",FILLME!$B$6+FILLME!$B$11+(FILLME!$B$13*(H216-FILLME!$B$14)),FILLME!$B$6)</f>
        <v>46076.916666666664</v>
      </c>
      <c r="H216" s="8"/>
      <c r="I216" s="8"/>
      <c r="J216" s="2"/>
      <c r="K216" s="9" t="str">
        <f t="shared" si="9"/>
        <v>_00</v>
      </c>
      <c r="L216" s="10" t="str">
        <f t="shared" si="10"/>
        <v>SSEMG__20260223_00</v>
      </c>
      <c r="M216" s="10" t="str">
        <f t="shared" si="11"/>
        <v>SSEMG__IS_20260223_0000</v>
      </c>
      <c r="N216" t="b">
        <f>IF(ROW()-ROW($N$1) &lt;= FILLME!$G$4, TRUE, FALSE)</f>
        <v>0</v>
      </c>
      <c r="O216" t="b">
        <f>IF(ROW()-ROW($O$1) &lt;= FILLME!$G$5, TRUE, FALSE)</f>
        <v>0</v>
      </c>
      <c r="P216" t="b">
        <f>IF(ROW()-ROW($P$1) &lt;= FILLME!$G$7, TRUE, FALSE)</f>
        <v>0</v>
      </c>
      <c r="Q216" t="b">
        <f>IF(ROW()-ROW($Q$1) &lt;= FILLME!$G$6, TRUE, FALSE)</f>
        <v>0</v>
      </c>
      <c r="R216" t="b">
        <f>IF(ROW()-ROW($R$1) &lt;= FILLME!$G$8, TRUE, FALSE)</f>
        <v>0</v>
      </c>
      <c r="S216" t="b">
        <f>IF(ROW()-ROW($S$1) &lt;= FILLME!$G$9, TRUE, FALSE)</f>
        <v>0</v>
      </c>
      <c r="T216" t="b">
        <f>IF(ROW()-ROW($T$1) &lt;= FILLME!$G$10, TRUE, FALSE)</f>
        <v>0</v>
      </c>
      <c r="U216" t="b">
        <f>IF(ROW()-ROW($U$1) &lt;= FILLME!$G$11, TRUE, FALSE)</f>
        <v>0</v>
      </c>
    </row>
    <row r="217" spans="1:21" x14ac:dyDescent="0.25">
      <c r="A217" s="7" t="str">
        <f>FILLME!$B$7</f>
        <v>ISCO</v>
      </c>
      <c r="B217" t="str">
        <f>IF(FILLME!$B$3 = "", "", FILLME!$B$3)</f>
        <v/>
      </c>
      <c r="C217" s="67" t="str">
        <f>IF(FILLME!$B$7="ISCO",FILLME!$E$4,IF(FILLME!$B$7="Grab",FILLME!$E$5))</f>
        <v>IS</v>
      </c>
      <c r="D217" t="str">
        <f>IF(FILLME!$B$4 = "", "", FILLME!$B$4)</f>
        <v>SSEMG</v>
      </c>
      <c r="E217" s="7" t="str">
        <f>TEXT(FILLME!$B$6,"yyyymmdd")</f>
        <v>20260223</v>
      </c>
      <c r="F217" s="8"/>
      <c r="G217" s="7">
        <f>IF(FILLME!$B$7="ISCO",FILLME!$B$6+FILLME!$B$11+(FILLME!$B$13*(H217-FILLME!$B$14)),FILLME!$B$6)</f>
        <v>46076.916666666664</v>
      </c>
      <c r="H217" s="8"/>
      <c r="I217" s="8"/>
      <c r="J217" s="2"/>
      <c r="K217" s="9" t="str">
        <f t="shared" si="9"/>
        <v>_00</v>
      </c>
      <c r="L217" s="10" t="str">
        <f t="shared" si="10"/>
        <v>SSEMG__20260223_00</v>
      </c>
      <c r="M217" s="10" t="str">
        <f t="shared" si="11"/>
        <v>SSEMG__IS_20260223_0000</v>
      </c>
      <c r="N217" t="b">
        <f>IF(ROW()-ROW($N$1) &lt;= FILLME!$G$4, TRUE, FALSE)</f>
        <v>0</v>
      </c>
      <c r="O217" t="b">
        <f>IF(ROW()-ROW($O$1) &lt;= FILLME!$G$5, TRUE, FALSE)</f>
        <v>0</v>
      </c>
      <c r="P217" t="b">
        <f>IF(ROW()-ROW($P$1) &lt;= FILLME!$G$7, TRUE, FALSE)</f>
        <v>0</v>
      </c>
      <c r="Q217" t="b">
        <f>IF(ROW()-ROW($Q$1) &lt;= FILLME!$G$6, TRUE, FALSE)</f>
        <v>0</v>
      </c>
      <c r="R217" t="b">
        <f>IF(ROW()-ROW($R$1) &lt;= FILLME!$G$8, TRUE, FALSE)</f>
        <v>0</v>
      </c>
      <c r="S217" t="b">
        <f>IF(ROW()-ROW($S$1) &lt;= FILLME!$G$9, TRUE, FALSE)</f>
        <v>0</v>
      </c>
      <c r="T217" t="b">
        <f>IF(ROW()-ROW($T$1) &lt;= FILLME!$G$10, TRUE, FALSE)</f>
        <v>0</v>
      </c>
      <c r="U217" t="b">
        <f>IF(ROW()-ROW($U$1) &lt;= FILLME!$G$11, TRUE, FALSE)</f>
        <v>0</v>
      </c>
    </row>
    <row r="218" spans="1:21" x14ac:dyDescent="0.25">
      <c r="A218" s="7" t="str">
        <f>FILLME!$B$7</f>
        <v>ISCO</v>
      </c>
      <c r="B218" t="str">
        <f>IF(FILLME!$B$3 = "", "", FILLME!$B$3)</f>
        <v/>
      </c>
      <c r="C218" s="67" t="str">
        <f>IF(FILLME!$B$7="ISCO",FILLME!$E$4,IF(FILLME!$B$7="Grab",FILLME!$E$5))</f>
        <v>IS</v>
      </c>
      <c r="D218" t="str">
        <f>IF(FILLME!$B$4 = "", "", FILLME!$B$4)</f>
        <v>SSEMG</v>
      </c>
      <c r="E218" s="7" t="str">
        <f>TEXT(FILLME!$B$6,"yyyymmdd")</f>
        <v>20260223</v>
      </c>
      <c r="F218" s="8"/>
      <c r="G218" s="7">
        <f>IF(FILLME!$B$7="ISCO",FILLME!$B$6+FILLME!$B$11+(FILLME!$B$13*(H218-FILLME!$B$14)),FILLME!$B$6)</f>
        <v>46076.916666666664</v>
      </c>
      <c r="H218" s="8"/>
      <c r="I218" s="8"/>
      <c r="J218" s="2"/>
      <c r="K218" s="9" t="str">
        <f t="shared" si="9"/>
        <v>_00</v>
      </c>
      <c r="L218" s="10" t="str">
        <f t="shared" si="10"/>
        <v>SSEMG__20260223_00</v>
      </c>
      <c r="M218" s="10" t="str">
        <f t="shared" si="11"/>
        <v>SSEMG__IS_20260223_0000</v>
      </c>
      <c r="N218" t="b">
        <f>IF(ROW()-ROW($N$1) &lt;= FILLME!$G$4, TRUE, FALSE)</f>
        <v>0</v>
      </c>
      <c r="O218" t="b">
        <f>IF(ROW()-ROW($O$1) &lt;= FILLME!$G$5, TRUE, FALSE)</f>
        <v>0</v>
      </c>
      <c r="P218" t="b">
        <f>IF(ROW()-ROW($P$1) &lt;= FILLME!$G$7, TRUE, FALSE)</f>
        <v>0</v>
      </c>
      <c r="Q218" t="b">
        <f>IF(ROW()-ROW($Q$1) &lt;= FILLME!$G$6, TRUE, FALSE)</f>
        <v>0</v>
      </c>
      <c r="R218" t="b">
        <f>IF(ROW()-ROW($R$1) &lt;= FILLME!$G$8, TRUE, FALSE)</f>
        <v>0</v>
      </c>
      <c r="S218" t="b">
        <f>IF(ROW()-ROW($S$1) &lt;= FILLME!$G$9, TRUE, FALSE)</f>
        <v>0</v>
      </c>
      <c r="T218" t="b">
        <f>IF(ROW()-ROW($T$1) &lt;= FILLME!$G$10, TRUE, FALSE)</f>
        <v>0</v>
      </c>
      <c r="U218" t="b">
        <f>IF(ROW()-ROW($U$1) &lt;= FILLME!$G$11, TRUE, FALSE)</f>
        <v>0</v>
      </c>
    </row>
    <row r="219" spans="1:21" x14ac:dyDescent="0.25">
      <c r="A219" s="7" t="str">
        <f>FILLME!$B$7</f>
        <v>ISCO</v>
      </c>
      <c r="B219" t="str">
        <f>IF(FILLME!$B$3 = "", "", FILLME!$B$3)</f>
        <v/>
      </c>
      <c r="C219" s="67" t="str">
        <f>IF(FILLME!$B$7="ISCO",FILLME!$E$4,IF(FILLME!$B$7="Grab",FILLME!$E$5))</f>
        <v>IS</v>
      </c>
      <c r="D219" t="str">
        <f>IF(FILLME!$B$4 = "", "", FILLME!$B$4)</f>
        <v>SSEMG</v>
      </c>
      <c r="E219" s="7" t="str">
        <f>TEXT(FILLME!$B$6,"yyyymmdd")</f>
        <v>20260223</v>
      </c>
      <c r="F219" s="8"/>
      <c r="G219" s="7">
        <f>IF(FILLME!$B$7="ISCO",FILLME!$B$6+FILLME!$B$11+(FILLME!$B$13*(H219-FILLME!$B$14)),FILLME!$B$6)</f>
        <v>46076.916666666664</v>
      </c>
      <c r="H219" s="8"/>
      <c r="I219" s="8"/>
      <c r="J219" s="2"/>
      <c r="K219" s="9" t="str">
        <f t="shared" si="9"/>
        <v>_00</v>
      </c>
      <c r="L219" s="10" t="str">
        <f t="shared" si="10"/>
        <v>SSEMG__20260223_00</v>
      </c>
      <c r="M219" s="10" t="str">
        <f t="shared" si="11"/>
        <v>SSEMG__IS_20260223_0000</v>
      </c>
      <c r="N219" t="b">
        <f>IF(ROW()-ROW($N$1) &lt;= FILLME!$G$4, TRUE, FALSE)</f>
        <v>0</v>
      </c>
      <c r="O219" t="b">
        <f>IF(ROW()-ROW($O$1) &lt;= FILLME!$G$5, TRUE, FALSE)</f>
        <v>0</v>
      </c>
      <c r="P219" t="b">
        <f>IF(ROW()-ROW($P$1) &lt;= FILLME!$G$7, TRUE, FALSE)</f>
        <v>0</v>
      </c>
      <c r="Q219" t="b">
        <f>IF(ROW()-ROW($Q$1) &lt;= FILLME!$G$6, TRUE, FALSE)</f>
        <v>0</v>
      </c>
      <c r="R219" t="b">
        <f>IF(ROW()-ROW($R$1) &lt;= FILLME!$G$8, TRUE, FALSE)</f>
        <v>0</v>
      </c>
      <c r="S219" t="b">
        <f>IF(ROW()-ROW($S$1) &lt;= FILLME!$G$9, TRUE, FALSE)</f>
        <v>0</v>
      </c>
      <c r="T219" t="b">
        <f>IF(ROW()-ROW($T$1) &lt;= FILLME!$G$10, TRUE, FALSE)</f>
        <v>0</v>
      </c>
      <c r="U219" t="b">
        <f>IF(ROW()-ROW($U$1) &lt;= FILLME!$G$11, TRUE, FALSE)</f>
        <v>0</v>
      </c>
    </row>
    <row r="220" spans="1:21" x14ac:dyDescent="0.25">
      <c r="A220" s="7" t="str">
        <f>FILLME!$B$7</f>
        <v>ISCO</v>
      </c>
      <c r="B220" t="str">
        <f>IF(FILLME!$B$3 = "", "", FILLME!$B$3)</f>
        <v/>
      </c>
      <c r="C220" s="67" t="str">
        <f>IF(FILLME!$B$7="ISCO",FILLME!$E$4,IF(FILLME!$B$7="Grab",FILLME!$E$5))</f>
        <v>IS</v>
      </c>
      <c r="D220" t="str">
        <f>IF(FILLME!$B$4 = "", "", FILLME!$B$4)</f>
        <v>SSEMG</v>
      </c>
      <c r="E220" s="7" t="str">
        <f>TEXT(FILLME!$B$6,"yyyymmdd")</f>
        <v>20260223</v>
      </c>
      <c r="F220" s="8"/>
      <c r="G220" s="7">
        <f>IF(FILLME!$B$7="ISCO",FILLME!$B$6+FILLME!$B$11+(FILLME!$B$13*(H220-FILLME!$B$14)),FILLME!$B$6)</f>
        <v>46076.916666666664</v>
      </c>
      <c r="H220" s="8"/>
      <c r="I220" s="8"/>
      <c r="J220" s="2"/>
      <c r="K220" s="9" t="str">
        <f t="shared" si="9"/>
        <v>_00</v>
      </c>
      <c r="L220" s="10" t="str">
        <f t="shared" si="10"/>
        <v>SSEMG__20260223_00</v>
      </c>
      <c r="M220" s="10" t="str">
        <f t="shared" si="11"/>
        <v>SSEMG__IS_20260223_0000</v>
      </c>
      <c r="N220" t="b">
        <f>IF(ROW()-ROW($N$1) &lt;= FILLME!$G$4, TRUE, FALSE)</f>
        <v>0</v>
      </c>
      <c r="O220" t="b">
        <f>IF(ROW()-ROW($O$1) &lt;= FILLME!$G$5, TRUE, FALSE)</f>
        <v>0</v>
      </c>
      <c r="P220" t="b">
        <f>IF(ROW()-ROW($P$1) &lt;= FILLME!$G$7, TRUE, FALSE)</f>
        <v>0</v>
      </c>
      <c r="Q220" t="b">
        <f>IF(ROW()-ROW($Q$1) &lt;= FILLME!$G$6, TRUE, FALSE)</f>
        <v>0</v>
      </c>
      <c r="R220" t="b">
        <f>IF(ROW()-ROW($R$1) &lt;= FILLME!$G$8, TRUE, FALSE)</f>
        <v>0</v>
      </c>
      <c r="S220" t="b">
        <f>IF(ROW()-ROW($S$1) &lt;= FILLME!$G$9, TRUE, FALSE)</f>
        <v>0</v>
      </c>
      <c r="T220" t="b">
        <f>IF(ROW()-ROW($T$1) &lt;= FILLME!$G$10, TRUE, FALSE)</f>
        <v>0</v>
      </c>
      <c r="U220" t="b">
        <f>IF(ROW()-ROW($U$1) &lt;= FILLME!$G$11, TRUE, FALSE)</f>
        <v>0</v>
      </c>
    </row>
    <row r="221" spans="1:21" x14ac:dyDescent="0.25">
      <c r="A221" s="7" t="str">
        <f>FILLME!$B$7</f>
        <v>ISCO</v>
      </c>
      <c r="B221" t="str">
        <f>IF(FILLME!$B$3 = "", "", FILLME!$B$3)</f>
        <v/>
      </c>
      <c r="C221" s="67" t="str">
        <f>IF(FILLME!$B$7="ISCO",FILLME!$E$4,IF(FILLME!$B$7="Grab",FILLME!$E$5))</f>
        <v>IS</v>
      </c>
      <c r="D221" t="str">
        <f>IF(FILLME!$B$4 = "", "", FILLME!$B$4)</f>
        <v>SSEMG</v>
      </c>
      <c r="E221" s="7" t="str">
        <f>TEXT(FILLME!$B$6,"yyyymmdd")</f>
        <v>20260223</v>
      </c>
      <c r="F221" s="8"/>
      <c r="G221" s="7">
        <f>IF(FILLME!$B$7="ISCO",FILLME!$B$6+FILLME!$B$11+(FILLME!$B$13*(H221-FILLME!$B$14)),FILLME!$B$6)</f>
        <v>46076.916666666664</v>
      </c>
      <c r="H221" s="8"/>
      <c r="I221" s="8"/>
      <c r="J221" s="2"/>
      <c r="K221" s="9" t="str">
        <f t="shared" si="9"/>
        <v>_00</v>
      </c>
      <c r="L221" s="10" t="str">
        <f t="shared" si="10"/>
        <v>SSEMG__20260223_00</v>
      </c>
      <c r="M221" s="10" t="str">
        <f t="shared" si="11"/>
        <v>SSEMG__IS_20260223_0000</v>
      </c>
      <c r="N221" t="b">
        <f>IF(ROW()-ROW($N$1) &lt;= FILLME!$G$4, TRUE, FALSE)</f>
        <v>0</v>
      </c>
      <c r="O221" t="b">
        <f>IF(ROW()-ROW($O$1) &lt;= FILLME!$G$5, TRUE, FALSE)</f>
        <v>0</v>
      </c>
      <c r="P221" t="b">
        <f>IF(ROW()-ROW($P$1) &lt;= FILLME!$G$7, TRUE, FALSE)</f>
        <v>0</v>
      </c>
      <c r="Q221" t="b">
        <f>IF(ROW()-ROW($Q$1) &lt;= FILLME!$G$6, TRUE, FALSE)</f>
        <v>0</v>
      </c>
      <c r="R221" t="b">
        <f>IF(ROW()-ROW($R$1) &lt;= FILLME!$G$8, TRUE, FALSE)</f>
        <v>0</v>
      </c>
      <c r="S221" t="b">
        <f>IF(ROW()-ROW($S$1) &lt;= FILLME!$G$9, TRUE, FALSE)</f>
        <v>0</v>
      </c>
      <c r="T221" t="b">
        <f>IF(ROW()-ROW($T$1) &lt;= FILLME!$G$10, TRUE, FALSE)</f>
        <v>0</v>
      </c>
      <c r="U221" t="b">
        <f>IF(ROW()-ROW($U$1) &lt;= FILLME!$G$11, TRUE, FALSE)</f>
        <v>0</v>
      </c>
    </row>
    <row r="222" spans="1:21" x14ac:dyDescent="0.25">
      <c r="A222" s="7" t="str">
        <f>FILLME!$B$7</f>
        <v>ISCO</v>
      </c>
      <c r="B222" t="str">
        <f>IF(FILLME!$B$3 = "", "", FILLME!$B$3)</f>
        <v/>
      </c>
      <c r="C222" s="67" t="str">
        <f>IF(FILLME!$B$7="ISCO",FILLME!$E$4,IF(FILLME!$B$7="Grab",FILLME!$E$5))</f>
        <v>IS</v>
      </c>
      <c r="D222" t="str">
        <f>IF(FILLME!$B$4 = "", "", FILLME!$B$4)</f>
        <v>SSEMG</v>
      </c>
      <c r="E222" s="7" t="str">
        <f>TEXT(FILLME!$B$6,"yyyymmdd")</f>
        <v>20260223</v>
      </c>
      <c r="F222" s="8"/>
      <c r="G222" s="7">
        <f>IF(FILLME!$B$7="ISCO",FILLME!$B$6+FILLME!$B$11+(FILLME!$B$13*(H222-FILLME!$B$14)),FILLME!$B$6)</f>
        <v>46076.916666666664</v>
      </c>
      <c r="H222" s="8"/>
      <c r="I222" s="8"/>
      <c r="J222" s="2"/>
      <c r="K222" s="9" t="str">
        <f t="shared" si="9"/>
        <v>_00</v>
      </c>
      <c r="L222" s="10" t="str">
        <f t="shared" si="10"/>
        <v>SSEMG__20260223_00</v>
      </c>
      <c r="M222" s="10" t="str">
        <f t="shared" si="11"/>
        <v>SSEMG__IS_20260223_0000</v>
      </c>
      <c r="N222" t="b">
        <f>IF(ROW()-ROW($N$1) &lt;= FILLME!$G$4, TRUE, FALSE)</f>
        <v>0</v>
      </c>
      <c r="O222" t="b">
        <f>IF(ROW()-ROW($O$1) &lt;= FILLME!$G$5, TRUE, FALSE)</f>
        <v>0</v>
      </c>
      <c r="P222" t="b">
        <f>IF(ROW()-ROW($P$1) &lt;= FILLME!$G$7, TRUE, FALSE)</f>
        <v>0</v>
      </c>
      <c r="Q222" t="b">
        <f>IF(ROW()-ROW($Q$1) &lt;= FILLME!$G$6, TRUE, FALSE)</f>
        <v>0</v>
      </c>
      <c r="R222" t="b">
        <f>IF(ROW()-ROW($R$1) &lt;= FILLME!$G$8, TRUE, FALSE)</f>
        <v>0</v>
      </c>
      <c r="S222" t="b">
        <f>IF(ROW()-ROW($S$1) &lt;= FILLME!$G$9, TRUE, FALSE)</f>
        <v>0</v>
      </c>
      <c r="T222" t="b">
        <f>IF(ROW()-ROW($T$1) &lt;= FILLME!$G$10, TRUE, FALSE)</f>
        <v>0</v>
      </c>
      <c r="U222" t="b">
        <f>IF(ROW()-ROW($U$1) &lt;= FILLME!$G$11, TRUE, FALSE)</f>
        <v>0</v>
      </c>
    </row>
    <row r="223" spans="1:21" x14ac:dyDescent="0.25">
      <c r="A223" s="7" t="str">
        <f>FILLME!$B$7</f>
        <v>ISCO</v>
      </c>
      <c r="B223" t="str">
        <f>IF(FILLME!$B$3 = "", "", FILLME!$B$3)</f>
        <v/>
      </c>
      <c r="C223" s="67" t="str">
        <f>IF(FILLME!$B$7="ISCO",FILLME!$E$4,IF(FILLME!$B$7="Grab",FILLME!$E$5))</f>
        <v>IS</v>
      </c>
      <c r="D223" t="str">
        <f>IF(FILLME!$B$4 = "", "", FILLME!$B$4)</f>
        <v>SSEMG</v>
      </c>
      <c r="E223" s="7" t="str">
        <f>TEXT(FILLME!$B$6,"yyyymmdd")</f>
        <v>20260223</v>
      </c>
      <c r="F223" s="8"/>
      <c r="G223" s="7">
        <f>IF(FILLME!$B$7="ISCO",FILLME!$B$6+FILLME!$B$11+(FILLME!$B$13*(H223-FILLME!$B$14)),FILLME!$B$6)</f>
        <v>46076.916666666664</v>
      </c>
      <c r="H223" s="8"/>
      <c r="I223" s="8"/>
      <c r="J223" s="2"/>
      <c r="K223" s="9" t="str">
        <f t="shared" si="9"/>
        <v>_00</v>
      </c>
      <c r="L223" s="10" t="str">
        <f t="shared" si="10"/>
        <v>SSEMG__20260223_00</v>
      </c>
      <c r="M223" s="10" t="str">
        <f t="shared" si="11"/>
        <v>SSEMG__IS_20260223_0000</v>
      </c>
      <c r="N223" t="b">
        <f>IF(ROW()-ROW($N$1) &lt;= FILLME!$G$4, TRUE, FALSE)</f>
        <v>0</v>
      </c>
      <c r="O223" t="b">
        <f>IF(ROW()-ROW($O$1) &lt;= FILLME!$G$5, TRUE, FALSE)</f>
        <v>0</v>
      </c>
      <c r="P223" t="b">
        <f>IF(ROW()-ROW($P$1) &lt;= FILLME!$G$7, TRUE, FALSE)</f>
        <v>0</v>
      </c>
      <c r="Q223" t="b">
        <f>IF(ROW()-ROW($Q$1) &lt;= FILLME!$G$6, TRUE, FALSE)</f>
        <v>0</v>
      </c>
      <c r="R223" t="b">
        <f>IF(ROW()-ROW($R$1) &lt;= FILLME!$G$8, TRUE, FALSE)</f>
        <v>0</v>
      </c>
      <c r="S223" t="b">
        <f>IF(ROW()-ROW($S$1) &lt;= FILLME!$G$9, TRUE, FALSE)</f>
        <v>0</v>
      </c>
      <c r="T223" t="b">
        <f>IF(ROW()-ROW($T$1) &lt;= FILLME!$G$10, TRUE, FALSE)</f>
        <v>0</v>
      </c>
      <c r="U223" t="b">
        <f>IF(ROW()-ROW($U$1) &lt;= FILLME!$G$11, TRUE, FALSE)</f>
        <v>0</v>
      </c>
    </row>
    <row r="224" spans="1:21" x14ac:dyDescent="0.25">
      <c r="A224" s="7" t="str">
        <f>FILLME!$B$7</f>
        <v>ISCO</v>
      </c>
      <c r="B224" t="str">
        <f>IF(FILLME!$B$3 = "", "", FILLME!$B$3)</f>
        <v/>
      </c>
      <c r="C224" s="67" t="str">
        <f>IF(FILLME!$B$7="ISCO",FILLME!$E$4,IF(FILLME!$B$7="Grab",FILLME!$E$5))</f>
        <v>IS</v>
      </c>
      <c r="D224" t="str">
        <f>IF(FILLME!$B$4 = "", "", FILLME!$B$4)</f>
        <v>SSEMG</v>
      </c>
      <c r="E224" s="7" t="str">
        <f>TEXT(FILLME!$B$6,"yyyymmdd")</f>
        <v>20260223</v>
      </c>
      <c r="F224" s="8"/>
      <c r="G224" s="7">
        <f>IF(FILLME!$B$7="ISCO",FILLME!$B$6+FILLME!$B$11+(FILLME!$B$13*(H224-FILLME!$B$14)),FILLME!$B$6)</f>
        <v>46076.916666666664</v>
      </c>
      <c r="H224" s="8"/>
      <c r="I224" s="8"/>
      <c r="J224" s="2"/>
      <c r="K224" s="9" t="str">
        <f t="shared" si="9"/>
        <v>_00</v>
      </c>
      <c r="L224" s="10" t="str">
        <f t="shared" si="10"/>
        <v>SSEMG__20260223_00</v>
      </c>
      <c r="M224" s="10" t="str">
        <f t="shared" si="11"/>
        <v>SSEMG__IS_20260223_0000</v>
      </c>
      <c r="N224" t="b">
        <f>IF(ROW()-ROW($N$1) &lt;= FILLME!$G$4, TRUE, FALSE)</f>
        <v>0</v>
      </c>
      <c r="O224" t="b">
        <f>IF(ROW()-ROW($O$1) &lt;= FILLME!$G$5, TRUE, FALSE)</f>
        <v>0</v>
      </c>
      <c r="P224" t="b">
        <f>IF(ROW()-ROW($P$1) &lt;= FILLME!$G$7, TRUE, FALSE)</f>
        <v>0</v>
      </c>
      <c r="Q224" t="b">
        <f>IF(ROW()-ROW($Q$1) &lt;= FILLME!$G$6, TRUE, FALSE)</f>
        <v>0</v>
      </c>
      <c r="R224" t="b">
        <f>IF(ROW()-ROW($R$1) &lt;= FILLME!$G$8, TRUE, FALSE)</f>
        <v>0</v>
      </c>
      <c r="S224" t="b">
        <f>IF(ROW()-ROW($S$1) &lt;= FILLME!$G$9, TRUE, FALSE)</f>
        <v>0</v>
      </c>
      <c r="T224" t="b">
        <f>IF(ROW()-ROW($T$1) &lt;= FILLME!$G$10, TRUE, FALSE)</f>
        <v>0</v>
      </c>
      <c r="U224" t="b">
        <f>IF(ROW()-ROW($U$1) &lt;= FILLME!$G$11, TRUE, FALSE)</f>
        <v>0</v>
      </c>
    </row>
    <row r="225" spans="1:21" x14ac:dyDescent="0.25">
      <c r="A225" s="7" t="str">
        <f>FILLME!$B$7</f>
        <v>ISCO</v>
      </c>
      <c r="B225" t="str">
        <f>IF(FILLME!$B$3 = "", "", FILLME!$B$3)</f>
        <v/>
      </c>
      <c r="C225" s="67" t="str">
        <f>IF(FILLME!$B$7="ISCO",FILLME!$E$4,IF(FILLME!$B$7="Grab",FILLME!$E$5))</f>
        <v>IS</v>
      </c>
      <c r="D225" t="str">
        <f>IF(FILLME!$B$4 = "", "", FILLME!$B$4)</f>
        <v>SSEMG</v>
      </c>
      <c r="E225" s="7" t="str">
        <f>TEXT(FILLME!$B$6,"yyyymmdd")</f>
        <v>20260223</v>
      </c>
      <c r="F225" s="8"/>
      <c r="G225" s="7">
        <f>IF(FILLME!$B$7="ISCO",FILLME!$B$6+FILLME!$B$11+(FILLME!$B$13*(H225-FILLME!$B$14)),FILLME!$B$6)</f>
        <v>46076.916666666664</v>
      </c>
      <c r="H225" s="8"/>
      <c r="I225" s="8"/>
      <c r="J225" s="2"/>
      <c r="K225" s="9" t="str">
        <f t="shared" si="9"/>
        <v>_00</v>
      </c>
      <c r="L225" s="10" t="str">
        <f t="shared" si="10"/>
        <v>SSEMG__20260223_00</v>
      </c>
      <c r="M225" s="10" t="str">
        <f t="shared" si="11"/>
        <v>SSEMG__IS_20260223_0000</v>
      </c>
      <c r="N225" t="b">
        <f>IF(ROW()-ROW($N$1) &lt;= FILLME!$G$4, TRUE, FALSE)</f>
        <v>0</v>
      </c>
      <c r="O225" t="b">
        <f>IF(ROW()-ROW($O$1) &lt;= FILLME!$G$5, TRUE, FALSE)</f>
        <v>0</v>
      </c>
      <c r="P225" t="b">
        <f>IF(ROW()-ROW($P$1) &lt;= FILLME!$G$7, TRUE, FALSE)</f>
        <v>0</v>
      </c>
      <c r="Q225" t="b">
        <f>IF(ROW()-ROW($Q$1) &lt;= FILLME!$G$6, TRUE, FALSE)</f>
        <v>0</v>
      </c>
      <c r="R225" t="b">
        <f>IF(ROW()-ROW($R$1) &lt;= FILLME!$G$8, TRUE, FALSE)</f>
        <v>0</v>
      </c>
      <c r="S225" t="b">
        <f>IF(ROW()-ROW($S$1) &lt;= FILLME!$G$9, TRUE, FALSE)</f>
        <v>0</v>
      </c>
      <c r="T225" t="b">
        <f>IF(ROW()-ROW($T$1) &lt;= FILLME!$G$10, TRUE, FALSE)</f>
        <v>0</v>
      </c>
      <c r="U225" t="b">
        <f>IF(ROW()-ROW($U$1) &lt;= FILLME!$G$11, TRUE, FALSE)</f>
        <v>0</v>
      </c>
    </row>
    <row r="226" spans="1:21" x14ac:dyDescent="0.25">
      <c r="A226" s="7" t="str">
        <f>FILLME!$B$7</f>
        <v>ISCO</v>
      </c>
      <c r="B226" t="str">
        <f>IF(FILLME!$B$3 = "", "", FILLME!$B$3)</f>
        <v/>
      </c>
      <c r="C226" s="67" t="str">
        <f>IF(FILLME!$B$7="ISCO",FILLME!$E$4,IF(FILLME!$B$7="Grab",FILLME!$E$5))</f>
        <v>IS</v>
      </c>
      <c r="D226" t="str">
        <f>IF(FILLME!$B$4 = "", "", FILLME!$B$4)</f>
        <v>SSEMG</v>
      </c>
      <c r="E226" s="7" t="str">
        <f>TEXT(FILLME!$B$6,"yyyymmdd")</f>
        <v>20260223</v>
      </c>
      <c r="F226" s="8"/>
      <c r="G226" s="7">
        <f>IF(FILLME!$B$7="ISCO",FILLME!$B$6+FILLME!$B$11+(FILLME!$B$13*(H226-FILLME!$B$14)),FILLME!$B$6)</f>
        <v>46076.916666666664</v>
      </c>
      <c r="H226" s="8"/>
      <c r="I226" s="8"/>
      <c r="J226" s="2"/>
      <c r="K226" s="9" t="str">
        <f t="shared" si="9"/>
        <v>_00</v>
      </c>
      <c r="L226" s="10" t="str">
        <f t="shared" si="10"/>
        <v>SSEMG__20260223_00</v>
      </c>
      <c r="M226" s="10" t="str">
        <f t="shared" si="11"/>
        <v>SSEMG__IS_20260223_0000</v>
      </c>
      <c r="N226" t="b">
        <f>IF(ROW()-ROW($N$1) &lt;= FILLME!$G$4, TRUE, FALSE)</f>
        <v>0</v>
      </c>
      <c r="O226" t="b">
        <f>IF(ROW()-ROW($O$1) &lt;= FILLME!$G$5, TRUE, FALSE)</f>
        <v>0</v>
      </c>
      <c r="P226" t="b">
        <f>IF(ROW()-ROW($P$1) &lt;= FILLME!$G$7, TRUE, FALSE)</f>
        <v>0</v>
      </c>
      <c r="Q226" t="b">
        <f>IF(ROW()-ROW($Q$1) &lt;= FILLME!$G$6, TRUE, FALSE)</f>
        <v>0</v>
      </c>
      <c r="R226" t="b">
        <f>IF(ROW()-ROW($R$1) &lt;= FILLME!$G$8, TRUE, FALSE)</f>
        <v>0</v>
      </c>
      <c r="S226" t="b">
        <f>IF(ROW()-ROW($S$1) &lt;= FILLME!$G$9, TRUE, FALSE)</f>
        <v>0</v>
      </c>
      <c r="T226" t="b">
        <f>IF(ROW()-ROW($T$1) &lt;= FILLME!$G$10, TRUE, FALSE)</f>
        <v>0</v>
      </c>
      <c r="U226" t="b">
        <f>IF(ROW()-ROW($U$1) &lt;= FILLME!$G$11, TRUE, FALSE)</f>
        <v>0</v>
      </c>
    </row>
    <row r="227" spans="1:21" x14ac:dyDescent="0.25">
      <c r="A227" s="7" t="str">
        <f>FILLME!$B$7</f>
        <v>ISCO</v>
      </c>
      <c r="B227" t="str">
        <f>IF(FILLME!$B$3 = "", "", FILLME!$B$3)</f>
        <v/>
      </c>
      <c r="C227" s="67" t="str">
        <f>IF(FILLME!$B$7="ISCO",FILLME!$E$4,IF(FILLME!$B$7="Grab",FILLME!$E$5))</f>
        <v>IS</v>
      </c>
      <c r="D227" t="str">
        <f>IF(FILLME!$B$4 = "", "", FILLME!$B$4)</f>
        <v>SSEMG</v>
      </c>
      <c r="E227" s="7" t="str">
        <f>TEXT(FILLME!$B$6,"yyyymmdd")</f>
        <v>20260223</v>
      </c>
      <c r="F227" s="8"/>
      <c r="G227" s="7">
        <f>IF(FILLME!$B$7="ISCO",FILLME!$B$6+FILLME!$B$11+(FILLME!$B$13*(H227-FILLME!$B$14)),FILLME!$B$6)</f>
        <v>46076.916666666664</v>
      </c>
      <c r="H227" s="8"/>
      <c r="I227" s="8"/>
      <c r="J227" s="2"/>
      <c r="K227" s="9" t="str">
        <f t="shared" si="9"/>
        <v>_00</v>
      </c>
      <c r="L227" s="10" t="str">
        <f t="shared" si="10"/>
        <v>SSEMG__20260223_00</v>
      </c>
      <c r="M227" s="10" t="str">
        <f t="shared" si="11"/>
        <v>SSEMG__IS_20260223_0000</v>
      </c>
      <c r="N227" t="b">
        <f>IF(ROW()-ROW($N$1) &lt;= FILLME!$G$4, TRUE, FALSE)</f>
        <v>0</v>
      </c>
      <c r="O227" t="b">
        <f>IF(ROW()-ROW($O$1) &lt;= FILLME!$G$5, TRUE, FALSE)</f>
        <v>0</v>
      </c>
      <c r="P227" t="b">
        <f>IF(ROW()-ROW($P$1) &lt;= FILLME!$G$7, TRUE, FALSE)</f>
        <v>0</v>
      </c>
      <c r="Q227" t="b">
        <f>IF(ROW()-ROW($Q$1) &lt;= FILLME!$G$6, TRUE, FALSE)</f>
        <v>0</v>
      </c>
      <c r="R227" t="b">
        <f>IF(ROW()-ROW($R$1) &lt;= FILLME!$G$8, TRUE, FALSE)</f>
        <v>0</v>
      </c>
      <c r="S227" t="b">
        <f>IF(ROW()-ROW($S$1) &lt;= FILLME!$G$9, TRUE, FALSE)</f>
        <v>0</v>
      </c>
      <c r="T227" t="b">
        <f>IF(ROW()-ROW($T$1) &lt;= FILLME!$G$10, TRUE, FALSE)</f>
        <v>0</v>
      </c>
      <c r="U227" t="b">
        <f>IF(ROW()-ROW($U$1) &lt;= FILLME!$G$11, TRUE, FALSE)</f>
        <v>0</v>
      </c>
    </row>
    <row r="228" spans="1:21" x14ac:dyDescent="0.25">
      <c r="A228" s="7" t="str">
        <f>FILLME!$B$7</f>
        <v>ISCO</v>
      </c>
      <c r="B228" t="str">
        <f>IF(FILLME!$B$3 = "", "", FILLME!$B$3)</f>
        <v/>
      </c>
      <c r="C228" s="67" t="str">
        <f>IF(FILLME!$B$7="ISCO",FILLME!$E$4,IF(FILLME!$B$7="Grab",FILLME!$E$5))</f>
        <v>IS</v>
      </c>
      <c r="D228" t="str">
        <f>IF(FILLME!$B$4 = "", "", FILLME!$B$4)</f>
        <v>SSEMG</v>
      </c>
      <c r="E228" s="7" t="str">
        <f>TEXT(FILLME!$B$6,"yyyymmdd")</f>
        <v>20260223</v>
      </c>
      <c r="F228" s="8"/>
      <c r="G228" s="7">
        <f>IF(FILLME!$B$7="ISCO",FILLME!$B$6+FILLME!$B$11+(FILLME!$B$13*(H228-FILLME!$B$14)),FILLME!$B$6)</f>
        <v>46076.916666666664</v>
      </c>
      <c r="H228" s="8"/>
      <c r="I228" s="8"/>
      <c r="J228" s="2"/>
      <c r="K228" s="9" t="str">
        <f t="shared" si="9"/>
        <v>_00</v>
      </c>
      <c r="L228" s="10" t="str">
        <f t="shared" si="10"/>
        <v>SSEMG__20260223_00</v>
      </c>
      <c r="M228" s="10" t="str">
        <f t="shared" si="11"/>
        <v>SSEMG__IS_20260223_0000</v>
      </c>
      <c r="N228" t="b">
        <f>IF(ROW()-ROW($N$1) &lt;= FILLME!$G$4, TRUE, FALSE)</f>
        <v>0</v>
      </c>
      <c r="O228" t="b">
        <f>IF(ROW()-ROW($O$1) &lt;= FILLME!$G$5, TRUE, FALSE)</f>
        <v>0</v>
      </c>
      <c r="P228" t="b">
        <f>IF(ROW()-ROW($P$1) &lt;= FILLME!$G$7, TRUE, FALSE)</f>
        <v>0</v>
      </c>
      <c r="Q228" t="b">
        <f>IF(ROW()-ROW($Q$1) &lt;= FILLME!$G$6, TRUE, FALSE)</f>
        <v>0</v>
      </c>
      <c r="R228" t="b">
        <f>IF(ROW()-ROW($R$1) &lt;= FILLME!$G$8, TRUE, FALSE)</f>
        <v>0</v>
      </c>
      <c r="S228" t="b">
        <f>IF(ROW()-ROW($S$1) &lt;= FILLME!$G$9, TRUE, FALSE)</f>
        <v>0</v>
      </c>
      <c r="T228" t="b">
        <f>IF(ROW()-ROW($T$1) &lt;= FILLME!$G$10, TRUE, FALSE)</f>
        <v>0</v>
      </c>
      <c r="U228" t="b">
        <f>IF(ROW()-ROW($U$1) &lt;= FILLME!$G$11, TRUE, FALSE)</f>
        <v>0</v>
      </c>
    </row>
    <row r="229" spans="1:21" x14ac:dyDescent="0.25">
      <c r="A229" s="7" t="str">
        <f>FILLME!$B$7</f>
        <v>ISCO</v>
      </c>
      <c r="B229" t="str">
        <f>IF(FILLME!$B$3 = "", "", FILLME!$B$3)</f>
        <v/>
      </c>
      <c r="C229" s="67" t="str">
        <f>IF(FILLME!$B$7="ISCO",FILLME!$E$4,IF(FILLME!$B$7="Grab",FILLME!$E$5))</f>
        <v>IS</v>
      </c>
      <c r="D229" t="str">
        <f>IF(FILLME!$B$4 = "", "", FILLME!$B$4)</f>
        <v>SSEMG</v>
      </c>
      <c r="E229" s="7" t="str">
        <f>TEXT(FILLME!$B$6,"yyyymmdd")</f>
        <v>20260223</v>
      </c>
      <c r="F229" s="8"/>
      <c r="G229" s="7">
        <f>IF(FILLME!$B$7="ISCO",FILLME!$B$6+FILLME!$B$11+(FILLME!$B$13*(H229-FILLME!$B$14)),FILLME!$B$6)</f>
        <v>46076.916666666664</v>
      </c>
      <c r="H229" s="8"/>
      <c r="I229" s="8"/>
      <c r="J229" s="2"/>
      <c r="K229" s="9" t="str">
        <f t="shared" si="9"/>
        <v>_00</v>
      </c>
      <c r="L229" s="10" t="str">
        <f t="shared" si="10"/>
        <v>SSEMG__20260223_00</v>
      </c>
      <c r="M229" s="10" t="str">
        <f t="shared" si="11"/>
        <v>SSEMG__IS_20260223_0000</v>
      </c>
      <c r="N229" t="b">
        <f>IF(ROW()-ROW($N$1) &lt;= FILLME!$G$4, TRUE, FALSE)</f>
        <v>0</v>
      </c>
      <c r="O229" t="b">
        <f>IF(ROW()-ROW($O$1) &lt;= FILLME!$G$5, TRUE, FALSE)</f>
        <v>0</v>
      </c>
      <c r="P229" t="b">
        <f>IF(ROW()-ROW($P$1) &lt;= FILLME!$G$7, TRUE, FALSE)</f>
        <v>0</v>
      </c>
      <c r="Q229" t="b">
        <f>IF(ROW()-ROW($Q$1) &lt;= FILLME!$G$6, TRUE, FALSE)</f>
        <v>0</v>
      </c>
      <c r="R229" t="b">
        <f>IF(ROW()-ROW($R$1) &lt;= FILLME!$G$8, TRUE, FALSE)</f>
        <v>0</v>
      </c>
      <c r="S229" t="b">
        <f>IF(ROW()-ROW($S$1) &lt;= FILLME!$G$9, TRUE, FALSE)</f>
        <v>0</v>
      </c>
      <c r="T229" t="b">
        <f>IF(ROW()-ROW($T$1) &lt;= FILLME!$G$10, TRUE, FALSE)</f>
        <v>0</v>
      </c>
      <c r="U229" t="b">
        <f>IF(ROW()-ROW($U$1) &lt;= FILLME!$G$11, TRUE, FALSE)</f>
        <v>0</v>
      </c>
    </row>
    <row r="230" spans="1:21" x14ac:dyDescent="0.25">
      <c r="A230" s="7" t="str">
        <f>FILLME!$B$7</f>
        <v>ISCO</v>
      </c>
      <c r="B230" t="str">
        <f>IF(FILLME!$B$3 = "", "", FILLME!$B$3)</f>
        <v/>
      </c>
      <c r="C230" s="67" t="str">
        <f>IF(FILLME!$B$7="ISCO",FILLME!$E$4,IF(FILLME!$B$7="Grab",FILLME!$E$5))</f>
        <v>IS</v>
      </c>
      <c r="D230" t="str">
        <f>IF(FILLME!$B$4 = "", "", FILLME!$B$4)</f>
        <v>SSEMG</v>
      </c>
      <c r="E230" s="7" t="str">
        <f>TEXT(FILLME!$B$6,"yyyymmdd")</f>
        <v>20260223</v>
      </c>
      <c r="F230" s="8"/>
      <c r="G230" s="7">
        <f>IF(FILLME!$B$7="ISCO",FILLME!$B$6+FILLME!$B$11+(FILLME!$B$13*(H230-FILLME!$B$14)),FILLME!$B$6)</f>
        <v>46076.916666666664</v>
      </c>
      <c r="H230" s="8"/>
      <c r="I230" s="8"/>
      <c r="J230" s="2"/>
      <c r="K230" s="9" t="str">
        <f t="shared" si="9"/>
        <v>_00</v>
      </c>
      <c r="L230" s="10" t="str">
        <f t="shared" si="10"/>
        <v>SSEMG__20260223_00</v>
      </c>
      <c r="M230" s="10" t="str">
        <f t="shared" si="11"/>
        <v>SSEMG__IS_20260223_0000</v>
      </c>
      <c r="N230" t="b">
        <f>IF(ROW()-ROW($N$1) &lt;= FILLME!$G$4, TRUE, FALSE)</f>
        <v>0</v>
      </c>
      <c r="O230" t="b">
        <f>IF(ROW()-ROW($O$1) &lt;= FILLME!$G$5, TRUE, FALSE)</f>
        <v>0</v>
      </c>
      <c r="P230" t="b">
        <f>IF(ROW()-ROW($P$1) &lt;= FILLME!$G$7, TRUE, FALSE)</f>
        <v>0</v>
      </c>
      <c r="Q230" t="b">
        <f>IF(ROW()-ROW($Q$1) &lt;= FILLME!$G$6, TRUE, FALSE)</f>
        <v>0</v>
      </c>
      <c r="R230" t="b">
        <f>IF(ROW()-ROW($R$1) &lt;= FILLME!$G$8, TRUE, FALSE)</f>
        <v>0</v>
      </c>
      <c r="S230" t="b">
        <f>IF(ROW()-ROW($S$1) &lt;= FILLME!$G$9, TRUE, FALSE)</f>
        <v>0</v>
      </c>
      <c r="T230" t="b">
        <f>IF(ROW()-ROW($T$1) &lt;= FILLME!$G$10, TRUE, FALSE)</f>
        <v>0</v>
      </c>
      <c r="U230" t="b">
        <f>IF(ROW()-ROW($U$1) &lt;= FILLME!$G$11, TRUE, FALSE)</f>
        <v>0</v>
      </c>
    </row>
    <row r="231" spans="1:21" x14ac:dyDescent="0.25">
      <c r="A231" s="7" t="str">
        <f>FILLME!$B$7</f>
        <v>ISCO</v>
      </c>
      <c r="B231" t="str">
        <f>IF(FILLME!$B$3 = "", "", FILLME!$B$3)</f>
        <v/>
      </c>
      <c r="C231" s="67" t="str">
        <f>IF(FILLME!$B$7="ISCO",FILLME!$E$4,IF(FILLME!$B$7="Grab",FILLME!$E$5))</f>
        <v>IS</v>
      </c>
      <c r="D231" t="str">
        <f>IF(FILLME!$B$4 = "", "", FILLME!$B$4)</f>
        <v>SSEMG</v>
      </c>
      <c r="E231" s="7" t="str">
        <f>TEXT(FILLME!$B$6,"yyyymmdd")</f>
        <v>20260223</v>
      </c>
      <c r="F231" s="8"/>
      <c r="G231" s="7">
        <f>IF(FILLME!$B$7="ISCO",FILLME!$B$6+FILLME!$B$11+(FILLME!$B$13*(H231-FILLME!$B$14)),FILLME!$B$6)</f>
        <v>46076.916666666664</v>
      </c>
      <c r="H231" s="8"/>
      <c r="I231" s="8"/>
      <c r="J231" s="2"/>
      <c r="K231" s="9" t="str">
        <f t="shared" si="9"/>
        <v>_00</v>
      </c>
      <c r="L231" s="10" t="str">
        <f t="shared" si="10"/>
        <v>SSEMG__20260223_00</v>
      </c>
      <c r="M231" s="10" t="str">
        <f t="shared" si="11"/>
        <v>SSEMG__IS_20260223_0000</v>
      </c>
      <c r="N231" t="b">
        <f>IF(ROW()-ROW($N$1) &lt;= FILLME!$G$4, TRUE, FALSE)</f>
        <v>0</v>
      </c>
      <c r="O231" t="b">
        <f>IF(ROW()-ROW($O$1) &lt;= FILLME!$G$5, TRUE, FALSE)</f>
        <v>0</v>
      </c>
      <c r="P231" t="b">
        <f>IF(ROW()-ROW($P$1) &lt;= FILLME!$G$7, TRUE, FALSE)</f>
        <v>0</v>
      </c>
      <c r="Q231" t="b">
        <f>IF(ROW()-ROW($Q$1) &lt;= FILLME!$G$6, TRUE, FALSE)</f>
        <v>0</v>
      </c>
      <c r="R231" t="b">
        <f>IF(ROW()-ROW($R$1) &lt;= FILLME!$G$8, TRUE, FALSE)</f>
        <v>0</v>
      </c>
      <c r="S231" t="b">
        <f>IF(ROW()-ROW($S$1) &lt;= FILLME!$G$9, TRUE, FALSE)</f>
        <v>0</v>
      </c>
      <c r="T231" t="b">
        <f>IF(ROW()-ROW($T$1) &lt;= FILLME!$G$10, TRUE, FALSE)</f>
        <v>0</v>
      </c>
      <c r="U231" t="b">
        <f>IF(ROW()-ROW($U$1) &lt;= FILLME!$G$11, TRUE, FALSE)</f>
        <v>0</v>
      </c>
    </row>
    <row r="232" spans="1:21" x14ac:dyDescent="0.25">
      <c r="A232" s="7" t="str">
        <f>FILLME!$B$7</f>
        <v>ISCO</v>
      </c>
      <c r="B232" t="str">
        <f>IF(FILLME!$B$3 = "", "", FILLME!$B$3)</f>
        <v/>
      </c>
      <c r="C232" s="67" t="str">
        <f>IF(FILLME!$B$7="ISCO",FILLME!$E$4,IF(FILLME!$B$7="Grab",FILLME!$E$5))</f>
        <v>IS</v>
      </c>
      <c r="D232" t="str">
        <f>IF(FILLME!$B$4 = "", "", FILLME!$B$4)</f>
        <v>SSEMG</v>
      </c>
      <c r="E232" s="7" t="str">
        <f>TEXT(FILLME!$B$6,"yyyymmdd")</f>
        <v>20260223</v>
      </c>
      <c r="F232" s="8"/>
      <c r="G232" s="7">
        <f>IF(FILLME!$B$7="ISCO",FILLME!$B$6+FILLME!$B$11+(FILLME!$B$13*(H232-FILLME!$B$14)),FILLME!$B$6)</f>
        <v>46076.916666666664</v>
      </c>
      <c r="H232" s="8"/>
      <c r="I232" s="8"/>
      <c r="J232" s="2"/>
      <c r="K232" s="9" t="str">
        <f t="shared" si="9"/>
        <v>_00</v>
      </c>
      <c r="L232" s="10" t="str">
        <f t="shared" si="10"/>
        <v>SSEMG__20260223_00</v>
      </c>
      <c r="M232" s="10" t="str">
        <f t="shared" si="11"/>
        <v>SSEMG__IS_20260223_0000</v>
      </c>
      <c r="N232" t="b">
        <f>IF(ROW()-ROW($N$1) &lt;= FILLME!$G$4, TRUE, FALSE)</f>
        <v>0</v>
      </c>
      <c r="O232" t="b">
        <f>IF(ROW()-ROW($O$1) &lt;= FILLME!$G$5, TRUE, FALSE)</f>
        <v>0</v>
      </c>
      <c r="P232" t="b">
        <f>IF(ROW()-ROW($P$1) &lt;= FILLME!$G$7, TRUE, FALSE)</f>
        <v>0</v>
      </c>
      <c r="Q232" t="b">
        <f>IF(ROW()-ROW($Q$1) &lt;= FILLME!$G$6, TRUE, FALSE)</f>
        <v>0</v>
      </c>
      <c r="R232" t="b">
        <f>IF(ROW()-ROW($R$1) &lt;= FILLME!$G$8, TRUE, FALSE)</f>
        <v>0</v>
      </c>
      <c r="S232" t="b">
        <f>IF(ROW()-ROW($S$1) &lt;= FILLME!$G$9, TRUE, FALSE)</f>
        <v>0</v>
      </c>
      <c r="T232" t="b">
        <f>IF(ROW()-ROW($T$1) &lt;= FILLME!$G$10, TRUE, FALSE)</f>
        <v>0</v>
      </c>
      <c r="U232" t="b">
        <f>IF(ROW()-ROW($U$1) &lt;= FILLME!$G$11, TRUE, FALSE)</f>
        <v>0</v>
      </c>
    </row>
    <row r="233" spans="1:21" x14ac:dyDescent="0.25">
      <c r="A233" s="7" t="str">
        <f>FILLME!$B$7</f>
        <v>ISCO</v>
      </c>
      <c r="B233" t="str">
        <f>IF(FILLME!$B$3 = "", "", FILLME!$B$3)</f>
        <v/>
      </c>
      <c r="C233" s="67" t="str">
        <f>IF(FILLME!$B$7="ISCO",FILLME!$E$4,IF(FILLME!$B$7="Grab",FILLME!$E$5))</f>
        <v>IS</v>
      </c>
      <c r="D233" t="str">
        <f>IF(FILLME!$B$4 = "", "", FILLME!$B$4)</f>
        <v>SSEMG</v>
      </c>
      <c r="E233" s="7" t="str">
        <f>TEXT(FILLME!$B$6,"yyyymmdd")</f>
        <v>20260223</v>
      </c>
      <c r="F233" s="8"/>
      <c r="G233" s="7">
        <f>IF(FILLME!$B$7="ISCO",FILLME!$B$6+FILLME!$B$11+(FILLME!$B$13*(H233-FILLME!$B$14)),FILLME!$B$6)</f>
        <v>46076.916666666664</v>
      </c>
      <c r="H233" s="8"/>
      <c r="I233" s="8"/>
      <c r="J233" s="2"/>
      <c r="K233" s="9" t="str">
        <f t="shared" si="9"/>
        <v>_00</v>
      </c>
      <c r="L233" s="10" t="str">
        <f t="shared" si="10"/>
        <v>SSEMG__20260223_00</v>
      </c>
      <c r="M233" s="10" t="str">
        <f t="shared" si="11"/>
        <v>SSEMG__IS_20260223_0000</v>
      </c>
      <c r="N233" t="b">
        <f>IF(ROW()-ROW($N$1) &lt;= FILLME!$G$4, TRUE, FALSE)</f>
        <v>0</v>
      </c>
      <c r="O233" t="b">
        <f>IF(ROW()-ROW($O$1) &lt;= FILLME!$G$5, TRUE, FALSE)</f>
        <v>0</v>
      </c>
      <c r="P233" t="b">
        <f>IF(ROW()-ROW($P$1) &lt;= FILLME!$G$7, TRUE, FALSE)</f>
        <v>0</v>
      </c>
      <c r="Q233" t="b">
        <f>IF(ROW()-ROW($Q$1) &lt;= FILLME!$G$6, TRUE, FALSE)</f>
        <v>0</v>
      </c>
      <c r="R233" t="b">
        <f>IF(ROW()-ROW($R$1) &lt;= FILLME!$G$8, TRUE, FALSE)</f>
        <v>0</v>
      </c>
      <c r="S233" t="b">
        <f>IF(ROW()-ROW($S$1) &lt;= FILLME!$G$9, TRUE, FALSE)</f>
        <v>0</v>
      </c>
      <c r="T233" t="b">
        <f>IF(ROW()-ROW($T$1) &lt;= FILLME!$G$10, TRUE, FALSE)</f>
        <v>0</v>
      </c>
      <c r="U233" t="b">
        <f>IF(ROW()-ROW($U$1) &lt;= FILLME!$G$11, TRUE, FALSE)</f>
        <v>0</v>
      </c>
    </row>
    <row r="234" spans="1:21" x14ac:dyDescent="0.25">
      <c r="A234" s="7" t="str">
        <f>FILLME!$B$7</f>
        <v>ISCO</v>
      </c>
      <c r="B234" t="str">
        <f>IF(FILLME!$B$3 = "", "", FILLME!$B$3)</f>
        <v/>
      </c>
      <c r="C234" s="67" t="str">
        <f>IF(FILLME!$B$7="ISCO",FILLME!$E$4,IF(FILLME!$B$7="Grab",FILLME!$E$5))</f>
        <v>IS</v>
      </c>
      <c r="D234" t="str">
        <f>IF(FILLME!$B$4 = "", "", FILLME!$B$4)</f>
        <v>SSEMG</v>
      </c>
      <c r="E234" s="7" t="str">
        <f>TEXT(FILLME!$B$6,"yyyymmdd")</f>
        <v>20260223</v>
      </c>
      <c r="F234" s="8"/>
      <c r="G234" s="7">
        <f>IF(FILLME!$B$7="ISCO",FILLME!$B$6+FILLME!$B$11+(FILLME!$B$13*(H234-FILLME!$B$14)),FILLME!$B$6)</f>
        <v>46076.916666666664</v>
      </c>
      <c r="H234" s="8"/>
      <c r="I234" s="8"/>
      <c r="J234" s="2"/>
      <c r="K234" s="9" t="str">
        <f t="shared" si="9"/>
        <v>_00</v>
      </c>
      <c r="L234" s="10" t="str">
        <f t="shared" si="10"/>
        <v>SSEMG__20260223_00</v>
      </c>
      <c r="M234" s="10" t="str">
        <f t="shared" si="11"/>
        <v>SSEMG__IS_20260223_0000</v>
      </c>
      <c r="N234" t="b">
        <f>IF(ROW()-ROW($N$1) &lt;= FILLME!$G$4, TRUE, FALSE)</f>
        <v>0</v>
      </c>
      <c r="O234" t="b">
        <f>IF(ROW()-ROW($O$1) &lt;= FILLME!$G$5, TRUE, FALSE)</f>
        <v>0</v>
      </c>
      <c r="P234" t="b">
        <f>IF(ROW()-ROW($P$1) &lt;= FILLME!$G$7, TRUE, FALSE)</f>
        <v>0</v>
      </c>
      <c r="Q234" t="b">
        <f>IF(ROW()-ROW($Q$1) &lt;= FILLME!$G$6, TRUE, FALSE)</f>
        <v>0</v>
      </c>
      <c r="R234" t="b">
        <f>IF(ROW()-ROW($R$1) &lt;= FILLME!$G$8, TRUE, FALSE)</f>
        <v>0</v>
      </c>
      <c r="S234" t="b">
        <f>IF(ROW()-ROW($S$1) &lt;= FILLME!$G$9, TRUE, FALSE)</f>
        <v>0</v>
      </c>
      <c r="T234" t="b">
        <f>IF(ROW()-ROW($T$1) &lt;= FILLME!$G$10, TRUE, FALSE)</f>
        <v>0</v>
      </c>
      <c r="U234" t="b">
        <f>IF(ROW()-ROW($U$1) &lt;= FILLME!$G$11, TRUE, FALSE)</f>
        <v>0</v>
      </c>
    </row>
    <row r="235" spans="1:21" x14ac:dyDescent="0.25">
      <c r="A235" s="7" t="str">
        <f>FILLME!$B$7</f>
        <v>ISCO</v>
      </c>
      <c r="B235" t="str">
        <f>IF(FILLME!$B$3 = "", "", FILLME!$B$3)</f>
        <v/>
      </c>
      <c r="C235" s="67" t="str">
        <f>IF(FILLME!$B$7="ISCO",FILLME!$E$4,IF(FILLME!$B$7="Grab",FILLME!$E$5))</f>
        <v>IS</v>
      </c>
      <c r="D235" t="str">
        <f>IF(FILLME!$B$4 = "", "", FILLME!$B$4)</f>
        <v>SSEMG</v>
      </c>
      <c r="E235" s="7" t="str">
        <f>TEXT(FILLME!$B$6,"yyyymmdd")</f>
        <v>20260223</v>
      </c>
      <c r="F235" s="8"/>
      <c r="G235" s="7">
        <f>IF(FILLME!$B$7="ISCO",FILLME!$B$6+FILLME!$B$11+(FILLME!$B$13*(H235-FILLME!$B$14)),FILLME!$B$6)</f>
        <v>46076.916666666664</v>
      </c>
      <c r="H235" s="8"/>
      <c r="I235" s="8"/>
      <c r="J235" s="2"/>
      <c r="K235" s="9" t="str">
        <f t="shared" si="9"/>
        <v>_00</v>
      </c>
      <c r="L235" s="10" t="str">
        <f t="shared" si="10"/>
        <v>SSEMG__20260223_00</v>
      </c>
      <c r="M235" s="10" t="str">
        <f t="shared" si="11"/>
        <v>SSEMG__IS_20260223_0000</v>
      </c>
      <c r="N235" t="b">
        <f>IF(ROW()-ROW($N$1) &lt;= FILLME!$G$4, TRUE, FALSE)</f>
        <v>0</v>
      </c>
      <c r="O235" t="b">
        <f>IF(ROW()-ROW($O$1) &lt;= FILLME!$G$5, TRUE, FALSE)</f>
        <v>0</v>
      </c>
      <c r="P235" t="b">
        <f>IF(ROW()-ROW($P$1) &lt;= FILLME!$G$7, TRUE, FALSE)</f>
        <v>0</v>
      </c>
      <c r="Q235" t="b">
        <f>IF(ROW()-ROW($Q$1) &lt;= FILLME!$G$6, TRUE, FALSE)</f>
        <v>0</v>
      </c>
      <c r="R235" t="b">
        <f>IF(ROW()-ROW($R$1) &lt;= FILLME!$G$8, TRUE, FALSE)</f>
        <v>0</v>
      </c>
      <c r="S235" t="b">
        <f>IF(ROW()-ROW($S$1) &lt;= FILLME!$G$9, TRUE, FALSE)</f>
        <v>0</v>
      </c>
      <c r="T235" t="b">
        <f>IF(ROW()-ROW($T$1) &lt;= FILLME!$G$10, TRUE, FALSE)</f>
        <v>0</v>
      </c>
      <c r="U235" t="b">
        <f>IF(ROW()-ROW($U$1) &lt;= FILLME!$G$11, TRUE, FALSE)</f>
        <v>0</v>
      </c>
    </row>
    <row r="236" spans="1:21" x14ac:dyDescent="0.25">
      <c r="A236" s="7" t="str">
        <f>FILLME!$B$7</f>
        <v>ISCO</v>
      </c>
      <c r="B236" t="str">
        <f>IF(FILLME!$B$3 = "", "", FILLME!$B$3)</f>
        <v/>
      </c>
      <c r="C236" s="67" t="str">
        <f>IF(FILLME!$B$7="ISCO",FILLME!$E$4,IF(FILLME!$B$7="Grab",FILLME!$E$5))</f>
        <v>IS</v>
      </c>
      <c r="D236" t="str">
        <f>IF(FILLME!$B$4 = "", "", FILLME!$B$4)</f>
        <v>SSEMG</v>
      </c>
      <c r="E236" s="7" t="str">
        <f>TEXT(FILLME!$B$6,"yyyymmdd")</f>
        <v>20260223</v>
      </c>
      <c r="F236" s="8"/>
      <c r="G236" s="7">
        <f>IF(FILLME!$B$7="ISCO",FILLME!$B$6+FILLME!$B$11+(FILLME!$B$13*(H236-FILLME!$B$14)),FILLME!$B$6)</f>
        <v>46076.916666666664</v>
      </c>
      <c r="H236" s="8"/>
      <c r="I236" s="8"/>
      <c r="J236" s="2"/>
      <c r="K236" s="9" t="str">
        <f t="shared" si="9"/>
        <v>_00</v>
      </c>
      <c r="L236" s="10" t="str">
        <f t="shared" si="10"/>
        <v>SSEMG__20260223_00</v>
      </c>
      <c r="M236" s="10" t="str">
        <f t="shared" si="11"/>
        <v>SSEMG__IS_20260223_0000</v>
      </c>
      <c r="N236" t="b">
        <f>IF(ROW()-ROW($N$1) &lt;= FILLME!$G$4, TRUE, FALSE)</f>
        <v>0</v>
      </c>
      <c r="O236" t="b">
        <f>IF(ROW()-ROW($O$1) &lt;= FILLME!$G$5, TRUE, FALSE)</f>
        <v>0</v>
      </c>
      <c r="P236" t="b">
        <f>IF(ROW()-ROW($P$1) &lt;= FILLME!$G$7, TRUE, FALSE)</f>
        <v>0</v>
      </c>
      <c r="Q236" t="b">
        <f>IF(ROW()-ROW($Q$1) &lt;= FILLME!$G$6, TRUE, FALSE)</f>
        <v>0</v>
      </c>
      <c r="R236" t="b">
        <f>IF(ROW()-ROW($R$1) &lt;= FILLME!$G$8, TRUE, FALSE)</f>
        <v>0</v>
      </c>
      <c r="S236" t="b">
        <f>IF(ROW()-ROW($S$1) &lt;= FILLME!$G$9, TRUE, FALSE)</f>
        <v>0</v>
      </c>
      <c r="T236" t="b">
        <f>IF(ROW()-ROW($T$1) &lt;= FILLME!$G$10, TRUE, FALSE)</f>
        <v>0</v>
      </c>
      <c r="U236" t="b">
        <f>IF(ROW()-ROW($U$1) &lt;= FILLME!$G$11, TRUE, FALSE)</f>
        <v>0</v>
      </c>
    </row>
    <row r="237" spans="1:21" x14ac:dyDescent="0.25">
      <c r="A237" s="7" t="str">
        <f>FILLME!$B$7</f>
        <v>ISCO</v>
      </c>
      <c r="B237" t="str">
        <f>IF(FILLME!$B$3 = "", "", FILLME!$B$3)</f>
        <v/>
      </c>
      <c r="C237" s="67" t="str">
        <f>IF(FILLME!$B$7="ISCO",FILLME!$E$4,IF(FILLME!$B$7="Grab",FILLME!$E$5))</f>
        <v>IS</v>
      </c>
      <c r="D237" t="str">
        <f>IF(FILLME!$B$4 = "", "", FILLME!$B$4)</f>
        <v>SSEMG</v>
      </c>
      <c r="E237" s="7" t="str">
        <f>TEXT(FILLME!$B$6,"yyyymmdd")</f>
        <v>20260223</v>
      </c>
      <c r="F237" s="8"/>
      <c r="G237" s="7">
        <f>IF(FILLME!$B$7="ISCO",FILLME!$B$6+FILLME!$B$11+(FILLME!$B$13*(H237-FILLME!$B$14)),FILLME!$B$6)</f>
        <v>46076.916666666664</v>
      </c>
      <c r="H237" s="8"/>
      <c r="I237" s="8"/>
      <c r="J237" s="2"/>
      <c r="K237" s="9" t="str">
        <f t="shared" si="9"/>
        <v>_00</v>
      </c>
      <c r="L237" s="10" t="str">
        <f t="shared" si="10"/>
        <v>SSEMG__20260223_00</v>
      </c>
      <c r="M237" s="10" t="str">
        <f t="shared" si="11"/>
        <v>SSEMG__IS_20260223_0000</v>
      </c>
      <c r="N237" t="b">
        <f>IF(ROW()-ROW($N$1) &lt;= FILLME!$G$4, TRUE, FALSE)</f>
        <v>0</v>
      </c>
      <c r="O237" t="b">
        <f>IF(ROW()-ROW($O$1) &lt;= FILLME!$G$5, TRUE, FALSE)</f>
        <v>0</v>
      </c>
      <c r="P237" t="b">
        <f>IF(ROW()-ROW($P$1) &lt;= FILLME!$G$7, TRUE, FALSE)</f>
        <v>0</v>
      </c>
      <c r="Q237" t="b">
        <f>IF(ROW()-ROW($Q$1) &lt;= FILLME!$G$6, TRUE, FALSE)</f>
        <v>0</v>
      </c>
      <c r="R237" t="b">
        <f>IF(ROW()-ROW($R$1) &lt;= FILLME!$G$8, TRUE, FALSE)</f>
        <v>0</v>
      </c>
      <c r="S237" t="b">
        <f>IF(ROW()-ROW($S$1) &lt;= FILLME!$G$9, TRUE, FALSE)</f>
        <v>0</v>
      </c>
      <c r="T237" t="b">
        <f>IF(ROW()-ROW($T$1) &lt;= FILLME!$G$10, TRUE, FALSE)</f>
        <v>0</v>
      </c>
      <c r="U237" t="b">
        <f>IF(ROW()-ROW($U$1) &lt;= FILLME!$G$11, TRUE, FALSE)</f>
        <v>0</v>
      </c>
    </row>
    <row r="238" spans="1:21" x14ac:dyDescent="0.25">
      <c r="A238" s="7" t="str">
        <f>FILLME!$B$7</f>
        <v>ISCO</v>
      </c>
      <c r="B238" t="str">
        <f>IF(FILLME!$B$3 = "", "", FILLME!$B$3)</f>
        <v/>
      </c>
      <c r="C238" s="67" t="str">
        <f>IF(FILLME!$B$7="ISCO",FILLME!$E$4,IF(FILLME!$B$7="Grab",FILLME!$E$5))</f>
        <v>IS</v>
      </c>
      <c r="D238" t="str">
        <f>IF(FILLME!$B$4 = "", "", FILLME!$B$4)</f>
        <v>SSEMG</v>
      </c>
      <c r="E238" s="7" t="str">
        <f>TEXT(FILLME!$B$6,"yyyymmdd")</f>
        <v>20260223</v>
      </c>
      <c r="F238" s="8"/>
      <c r="G238" s="7">
        <f>IF(FILLME!$B$7="ISCO",FILLME!$B$6+FILLME!$B$11+(FILLME!$B$13*(H238-FILLME!$B$14)),FILLME!$B$6)</f>
        <v>46076.916666666664</v>
      </c>
      <c r="H238" s="8"/>
      <c r="I238" s="8"/>
      <c r="J238" s="2"/>
      <c r="K238" s="9" t="str">
        <f t="shared" si="9"/>
        <v>_00</v>
      </c>
      <c r="L238" s="10" t="str">
        <f t="shared" si="10"/>
        <v>SSEMG__20260223_00</v>
      </c>
      <c r="M238" s="10" t="str">
        <f t="shared" si="11"/>
        <v>SSEMG__IS_20260223_0000</v>
      </c>
      <c r="N238" t="b">
        <f>IF(ROW()-ROW($N$1) &lt;= FILLME!$G$4, TRUE, FALSE)</f>
        <v>0</v>
      </c>
      <c r="O238" t="b">
        <f>IF(ROW()-ROW($O$1) &lt;= FILLME!$G$5, TRUE, FALSE)</f>
        <v>0</v>
      </c>
      <c r="P238" t="b">
        <f>IF(ROW()-ROW($P$1) &lt;= FILLME!$G$7, TRUE, FALSE)</f>
        <v>0</v>
      </c>
      <c r="Q238" t="b">
        <f>IF(ROW()-ROW($Q$1) &lt;= FILLME!$G$6, TRUE, FALSE)</f>
        <v>0</v>
      </c>
      <c r="R238" t="b">
        <f>IF(ROW()-ROW($R$1) &lt;= FILLME!$G$8, TRUE, FALSE)</f>
        <v>0</v>
      </c>
      <c r="S238" t="b">
        <f>IF(ROW()-ROW($S$1) &lt;= FILLME!$G$9, TRUE, FALSE)</f>
        <v>0</v>
      </c>
      <c r="T238" t="b">
        <f>IF(ROW()-ROW($T$1) &lt;= FILLME!$G$10, TRUE, FALSE)</f>
        <v>0</v>
      </c>
      <c r="U238" t="b">
        <f>IF(ROW()-ROW($U$1) &lt;= FILLME!$G$11, TRUE, FALSE)</f>
        <v>0</v>
      </c>
    </row>
    <row r="239" spans="1:21" x14ac:dyDescent="0.25">
      <c r="A239" s="7" t="str">
        <f>FILLME!$B$7</f>
        <v>ISCO</v>
      </c>
      <c r="B239" t="str">
        <f>IF(FILLME!$B$3 = "", "", FILLME!$B$3)</f>
        <v/>
      </c>
      <c r="C239" s="67" t="str">
        <f>IF(FILLME!$B$7="ISCO",FILLME!$E$4,IF(FILLME!$B$7="Grab",FILLME!$E$5))</f>
        <v>IS</v>
      </c>
      <c r="D239" t="str">
        <f>IF(FILLME!$B$4 = "", "", FILLME!$B$4)</f>
        <v>SSEMG</v>
      </c>
      <c r="E239" s="7" t="str">
        <f>TEXT(FILLME!$B$6,"yyyymmdd")</f>
        <v>20260223</v>
      </c>
      <c r="F239" s="8"/>
      <c r="G239" s="7">
        <f>IF(FILLME!$B$7="ISCO",FILLME!$B$6+FILLME!$B$11+(FILLME!$B$13*(H239-FILLME!$B$14)),FILLME!$B$6)</f>
        <v>46076.916666666664</v>
      </c>
      <c r="H239" s="8"/>
      <c r="I239" s="8"/>
      <c r="J239" s="2"/>
      <c r="K239" s="9" t="str">
        <f t="shared" si="9"/>
        <v>_00</v>
      </c>
      <c r="L239" s="10" t="str">
        <f t="shared" si="10"/>
        <v>SSEMG__20260223_00</v>
      </c>
      <c r="M239" s="10" t="str">
        <f t="shared" si="11"/>
        <v>SSEMG__IS_20260223_0000</v>
      </c>
      <c r="N239" t="b">
        <f>IF(ROW()-ROW($N$1) &lt;= FILLME!$G$4, TRUE, FALSE)</f>
        <v>0</v>
      </c>
      <c r="O239" t="b">
        <f>IF(ROW()-ROW($O$1) &lt;= FILLME!$G$5, TRUE, FALSE)</f>
        <v>0</v>
      </c>
      <c r="P239" t="b">
        <f>IF(ROW()-ROW($P$1) &lt;= FILLME!$G$7, TRUE, FALSE)</f>
        <v>0</v>
      </c>
      <c r="Q239" t="b">
        <f>IF(ROW()-ROW($Q$1) &lt;= FILLME!$G$6, TRUE, FALSE)</f>
        <v>0</v>
      </c>
      <c r="R239" t="b">
        <f>IF(ROW()-ROW($R$1) &lt;= FILLME!$G$8, TRUE, FALSE)</f>
        <v>0</v>
      </c>
      <c r="S239" t="b">
        <f>IF(ROW()-ROW($S$1) &lt;= FILLME!$G$9, TRUE, FALSE)</f>
        <v>0</v>
      </c>
      <c r="T239" t="b">
        <f>IF(ROW()-ROW($T$1) &lt;= FILLME!$G$10, TRUE, FALSE)</f>
        <v>0</v>
      </c>
      <c r="U239" t="b">
        <f>IF(ROW()-ROW($U$1) &lt;= FILLME!$G$11, TRUE, FALSE)</f>
        <v>0</v>
      </c>
    </row>
    <row r="240" spans="1:21" x14ac:dyDescent="0.25">
      <c r="A240" s="7" t="str">
        <f>FILLME!$B$7</f>
        <v>ISCO</v>
      </c>
      <c r="B240" t="str">
        <f>IF(FILLME!$B$3 = "", "", FILLME!$B$3)</f>
        <v/>
      </c>
      <c r="C240" s="67" t="str">
        <f>IF(FILLME!$B$7="ISCO",FILLME!$E$4,IF(FILLME!$B$7="Grab",FILLME!$E$5))</f>
        <v>IS</v>
      </c>
      <c r="D240" t="str">
        <f>IF(FILLME!$B$4 = "", "", FILLME!$B$4)</f>
        <v>SSEMG</v>
      </c>
      <c r="E240" s="7" t="str">
        <f>TEXT(FILLME!$B$6,"yyyymmdd")</f>
        <v>20260223</v>
      </c>
      <c r="F240" s="8"/>
      <c r="G240" s="7">
        <f>IF(FILLME!$B$7="ISCO",FILLME!$B$6+FILLME!$B$11+(FILLME!$B$13*(H240-FILLME!$B$14)),FILLME!$B$6)</f>
        <v>46076.916666666664</v>
      </c>
      <c r="H240" s="8"/>
      <c r="I240" s="8"/>
      <c r="J240" s="2"/>
      <c r="K240" s="9" t="str">
        <f t="shared" si="9"/>
        <v>_00</v>
      </c>
      <c r="L240" s="10" t="str">
        <f t="shared" si="10"/>
        <v>SSEMG__20260223_00</v>
      </c>
      <c r="M240" s="10" t="str">
        <f t="shared" si="11"/>
        <v>SSEMG__IS_20260223_0000</v>
      </c>
      <c r="N240" t="b">
        <f>IF(ROW()-ROW($N$1) &lt;= FILLME!$G$4, TRUE, FALSE)</f>
        <v>0</v>
      </c>
      <c r="O240" t="b">
        <f>IF(ROW()-ROW($O$1) &lt;= FILLME!$G$5, TRUE, FALSE)</f>
        <v>0</v>
      </c>
      <c r="P240" t="b">
        <f>IF(ROW()-ROW($P$1) &lt;= FILLME!$G$7, TRUE, FALSE)</f>
        <v>0</v>
      </c>
      <c r="Q240" t="b">
        <f>IF(ROW()-ROW($Q$1) &lt;= FILLME!$G$6, TRUE, FALSE)</f>
        <v>0</v>
      </c>
      <c r="R240" t="b">
        <f>IF(ROW()-ROW($R$1) &lt;= FILLME!$G$8, TRUE, FALSE)</f>
        <v>0</v>
      </c>
      <c r="S240" t="b">
        <f>IF(ROW()-ROW($S$1) &lt;= FILLME!$G$9, TRUE, FALSE)</f>
        <v>0</v>
      </c>
      <c r="T240" t="b">
        <f>IF(ROW()-ROW($T$1) &lt;= FILLME!$G$10, TRUE, FALSE)</f>
        <v>0</v>
      </c>
      <c r="U240" t="b">
        <f>IF(ROW()-ROW($U$1) &lt;= FILLME!$G$11, TRUE, FALSE)</f>
        <v>0</v>
      </c>
    </row>
    <row r="241" spans="1:21" x14ac:dyDescent="0.25">
      <c r="A241" s="7" t="str">
        <f>FILLME!$B$7</f>
        <v>ISCO</v>
      </c>
      <c r="B241" t="str">
        <f>IF(FILLME!$B$3 = "", "", FILLME!$B$3)</f>
        <v/>
      </c>
      <c r="C241" s="67" t="str">
        <f>IF(FILLME!$B$7="ISCO",FILLME!$E$4,IF(FILLME!$B$7="Grab",FILLME!$E$5))</f>
        <v>IS</v>
      </c>
      <c r="D241" t="str">
        <f>IF(FILLME!$B$4 = "", "", FILLME!$B$4)</f>
        <v>SSEMG</v>
      </c>
      <c r="E241" s="7" t="str">
        <f>TEXT(FILLME!$B$6,"yyyymmdd")</f>
        <v>20260223</v>
      </c>
      <c r="F241" s="8"/>
      <c r="G241" s="7">
        <f>IF(FILLME!$B$7="ISCO",FILLME!$B$6+FILLME!$B$11+(FILLME!$B$13*(H241-FILLME!$B$14)),FILLME!$B$6)</f>
        <v>46076.916666666664</v>
      </c>
      <c r="H241" s="8"/>
      <c r="I241" s="8"/>
      <c r="J241" s="2"/>
      <c r="K241" s="9" t="str">
        <f t="shared" si="9"/>
        <v>_00</v>
      </c>
      <c r="L241" s="10" t="str">
        <f t="shared" si="10"/>
        <v>SSEMG__20260223_00</v>
      </c>
      <c r="M241" s="10" t="str">
        <f t="shared" si="11"/>
        <v>SSEMG__IS_20260223_0000</v>
      </c>
      <c r="N241" t="b">
        <f>IF(ROW()-ROW($N$1) &lt;= FILLME!$G$4, TRUE, FALSE)</f>
        <v>0</v>
      </c>
      <c r="O241" t="b">
        <f>IF(ROW()-ROW($O$1) &lt;= FILLME!$G$5, TRUE, FALSE)</f>
        <v>0</v>
      </c>
      <c r="P241" t="b">
        <f>IF(ROW()-ROW($P$1) &lt;= FILLME!$G$7, TRUE, FALSE)</f>
        <v>0</v>
      </c>
      <c r="Q241" t="b">
        <f>IF(ROW()-ROW($Q$1) &lt;= FILLME!$G$6, TRUE, FALSE)</f>
        <v>0</v>
      </c>
      <c r="R241" t="b">
        <f>IF(ROW()-ROW($R$1) &lt;= FILLME!$G$8, TRUE, FALSE)</f>
        <v>0</v>
      </c>
      <c r="S241" t="b">
        <f>IF(ROW()-ROW($S$1) &lt;= FILLME!$G$9, TRUE, FALSE)</f>
        <v>0</v>
      </c>
      <c r="T241" t="b">
        <f>IF(ROW()-ROW($T$1) &lt;= FILLME!$G$10, TRUE, FALSE)</f>
        <v>0</v>
      </c>
      <c r="U241" t="b">
        <f>IF(ROW()-ROW($U$1) &lt;= FILLME!$G$11, TRUE, FALSE)</f>
        <v>0</v>
      </c>
    </row>
    <row r="242" spans="1:21" x14ac:dyDescent="0.25">
      <c r="A242" s="7" t="str">
        <f>FILLME!$B$7</f>
        <v>ISCO</v>
      </c>
      <c r="B242" t="str">
        <f>IF(FILLME!$B$3 = "", "", FILLME!$B$3)</f>
        <v/>
      </c>
      <c r="C242" s="67" t="str">
        <f>IF(FILLME!$B$7="ISCO",FILLME!$E$4,IF(FILLME!$B$7="Grab",FILLME!$E$5))</f>
        <v>IS</v>
      </c>
      <c r="D242" t="str">
        <f>IF(FILLME!$B$4 = "", "", FILLME!$B$4)</f>
        <v>SSEMG</v>
      </c>
      <c r="E242" s="7" t="str">
        <f>TEXT(FILLME!$B$6,"yyyymmdd")</f>
        <v>20260223</v>
      </c>
      <c r="F242" s="8"/>
      <c r="G242" s="7">
        <f>IF(FILLME!$B$7="ISCO",FILLME!$B$6+FILLME!$B$11+(FILLME!$B$13*(H242-FILLME!$B$14)),FILLME!$B$6)</f>
        <v>46076.916666666664</v>
      </c>
      <c r="H242" s="8"/>
      <c r="I242" s="8"/>
      <c r="J242" s="2"/>
      <c r="K242" s="9" t="str">
        <f t="shared" si="9"/>
        <v>_00</v>
      </c>
      <c r="L242" s="10" t="str">
        <f t="shared" si="10"/>
        <v>SSEMG__20260223_00</v>
      </c>
      <c r="M242" s="10" t="str">
        <f t="shared" si="11"/>
        <v>SSEMG__IS_20260223_0000</v>
      </c>
      <c r="N242" t="b">
        <f>IF(ROW()-ROW($N$1) &lt;= FILLME!$G$4, TRUE, FALSE)</f>
        <v>0</v>
      </c>
      <c r="O242" t="b">
        <f>IF(ROW()-ROW($O$1) &lt;= FILLME!$G$5, TRUE, FALSE)</f>
        <v>0</v>
      </c>
      <c r="P242" t="b">
        <f>IF(ROW()-ROW($P$1) &lt;= FILLME!$G$7, TRUE, FALSE)</f>
        <v>0</v>
      </c>
      <c r="Q242" t="b">
        <f>IF(ROW()-ROW($Q$1) &lt;= FILLME!$G$6, TRUE, FALSE)</f>
        <v>0</v>
      </c>
      <c r="R242" t="b">
        <f>IF(ROW()-ROW($R$1) &lt;= FILLME!$G$8, TRUE, FALSE)</f>
        <v>0</v>
      </c>
      <c r="S242" t="b">
        <f>IF(ROW()-ROW($S$1) &lt;= FILLME!$G$9, TRUE, FALSE)</f>
        <v>0</v>
      </c>
      <c r="T242" t="b">
        <f>IF(ROW()-ROW($T$1) &lt;= FILLME!$G$10, TRUE, FALSE)</f>
        <v>0</v>
      </c>
      <c r="U242" t="b">
        <f>IF(ROW()-ROW($U$1) &lt;= FILLME!$G$11, TRUE, FALSE)</f>
        <v>0</v>
      </c>
    </row>
    <row r="243" spans="1:21" x14ac:dyDescent="0.25">
      <c r="A243" s="7" t="str">
        <f>FILLME!$B$7</f>
        <v>ISCO</v>
      </c>
      <c r="B243" t="str">
        <f>IF(FILLME!$B$3 = "", "", FILLME!$B$3)</f>
        <v/>
      </c>
      <c r="C243" s="67" t="str">
        <f>IF(FILLME!$B$7="ISCO",FILLME!$E$4,IF(FILLME!$B$7="Grab",FILLME!$E$5))</f>
        <v>IS</v>
      </c>
      <c r="D243" t="str">
        <f>IF(FILLME!$B$4 = "", "", FILLME!$B$4)</f>
        <v>SSEMG</v>
      </c>
      <c r="E243" s="7" t="str">
        <f>TEXT(FILLME!$B$6,"yyyymmdd")</f>
        <v>20260223</v>
      </c>
      <c r="F243" s="8"/>
      <c r="G243" s="7">
        <f>IF(FILLME!$B$7="ISCO",FILLME!$B$6+FILLME!$B$11+(FILLME!$B$13*(H243-FILLME!$B$14)),FILLME!$B$6)</f>
        <v>46076.916666666664</v>
      </c>
      <c r="H243" s="8"/>
      <c r="I243" s="8"/>
      <c r="J243" s="2"/>
      <c r="K243" s="9" t="str">
        <f t="shared" si="9"/>
        <v>_00</v>
      </c>
      <c r="L243" s="10" t="str">
        <f t="shared" si="10"/>
        <v>SSEMG__20260223_00</v>
      </c>
      <c r="M243" s="10" t="str">
        <f t="shared" si="11"/>
        <v>SSEMG__IS_20260223_0000</v>
      </c>
      <c r="N243" t="b">
        <f>IF(ROW()-ROW($N$1) &lt;= FILLME!$G$4, TRUE, FALSE)</f>
        <v>0</v>
      </c>
      <c r="O243" t="b">
        <f>IF(ROW()-ROW($O$1) &lt;= FILLME!$G$5, TRUE, FALSE)</f>
        <v>0</v>
      </c>
      <c r="P243" t="b">
        <f>IF(ROW()-ROW($P$1) &lt;= FILLME!$G$7, TRUE, FALSE)</f>
        <v>0</v>
      </c>
      <c r="Q243" t="b">
        <f>IF(ROW()-ROW($Q$1) &lt;= FILLME!$G$6, TRUE, FALSE)</f>
        <v>0</v>
      </c>
      <c r="R243" t="b">
        <f>IF(ROW()-ROW($R$1) &lt;= FILLME!$G$8, TRUE, FALSE)</f>
        <v>0</v>
      </c>
      <c r="S243" t="b">
        <f>IF(ROW()-ROW($S$1) &lt;= FILLME!$G$9, TRUE, FALSE)</f>
        <v>0</v>
      </c>
      <c r="T243" t="b">
        <f>IF(ROW()-ROW($T$1) &lt;= FILLME!$G$10, TRUE, FALSE)</f>
        <v>0</v>
      </c>
      <c r="U243" t="b">
        <f>IF(ROW()-ROW($U$1) &lt;= FILLME!$G$11, TRUE, FALSE)</f>
        <v>0</v>
      </c>
    </row>
    <row r="244" spans="1:21" x14ac:dyDescent="0.25">
      <c r="A244" s="7" t="str">
        <f>FILLME!$B$7</f>
        <v>ISCO</v>
      </c>
      <c r="B244" t="str">
        <f>IF(FILLME!$B$3 = "", "", FILLME!$B$3)</f>
        <v/>
      </c>
      <c r="C244" s="67" t="str">
        <f>IF(FILLME!$B$7="ISCO",FILLME!$E$4,IF(FILLME!$B$7="Grab",FILLME!$E$5))</f>
        <v>IS</v>
      </c>
      <c r="D244" t="str">
        <f>IF(FILLME!$B$4 = "", "", FILLME!$B$4)</f>
        <v>SSEMG</v>
      </c>
      <c r="E244" s="7" t="str">
        <f>TEXT(FILLME!$B$6,"yyyymmdd")</f>
        <v>20260223</v>
      </c>
      <c r="F244" s="8"/>
      <c r="G244" s="7">
        <f>IF(FILLME!$B$7="ISCO",FILLME!$B$6+FILLME!$B$11+(FILLME!$B$13*(H244-FILLME!$B$14)),FILLME!$B$6)</f>
        <v>46076.916666666664</v>
      </c>
      <c r="H244" s="8"/>
      <c r="I244" s="8"/>
      <c r="J244" s="2"/>
      <c r="K244" s="9" t="str">
        <f t="shared" si="9"/>
        <v>_00</v>
      </c>
      <c r="L244" s="10" t="str">
        <f t="shared" si="10"/>
        <v>SSEMG__20260223_00</v>
      </c>
      <c r="M244" s="10" t="str">
        <f t="shared" si="11"/>
        <v>SSEMG__IS_20260223_0000</v>
      </c>
      <c r="N244" t="b">
        <f>IF(ROW()-ROW($N$1) &lt;= FILLME!$G$4, TRUE, FALSE)</f>
        <v>0</v>
      </c>
      <c r="O244" t="b">
        <f>IF(ROW()-ROW($O$1) &lt;= FILLME!$G$5, TRUE, FALSE)</f>
        <v>0</v>
      </c>
      <c r="P244" t="b">
        <f>IF(ROW()-ROW($P$1) &lt;= FILLME!$G$7, TRUE, FALSE)</f>
        <v>0</v>
      </c>
      <c r="Q244" t="b">
        <f>IF(ROW()-ROW($Q$1) &lt;= FILLME!$G$6, TRUE, FALSE)</f>
        <v>0</v>
      </c>
      <c r="R244" t="b">
        <f>IF(ROW()-ROW($R$1) &lt;= FILLME!$G$8, TRUE, FALSE)</f>
        <v>0</v>
      </c>
      <c r="S244" t="b">
        <f>IF(ROW()-ROW($S$1) &lt;= FILLME!$G$9, TRUE, FALSE)</f>
        <v>0</v>
      </c>
      <c r="T244" t="b">
        <f>IF(ROW()-ROW($T$1) &lt;= FILLME!$G$10, TRUE, FALSE)</f>
        <v>0</v>
      </c>
      <c r="U244" t="b">
        <f>IF(ROW()-ROW($U$1) &lt;= FILLME!$G$11, TRUE, FALSE)</f>
        <v>0</v>
      </c>
    </row>
    <row r="245" spans="1:21" x14ac:dyDescent="0.25">
      <c r="A245" s="7" t="str">
        <f>FILLME!$B$7</f>
        <v>ISCO</v>
      </c>
      <c r="B245" t="str">
        <f>IF(FILLME!$B$3 = "", "", FILLME!$B$3)</f>
        <v/>
      </c>
      <c r="C245" s="67" t="str">
        <f>IF(FILLME!$B$7="ISCO",FILLME!$E$4,IF(FILLME!$B$7="Grab",FILLME!$E$5))</f>
        <v>IS</v>
      </c>
      <c r="D245" t="str">
        <f>IF(FILLME!$B$4 = "", "", FILLME!$B$4)</f>
        <v>SSEMG</v>
      </c>
      <c r="E245" s="7" t="str">
        <f>TEXT(FILLME!$B$6,"yyyymmdd")</f>
        <v>20260223</v>
      </c>
      <c r="F245" s="8"/>
      <c r="G245" s="7">
        <f>IF(FILLME!$B$7="ISCO",FILLME!$B$6+FILLME!$B$11+(FILLME!$B$13*(H245-FILLME!$B$14)),FILLME!$B$6)</f>
        <v>46076.916666666664</v>
      </c>
      <c r="H245" s="8"/>
      <c r="I245" s="8"/>
      <c r="J245" s="2"/>
      <c r="K245" s="9" t="str">
        <f t="shared" si="9"/>
        <v>_00</v>
      </c>
      <c r="L245" s="10" t="str">
        <f t="shared" si="10"/>
        <v>SSEMG__20260223_00</v>
      </c>
      <c r="M245" s="10" t="str">
        <f t="shared" si="11"/>
        <v>SSEMG__IS_20260223_0000</v>
      </c>
      <c r="N245" t="b">
        <f>IF(ROW()-ROW($N$1) &lt;= FILLME!$G$4, TRUE, FALSE)</f>
        <v>0</v>
      </c>
      <c r="O245" t="b">
        <f>IF(ROW()-ROW($O$1) &lt;= FILLME!$G$5, TRUE, FALSE)</f>
        <v>0</v>
      </c>
      <c r="P245" t="b">
        <f>IF(ROW()-ROW($P$1) &lt;= FILLME!$G$7, TRUE, FALSE)</f>
        <v>0</v>
      </c>
      <c r="Q245" t="b">
        <f>IF(ROW()-ROW($Q$1) &lt;= FILLME!$G$6, TRUE, FALSE)</f>
        <v>0</v>
      </c>
      <c r="R245" t="b">
        <f>IF(ROW()-ROW($R$1) &lt;= FILLME!$G$8, TRUE, FALSE)</f>
        <v>0</v>
      </c>
      <c r="S245" t="b">
        <f>IF(ROW()-ROW($S$1) &lt;= FILLME!$G$9, TRUE, FALSE)</f>
        <v>0</v>
      </c>
      <c r="T245" t="b">
        <f>IF(ROW()-ROW($T$1) &lt;= FILLME!$G$10, TRUE, FALSE)</f>
        <v>0</v>
      </c>
      <c r="U245" t="b">
        <f>IF(ROW()-ROW($U$1) &lt;= FILLME!$G$11, TRUE, FALSE)</f>
        <v>0</v>
      </c>
    </row>
    <row r="246" spans="1:21" x14ac:dyDescent="0.25">
      <c r="A246" s="7" t="str">
        <f>FILLME!$B$7</f>
        <v>ISCO</v>
      </c>
      <c r="B246" t="str">
        <f>IF(FILLME!$B$3 = "", "", FILLME!$B$3)</f>
        <v/>
      </c>
      <c r="C246" s="67" t="str">
        <f>IF(FILLME!$B$7="ISCO",FILLME!$E$4,IF(FILLME!$B$7="Grab",FILLME!$E$5))</f>
        <v>IS</v>
      </c>
      <c r="D246" t="str">
        <f>IF(FILLME!$B$4 = "", "", FILLME!$B$4)</f>
        <v>SSEMG</v>
      </c>
      <c r="E246" s="7" t="str">
        <f>TEXT(FILLME!$B$6,"yyyymmdd")</f>
        <v>20260223</v>
      </c>
      <c r="F246" s="8"/>
      <c r="G246" s="7">
        <f>IF(FILLME!$B$7="ISCO",FILLME!$B$6+FILLME!$B$11+(FILLME!$B$13*(H246-FILLME!$B$14)),FILLME!$B$6)</f>
        <v>46076.916666666664</v>
      </c>
      <c r="H246" s="8"/>
      <c r="I246" s="8"/>
      <c r="J246" s="2"/>
      <c r="K246" s="9" t="str">
        <f t="shared" si="9"/>
        <v>_00</v>
      </c>
      <c r="L246" s="10" t="str">
        <f t="shared" si="10"/>
        <v>SSEMG__20260223_00</v>
      </c>
      <c r="M246" s="10" t="str">
        <f t="shared" si="11"/>
        <v>SSEMG__IS_20260223_0000</v>
      </c>
      <c r="N246" t="b">
        <f>IF(ROW()-ROW($N$1) &lt;= FILLME!$G$4, TRUE, FALSE)</f>
        <v>0</v>
      </c>
      <c r="O246" t="b">
        <f>IF(ROW()-ROW($O$1) &lt;= FILLME!$G$5, TRUE, FALSE)</f>
        <v>0</v>
      </c>
      <c r="P246" t="b">
        <f>IF(ROW()-ROW($P$1) &lt;= FILLME!$G$7, TRUE, FALSE)</f>
        <v>0</v>
      </c>
      <c r="Q246" t="b">
        <f>IF(ROW()-ROW($Q$1) &lt;= FILLME!$G$6, TRUE, FALSE)</f>
        <v>0</v>
      </c>
      <c r="R246" t="b">
        <f>IF(ROW()-ROW($R$1) &lt;= FILLME!$G$8, TRUE, FALSE)</f>
        <v>0</v>
      </c>
      <c r="S246" t="b">
        <f>IF(ROW()-ROW($S$1) &lt;= FILLME!$G$9, TRUE, FALSE)</f>
        <v>0</v>
      </c>
      <c r="T246" t="b">
        <f>IF(ROW()-ROW($T$1) &lt;= FILLME!$G$10, TRUE, FALSE)</f>
        <v>0</v>
      </c>
      <c r="U246" t="b">
        <f>IF(ROW()-ROW($U$1) &lt;= FILLME!$G$11, TRUE, FALSE)</f>
        <v>0</v>
      </c>
    </row>
    <row r="247" spans="1:21" x14ac:dyDescent="0.25">
      <c r="A247" s="7" t="str">
        <f>FILLME!$B$7</f>
        <v>ISCO</v>
      </c>
      <c r="B247" t="str">
        <f>IF(FILLME!$B$3 = "", "", FILLME!$B$3)</f>
        <v/>
      </c>
      <c r="C247" s="67" t="str">
        <f>IF(FILLME!$B$7="ISCO",FILLME!$E$4,IF(FILLME!$B$7="Grab",FILLME!$E$5))</f>
        <v>IS</v>
      </c>
      <c r="D247" t="str">
        <f>IF(FILLME!$B$4 = "", "", FILLME!$B$4)</f>
        <v>SSEMG</v>
      </c>
      <c r="E247" s="7" t="str">
        <f>TEXT(FILLME!$B$6,"yyyymmdd")</f>
        <v>20260223</v>
      </c>
      <c r="F247" s="8"/>
      <c r="G247" s="7">
        <f>IF(FILLME!$B$7="ISCO",FILLME!$B$6+FILLME!$B$11+(FILLME!$B$13*(H247-FILLME!$B$14)),FILLME!$B$6)</f>
        <v>46076.916666666664</v>
      </c>
      <c r="H247" s="8"/>
      <c r="I247" s="8"/>
      <c r="J247" s="2"/>
      <c r="K247" s="9" t="str">
        <f t="shared" si="9"/>
        <v>_00</v>
      </c>
      <c r="L247" s="10" t="str">
        <f t="shared" si="10"/>
        <v>SSEMG__20260223_00</v>
      </c>
      <c r="M247" s="10" t="str">
        <f t="shared" si="11"/>
        <v>SSEMG__IS_20260223_0000</v>
      </c>
      <c r="N247" t="b">
        <f>IF(ROW()-ROW($N$1) &lt;= FILLME!$G$4, TRUE, FALSE)</f>
        <v>0</v>
      </c>
      <c r="O247" t="b">
        <f>IF(ROW()-ROW($O$1) &lt;= FILLME!$G$5, TRUE, FALSE)</f>
        <v>0</v>
      </c>
      <c r="P247" t="b">
        <f>IF(ROW()-ROW($P$1) &lt;= FILLME!$G$7, TRUE, FALSE)</f>
        <v>0</v>
      </c>
      <c r="Q247" t="b">
        <f>IF(ROW()-ROW($Q$1) &lt;= FILLME!$G$6, TRUE, FALSE)</f>
        <v>0</v>
      </c>
      <c r="R247" t="b">
        <f>IF(ROW()-ROW($R$1) &lt;= FILLME!$G$8, TRUE, FALSE)</f>
        <v>0</v>
      </c>
      <c r="S247" t="b">
        <f>IF(ROW()-ROW($S$1) &lt;= FILLME!$G$9, TRUE, FALSE)</f>
        <v>0</v>
      </c>
      <c r="T247" t="b">
        <f>IF(ROW()-ROW($T$1) &lt;= FILLME!$G$10, TRUE, FALSE)</f>
        <v>0</v>
      </c>
      <c r="U247" t="b">
        <f>IF(ROW()-ROW($U$1) &lt;= FILLME!$G$11, TRUE, FALSE)</f>
        <v>0</v>
      </c>
    </row>
    <row r="248" spans="1:21" x14ac:dyDescent="0.25">
      <c r="A248" s="7" t="str">
        <f>FILLME!$B$7</f>
        <v>ISCO</v>
      </c>
      <c r="B248" t="str">
        <f>IF(FILLME!$B$3 = "", "", FILLME!$B$3)</f>
        <v/>
      </c>
      <c r="C248" s="67" t="str">
        <f>IF(FILLME!$B$7="ISCO",FILLME!$E$4,IF(FILLME!$B$7="Grab",FILLME!$E$5))</f>
        <v>IS</v>
      </c>
      <c r="D248" t="str">
        <f>IF(FILLME!$B$4 = "", "", FILLME!$B$4)</f>
        <v>SSEMG</v>
      </c>
      <c r="E248" s="7" t="str">
        <f>TEXT(FILLME!$B$6,"yyyymmdd")</f>
        <v>20260223</v>
      </c>
      <c r="F248" s="8"/>
      <c r="G248" s="7">
        <f>IF(FILLME!$B$7="ISCO",FILLME!$B$6+FILLME!$B$11+(FILLME!$B$13*(H248-FILLME!$B$14)),FILLME!$B$6)</f>
        <v>46076.916666666664</v>
      </c>
      <c r="H248" s="8"/>
      <c r="I248" s="8"/>
      <c r="J248" s="2"/>
      <c r="K248" s="9" t="str">
        <f t="shared" si="9"/>
        <v>_00</v>
      </c>
      <c r="L248" s="10" t="str">
        <f t="shared" si="10"/>
        <v>SSEMG__20260223_00</v>
      </c>
      <c r="M248" s="10" t="str">
        <f t="shared" si="11"/>
        <v>SSEMG__IS_20260223_0000</v>
      </c>
      <c r="N248" t="b">
        <f>IF(ROW()-ROW($N$1) &lt;= FILLME!$G$4, TRUE, FALSE)</f>
        <v>0</v>
      </c>
      <c r="O248" t="b">
        <f>IF(ROW()-ROW($O$1) &lt;= FILLME!$G$5, TRUE, FALSE)</f>
        <v>0</v>
      </c>
      <c r="P248" t="b">
        <f>IF(ROW()-ROW($P$1) &lt;= FILLME!$G$7, TRUE, FALSE)</f>
        <v>0</v>
      </c>
      <c r="Q248" t="b">
        <f>IF(ROW()-ROW($Q$1) &lt;= FILLME!$G$6, TRUE, FALSE)</f>
        <v>0</v>
      </c>
      <c r="R248" t="b">
        <f>IF(ROW()-ROW($R$1) &lt;= FILLME!$G$8, TRUE, FALSE)</f>
        <v>0</v>
      </c>
      <c r="S248" t="b">
        <f>IF(ROW()-ROW($S$1) &lt;= FILLME!$G$9, TRUE, FALSE)</f>
        <v>0</v>
      </c>
      <c r="T248" t="b">
        <f>IF(ROW()-ROW($T$1) &lt;= FILLME!$G$10, TRUE, FALSE)</f>
        <v>0</v>
      </c>
      <c r="U248" t="b">
        <f>IF(ROW()-ROW($U$1) &lt;= FILLME!$G$11, TRUE, FALSE)</f>
        <v>0</v>
      </c>
    </row>
    <row r="249" spans="1:21" x14ac:dyDescent="0.25">
      <c r="A249" s="7" t="str">
        <f>FILLME!$B$7</f>
        <v>ISCO</v>
      </c>
      <c r="B249" t="str">
        <f>IF(FILLME!$B$3 = "", "", FILLME!$B$3)</f>
        <v/>
      </c>
      <c r="C249" s="67" t="str">
        <f>IF(FILLME!$B$7="ISCO",FILLME!$E$4,IF(FILLME!$B$7="Grab",FILLME!$E$5))</f>
        <v>IS</v>
      </c>
      <c r="D249" t="str">
        <f>IF(FILLME!$B$4 = "", "", FILLME!$B$4)</f>
        <v>SSEMG</v>
      </c>
      <c r="E249" s="7" t="str">
        <f>TEXT(FILLME!$B$6,"yyyymmdd")</f>
        <v>20260223</v>
      </c>
      <c r="F249" s="8"/>
      <c r="G249" s="7">
        <f>IF(FILLME!$B$7="ISCO",FILLME!$B$6+FILLME!$B$11+(FILLME!$B$13*(H249-FILLME!$B$14)),FILLME!$B$6)</f>
        <v>46076.916666666664</v>
      </c>
      <c r="H249" s="8"/>
      <c r="I249" s="8"/>
      <c r="J249" s="2"/>
      <c r="K249" s="9" t="str">
        <f t="shared" si="9"/>
        <v>_00</v>
      </c>
      <c r="L249" s="10" t="str">
        <f t="shared" si="10"/>
        <v>SSEMG__20260223_00</v>
      </c>
      <c r="M249" s="10" t="str">
        <f t="shared" si="11"/>
        <v>SSEMG__IS_20260223_0000</v>
      </c>
      <c r="N249" t="b">
        <f>IF(ROW()-ROW($N$1) &lt;= FILLME!$G$4, TRUE, FALSE)</f>
        <v>0</v>
      </c>
      <c r="O249" t="b">
        <f>IF(ROW()-ROW($O$1) &lt;= FILLME!$G$5, TRUE, FALSE)</f>
        <v>0</v>
      </c>
      <c r="P249" t="b">
        <f>IF(ROW()-ROW($P$1) &lt;= FILLME!$G$7, TRUE, FALSE)</f>
        <v>0</v>
      </c>
      <c r="Q249" t="b">
        <f>IF(ROW()-ROW($Q$1) &lt;= FILLME!$G$6, TRUE, FALSE)</f>
        <v>0</v>
      </c>
      <c r="R249" t="b">
        <f>IF(ROW()-ROW($R$1) &lt;= FILLME!$G$8, TRUE, FALSE)</f>
        <v>0</v>
      </c>
      <c r="S249" t="b">
        <f>IF(ROW()-ROW($S$1) &lt;= FILLME!$G$9, TRUE, FALSE)</f>
        <v>0</v>
      </c>
      <c r="T249" t="b">
        <f>IF(ROW()-ROW($T$1) &lt;= FILLME!$G$10, TRUE, FALSE)</f>
        <v>0</v>
      </c>
      <c r="U249" t="b">
        <f>IF(ROW()-ROW($U$1) &lt;= FILLME!$G$11, TRUE, FALSE)</f>
        <v>0</v>
      </c>
    </row>
    <row r="250" spans="1:21" x14ac:dyDescent="0.25">
      <c r="A250" s="7" t="str">
        <f>FILLME!$B$7</f>
        <v>ISCO</v>
      </c>
      <c r="B250" t="str">
        <f>IF(FILLME!$B$3 = "", "", FILLME!$B$3)</f>
        <v/>
      </c>
      <c r="C250" s="67" t="str">
        <f>IF(FILLME!$B$7="ISCO",FILLME!$E$4,IF(FILLME!$B$7="Grab",FILLME!$E$5))</f>
        <v>IS</v>
      </c>
      <c r="D250" t="str">
        <f>IF(FILLME!$B$4 = "", "", FILLME!$B$4)</f>
        <v>SSEMG</v>
      </c>
      <c r="E250" s="7" t="str">
        <f>TEXT(FILLME!$B$6,"yyyymmdd")</f>
        <v>20260223</v>
      </c>
      <c r="F250" s="8"/>
      <c r="G250" s="7">
        <f>IF(FILLME!$B$7="ISCO",FILLME!$B$6+FILLME!$B$11+(FILLME!$B$13*(H250-FILLME!$B$14)),FILLME!$B$6)</f>
        <v>46076.916666666664</v>
      </c>
      <c r="H250" s="8"/>
      <c r="I250" s="8"/>
      <c r="J250" s="2"/>
      <c r="K250" s="9" t="str">
        <f t="shared" si="9"/>
        <v>_00</v>
      </c>
      <c r="L250" s="10" t="str">
        <f t="shared" si="10"/>
        <v>SSEMG__20260223_00</v>
      </c>
      <c r="M250" s="10" t="str">
        <f t="shared" si="11"/>
        <v>SSEMG__IS_20260223_0000</v>
      </c>
      <c r="N250" t="b">
        <f>IF(ROW()-ROW($N$1) &lt;= FILLME!$G$4, TRUE, FALSE)</f>
        <v>0</v>
      </c>
      <c r="O250" t="b">
        <f>IF(ROW()-ROW($O$1) &lt;= FILLME!$G$5, TRUE, FALSE)</f>
        <v>0</v>
      </c>
      <c r="P250" t="b">
        <f>IF(ROW()-ROW($P$1) &lt;= FILLME!$G$7, TRUE, FALSE)</f>
        <v>0</v>
      </c>
      <c r="Q250" t="b">
        <f>IF(ROW()-ROW($Q$1) &lt;= FILLME!$G$6, TRUE, FALSE)</f>
        <v>0</v>
      </c>
      <c r="R250" t="b">
        <f>IF(ROW()-ROW($R$1) &lt;= FILLME!$G$8, TRUE, FALSE)</f>
        <v>0</v>
      </c>
      <c r="S250" t="b">
        <f>IF(ROW()-ROW($S$1) &lt;= FILLME!$G$9, TRUE, FALSE)</f>
        <v>0</v>
      </c>
      <c r="T250" t="b">
        <f>IF(ROW()-ROW($T$1) &lt;= FILLME!$G$10, TRUE, FALSE)</f>
        <v>0</v>
      </c>
      <c r="U250" t="b">
        <f>IF(ROW()-ROW($U$1) &lt;= FILLME!$G$11, TRUE, FALSE)</f>
        <v>0</v>
      </c>
    </row>
    <row r="251" spans="1:21" x14ac:dyDescent="0.25">
      <c r="A251" s="7" t="str">
        <f>FILLME!$B$7</f>
        <v>ISCO</v>
      </c>
      <c r="B251" t="str">
        <f>IF(FILLME!$B$3 = "", "", FILLME!$B$3)</f>
        <v/>
      </c>
      <c r="C251" s="67" t="str">
        <f>IF(FILLME!$B$7="ISCO",FILLME!$E$4,IF(FILLME!$B$7="Grab",FILLME!$E$5))</f>
        <v>IS</v>
      </c>
      <c r="D251" t="str">
        <f>IF(FILLME!$B$4 = "", "", FILLME!$B$4)</f>
        <v>SSEMG</v>
      </c>
      <c r="E251" s="7" t="str">
        <f>TEXT(FILLME!$B$6,"yyyymmdd")</f>
        <v>20260223</v>
      </c>
      <c r="F251" s="8"/>
      <c r="G251" s="7">
        <f>IF(FILLME!$B$7="ISCO",FILLME!$B$6+FILLME!$B$11+(FILLME!$B$13*(H251-FILLME!$B$14)),FILLME!$B$6)</f>
        <v>46076.916666666664</v>
      </c>
      <c r="H251" s="8"/>
      <c r="I251" s="8"/>
      <c r="J251" s="2"/>
      <c r="K251" s="9" t="str">
        <f t="shared" si="9"/>
        <v>_00</v>
      </c>
      <c r="L251" s="10" t="str">
        <f t="shared" si="10"/>
        <v>SSEMG__20260223_00</v>
      </c>
      <c r="M251" s="10" t="str">
        <f t="shared" si="11"/>
        <v>SSEMG__IS_20260223_0000</v>
      </c>
      <c r="N251" t="b">
        <f>IF(ROW()-ROW($N$1) &lt;= FILLME!$G$4, TRUE, FALSE)</f>
        <v>0</v>
      </c>
      <c r="O251" t="b">
        <f>IF(ROW()-ROW($O$1) &lt;= FILLME!$G$5, TRUE, FALSE)</f>
        <v>0</v>
      </c>
      <c r="P251" t="b">
        <f>IF(ROW()-ROW($P$1) &lt;= FILLME!$G$7, TRUE, FALSE)</f>
        <v>0</v>
      </c>
      <c r="Q251" t="b">
        <f>IF(ROW()-ROW($Q$1) &lt;= FILLME!$G$6, TRUE, FALSE)</f>
        <v>0</v>
      </c>
      <c r="R251" t="b">
        <f>IF(ROW()-ROW($R$1) &lt;= FILLME!$G$8, TRUE, FALSE)</f>
        <v>0</v>
      </c>
      <c r="S251" t="b">
        <f>IF(ROW()-ROW($S$1) &lt;= FILLME!$G$9, TRUE, FALSE)</f>
        <v>0</v>
      </c>
      <c r="T251" t="b">
        <f>IF(ROW()-ROW($T$1) &lt;= FILLME!$G$10, TRUE, FALSE)</f>
        <v>0</v>
      </c>
      <c r="U251" t="b">
        <f>IF(ROW()-ROW($U$1) &lt;= FILLME!$G$11, TRUE, FALSE)</f>
        <v>0</v>
      </c>
    </row>
    <row r="252" spans="1:21" x14ac:dyDescent="0.25">
      <c r="A252" s="7" t="str">
        <f>FILLME!$B$7</f>
        <v>ISCO</v>
      </c>
      <c r="B252" t="str">
        <f>IF(FILLME!$B$3 = "", "", FILLME!$B$3)</f>
        <v/>
      </c>
      <c r="C252" s="67" t="str">
        <f>IF(FILLME!$B$7="ISCO",FILLME!$E$4,IF(FILLME!$B$7="Grab",FILLME!$E$5))</f>
        <v>IS</v>
      </c>
      <c r="D252" t="str">
        <f>IF(FILLME!$B$4 = "", "", FILLME!$B$4)</f>
        <v>SSEMG</v>
      </c>
      <c r="E252" s="7" t="str">
        <f>TEXT(FILLME!$B$6,"yyyymmdd")</f>
        <v>20260223</v>
      </c>
      <c r="F252" s="8"/>
      <c r="G252" s="7">
        <f>IF(FILLME!$B$7="ISCO",FILLME!$B$6+FILLME!$B$11+(FILLME!$B$13*(H252-FILLME!$B$14)),FILLME!$B$6)</f>
        <v>46076.916666666664</v>
      </c>
      <c r="H252" s="8"/>
      <c r="I252" s="8"/>
      <c r="J252" s="2"/>
      <c r="K252" s="9" t="str">
        <f t="shared" si="9"/>
        <v>_00</v>
      </c>
      <c r="L252" s="10" t="str">
        <f t="shared" si="10"/>
        <v>SSEMG__20260223_00</v>
      </c>
      <c r="M252" s="10" t="str">
        <f t="shared" si="11"/>
        <v>SSEMG__IS_20260223_0000</v>
      </c>
      <c r="N252" t="b">
        <f>IF(ROW()-ROW($N$1) &lt;= FILLME!$G$4, TRUE, FALSE)</f>
        <v>0</v>
      </c>
      <c r="O252" t="b">
        <f>IF(ROW()-ROW($O$1) &lt;= FILLME!$G$5, TRUE, FALSE)</f>
        <v>0</v>
      </c>
      <c r="P252" t="b">
        <f>IF(ROW()-ROW($P$1) &lt;= FILLME!$G$7, TRUE, FALSE)</f>
        <v>0</v>
      </c>
      <c r="Q252" t="b">
        <f>IF(ROW()-ROW($Q$1) &lt;= FILLME!$G$6, TRUE, FALSE)</f>
        <v>0</v>
      </c>
      <c r="R252" t="b">
        <f>IF(ROW()-ROW($R$1) &lt;= FILLME!$G$8, TRUE, FALSE)</f>
        <v>0</v>
      </c>
      <c r="S252" t="b">
        <f>IF(ROW()-ROW($S$1) &lt;= FILLME!$G$9, TRUE, FALSE)</f>
        <v>0</v>
      </c>
      <c r="T252" t="b">
        <f>IF(ROW()-ROW($T$1) &lt;= FILLME!$G$10, TRUE, FALSE)</f>
        <v>0</v>
      </c>
      <c r="U252" t="b">
        <f>IF(ROW()-ROW($U$1) &lt;= FILLME!$G$11, TRUE, FALSE)</f>
        <v>0</v>
      </c>
    </row>
    <row r="253" spans="1:21" x14ac:dyDescent="0.25">
      <c r="A253" s="7" t="str">
        <f>FILLME!$B$7</f>
        <v>ISCO</v>
      </c>
      <c r="B253" t="str">
        <f>IF(FILLME!$B$3 = "", "", FILLME!$B$3)</f>
        <v/>
      </c>
      <c r="C253" s="67" t="str">
        <f>IF(FILLME!$B$7="ISCO",FILLME!$E$4,IF(FILLME!$B$7="Grab",FILLME!$E$5))</f>
        <v>IS</v>
      </c>
      <c r="D253" t="str">
        <f>IF(FILLME!$B$4 = "", "", FILLME!$B$4)</f>
        <v>SSEMG</v>
      </c>
      <c r="E253" s="7" t="str">
        <f>TEXT(FILLME!$B$6,"yyyymmdd")</f>
        <v>20260223</v>
      </c>
      <c r="F253" s="8"/>
      <c r="G253" s="7">
        <f>IF(FILLME!$B$7="ISCO",FILLME!$B$6+FILLME!$B$11+(FILLME!$B$13*(H253-FILLME!$B$14)),FILLME!$B$6)</f>
        <v>46076.916666666664</v>
      </c>
      <c r="H253" s="8"/>
      <c r="I253" s="8"/>
      <c r="J253" s="2"/>
      <c r="K253" s="9" t="str">
        <f t="shared" si="9"/>
        <v>_00</v>
      </c>
      <c r="L253" s="10" t="str">
        <f t="shared" si="10"/>
        <v>SSEMG__20260223_00</v>
      </c>
      <c r="M253" s="10" t="str">
        <f t="shared" si="11"/>
        <v>SSEMG__IS_20260223_0000</v>
      </c>
      <c r="N253" t="b">
        <f>IF(ROW()-ROW($N$1) &lt;= FILLME!$G$4, TRUE, FALSE)</f>
        <v>0</v>
      </c>
      <c r="O253" t="b">
        <f>IF(ROW()-ROW($O$1) &lt;= FILLME!$G$5, TRUE, FALSE)</f>
        <v>0</v>
      </c>
      <c r="P253" t="b">
        <f>IF(ROW()-ROW($P$1) &lt;= FILLME!$G$7, TRUE, FALSE)</f>
        <v>0</v>
      </c>
      <c r="Q253" t="b">
        <f>IF(ROW()-ROW($Q$1) &lt;= FILLME!$G$6, TRUE, FALSE)</f>
        <v>0</v>
      </c>
      <c r="R253" t="b">
        <f>IF(ROW()-ROW($R$1) &lt;= FILLME!$G$8, TRUE, FALSE)</f>
        <v>0</v>
      </c>
      <c r="S253" t="b">
        <f>IF(ROW()-ROW($S$1) &lt;= FILLME!$G$9, TRUE, FALSE)</f>
        <v>0</v>
      </c>
      <c r="T253" t="b">
        <f>IF(ROW()-ROW($T$1) &lt;= FILLME!$G$10, TRUE, FALSE)</f>
        <v>0</v>
      </c>
      <c r="U253" t="b">
        <f>IF(ROW()-ROW($U$1) &lt;= FILLME!$G$11, TRUE, FALSE)</f>
        <v>0</v>
      </c>
    </row>
    <row r="254" spans="1:21" x14ac:dyDescent="0.25">
      <c r="A254" s="7" t="str">
        <f>FILLME!$B$7</f>
        <v>ISCO</v>
      </c>
      <c r="B254" t="str">
        <f>IF(FILLME!$B$3 = "", "", FILLME!$B$3)</f>
        <v/>
      </c>
      <c r="C254" s="67" t="str">
        <f>IF(FILLME!$B$7="ISCO",FILLME!$E$4,IF(FILLME!$B$7="Grab",FILLME!$E$5))</f>
        <v>IS</v>
      </c>
      <c r="D254" t="str">
        <f>IF(FILLME!$B$4 = "", "", FILLME!$B$4)</f>
        <v>SSEMG</v>
      </c>
      <c r="E254" s="7" t="str">
        <f>TEXT(FILLME!$B$6,"yyyymmdd")</f>
        <v>20260223</v>
      </c>
      <c r="F254" s="8"/>
      <c r="G254" s="7">
        <f>IF(FILLME!$B$7="ISCO",FILLME!$B$6+FILLME!$B$11+(FILLME!$B$13*(H254-FILLME!$B$14)),FILLME!$B$6)</f>
        <v>46076.916666666664</v>
      </c>
      <c r="H254" s="8"/>
      <c r="I254" s="8"/>
      <c r="J254" s="2"/>
      <c r="K254" s="9" t="str">
        <f t="shared" si="9"/>
        <v>_00</v>
      </c>
      <c r="L254" s="10" t="str">
        <f t="shared" si="10"/>
        <v>SSEMG__20260223_00</v>
      </c>
      <c r="M254" s="10" t="str">
        <f t="shared" si="11"/>
        <v>SSEMG__IS_20260223_0000</v>
      </c>
      <c r="N254" t="b">
        <f>IF(ROW()-ROW($N$1) &lt;= FILLME!$G$4, TRUE, FALSE)</f>
        <v>0</v>
      </c>
      <c r="O254" t="b">
        <f>IF(ROW()-ROW($O$1) &lt;= FILLME!$G$5, TRUE, FALSE)</f>
        <v>0</v>
      </c>
      <c r="P254" t="b">
        <f>IF(ROW()-ROW($P$1) &lt;= FILLME!$G$7, TRUE, FALSE)</f>
        <v>0</v>
      </c>
      <c r="Q254" t="b">
        <f>IF(ROW()-ROW($Q$1) &lt;= FILLME!$G$6, TRUE, FALSE)</f>
        <v>0</v>
      </c>
      <c r="R254" t="b">
        <f>IF(ROW()-ROW($R$1) &lt;= FILLME!$G$8, TRUE, FALSE)</f>
        <v>0</v>
      </c>
      <c r="S254" t="b">
        <f>IF(ROW()-ROW($S$1) &lt;= FILLME!$G$9, TRUE, FALSE)</f>
        <v>0</v>
      </c>
      <c r="T254" t="b">
        <f>IF(ROW()-ROW($T$1) &lt;= FILLME!$G$10, TRUE, FALSE)</f>
        <v>0</v>
      </c>
      <c r="U254" t="b">
        <f>IF(ROW()-ROW($U$1) &lt;= FILLME!$G$11, TRUE, FALSE)</f>
        <v>0</v>
      </c>
    </row>
    <row r="255" spans="1:21" x14ac:dyDescent="0.25">
      <c r="A255" s="7" t="str">
        <f>FILLME!$B$7</f>
        <v>ISCO</v>
      </c>
      <c r="B255" t="str">
        <f>IF(FILLME!$B$3 = "", "", FILLME!$B$3)</f>
        <v/>
      </c>
      <c r="C255" s="67" t="str">
        <f>IF(FILLME!$B$7="ISCO",FILLME!$E$4,IF(FILLME!$B$7="Grab",FILLME!$E$5))</f>
        <v>IS</v>
      </c>
      <c r="D255" t="str">
        <f>IF(FILLME!$B$4 = "", "", FILLME!$B$4)</f>
        <v>SSEMG</v>
      </c>
      <c r="E255" s="7" t="str">
        <f>TEXT(FILLME!$B$6,"yyyymmdd")</f>
        <v>20260223</v>
      </c>
      <c r="F255" s="8"/>
      <c r="G255" s="7">
        <f>IF(FILLME!$B$7="ISCO",FILLME!$B$6+FILLME!$B$11+(FILLME!$B$13*(H255-FILLME!$B$14)),FILLME!$B$6)</f>
        <v>46076.916666666664</v>
      </c>
      <c r="H255" s="8"/>
      <c r="I255" s="8"/>
      <c r="J255" s="2"/>
      <c r="K255" s="9" t="str">
        <f t="shared" si="9"/>
        <v>_00</v>
      </c>
      <c r="L255" s="10" t="str">
        <f t="shared" si="10"/>
        <v>SSEMG__20260223_00</v>
      </c>
      <c r="M255" s="10" t="str">
        <f t="shared" si="11"/>
        <v>SSEMG__IS_20260223_0000</v>
      </c>
      <c r="N255" t="b">
        <f>IF(ROW()-ROW($N$1) &lt;= FILLME!$G$4, TRUE, FALSE)</f>
        <v>0</v>
      </c>
      <c r="O255" t="b">
        <f>IF(ROW()-ROW($O$1) &lt;= FILLME!$G$5, TRUE, FALSE)</f>
        <v>0</v>
      </c>
      <c r="P255" t="b">
        <f>IF(ROW()-ROW($P$1) &lt;= FILLME!$G$7, TRUE, FALSE)</f>
        <v>0</v>
      </c>
      <c r="Q255" t="b">
        <f>IF(ROW()-ROW($Q$1) &lt;= FILLME!$G$6, TRUE, FALSE)</f>
        <v>0</v>
      </c>
      <c r="R255" t="b">
        <f>IF(ROW()-ROW($R$1) &lt;= FILLME!$G$8, TRUE, FALSE)</f>
        <v>0</v>
      </c>
      <c r="S255" t="b">
        <f>IF(ROW()-ROW($S$1) &lt;= FILLME!$G$9, TRUE, FALSE)</f>
        <v>0</v>
      </c>
      <c r="T255" t="b">
        <f>IF(ROW()-ROW($T$1) &lt;= FILLME!$G$10, TRUE, FALSE)</f>
        <v>0</v>
      </c>
      <c r="U255" t="b">
        <f>IF(ROW()-ROW($U$1) &lt;= FILLME!$G$11, TRUE, FALSE)</f>
        <v>0</v>
      </c>
    </row>
    <row r="256" spans="1:21" x14ac:dyDescent="0.25">
      <c r="A256" s="7" t="str">
        <f>FILLME!$B$7</f>
        <v>ISCO</v>
      </c>
      <c r="B256" t="str">
        <f>IF(FILLME!$B$3 = "", "", FILLME!$B$3)</f>
        <v/>
      </c>
      <c r="C256" s="67" t="str">
        <f>IF(FILLME!$B$7="ISCO",FILLME!$E$4,IF(FILLME!$B$7="Grab",FILLME!$E$5))</f>
        <v>IS</v>
      </c>
      <c r="D256" t="str">
        <f>IF(FILLME!$B$4 = "", "", FILLME!$B$4)</f>
        <v>SSEMG</v>
      </c>
      <c r="E256" s="7" t="str">
        <f>TEXT(FILLME!$B$6,"yyyymmdd")</f>
        <v>20260223</v>
      </c>
      <c r="F256" s="8"/>
      <c r="G256" s="7">
        <f>IF(FILLME!$B$7="ISCO",FILLME!$B$6+FILLME!$B$11+(FILLME!$B$13*(H256-FILLME!$B$14)),FILLME!$B$6)</f>
        <v>46076.916666666664</v>
      </c>
      <c r="H256" s="8"/>
      <c r="I256" s="8"/>
      <c r="J256" s="2"/>
      <c r="K256" s="9" t="str">
        <f t="shared" si="9"/>
        <v>_00</v>
      </c>
      <c r="L256" s="10" t="str">
        <f t="shared" si="10"/>
        <v>SSEMG__20260223_00</v>
      </c>
      <c r="M256" s="10" t="str">
        <f t="shared" si="11"/>
        <v>SSEMG__IS_20260223_0000</v>
      </c>
      <c r="N256" t="b">
        <f>IF(ROW()-ROW($N$1) &lt;= FILLME!$G$4, TRUE, FALSE)</f>
        <v>0</v>
      </c>
      <c r="O256" t="b">
        <f>IF(ROW()-ROW($O$1) &lt;= FILLME!$G$5, TRUE, FALSE)</f>
        <v>0</v>
      </c>
      <c r="P256" t="b">
        <f>IF(ROW()-ROW($P$1) &lt;= FILLME!$G$7, TRUE, FALSE)</f>
        <v>0</v>
      </c>
      <c r="Q256" t="b">
        <f>IF(ROW()-ROW($Q$1) &lt;= FILLME!$G$6, TRUE, FALSE)</f>
        <v>0</v>
      </c>
      <c r="R256" t="b">
        <f>IF(ROW()-ROW($R$1) &lt;= FILLME!$G$8, TRUE, FALSE)</f>
        <v>0</v>
      </c>
      <c r="S256" t="b">
        <f>IF(ROW()-ROW($S$1) &lt;= FILLME!$G$9, TRUE, FALSE)</f>
        <v>0</v>
      </c>
      <c r="T256" t="b">
        <f>IF(ROW()-ROW($T$1) &lt;= FILLME!$G$10, TRUE, FALSE)</f>
        <v>0</v>
      </c>
      <c r="U256" t="b">
        <f>IF(ROW()-ROW($U$1) &lt;= FILLME!$G$11, TRUE, FALSE)</f>
        <v>0</v>
      </c>
    </row>
    <row r="257" spans="1:21" x14ac:dyDescent="0.25">
      <c r="A257" s="7" t="str">
        <f>FILLME!$B$7</f>
        <v>ISCO</v>
      </c>
      <c r="B257" t="str">
        <f>IF(FILLME!$B$3 = "", "", FILLME!$B$3)</f>
        <v/>
      </c>
      <c r="C257" s="67" t="str">
        <f>IF(FILLME!$B$7="ISCO",FILLME!$E$4,IF(FILLME!$B$7="Grab",FILLME!$E$5))</f>
        <v>IS</v>
      </c>
      <c r="D257" t="str">
        <f>IF(FILLME!$B$4 = "", "", FILLME!$B$4)</f>
        <v>SSEMG</v>
      </c>
      <c r="E257" s="7" t="str">
        <f>TEXT(FILLME!$B$6,"yyyymmdd")</f>
        <v>20260223</v>
      </c>
      <c r="F257" s="8"/>
      <c r="G257" s="7">
        <f>IF(FILLME!$B$7="ISCO",FILLME!$B$6+FILLME!$B$11+(FILLME!$B$13*(H257-FILLME!$B$14)),FILLME!$B$6)</f>
        <v>46076.916666666664</v>
      </c>
      <c r="H257" s="8"/>
      <c r="I257" s="8"/>
      <c r="J257" s="2"/>
      <c r="K257" s="9" t="str">
        <f t="shared" si="9"/>
        <v>_00</v>
      </c>
      <c r="L257" s="10" t="str">
        <f t="shared" si="10"/>
        <v>SSEMG__20260223_00</v>
      </c>
      <c r="M257" s="10" t="str">
        <f t="shared" si="11"/>
        <v>SSEMG__IS_20260223_0000</v>
      </c>
      <c r="N257" t="b">
        <f>IF(ROW()-ROW($N$1) &lt;= FILLME!$G$4, TRUE, FALSE)</f>
        <v>0</v>
      </c>
      <c r="O257" t="b">
        <f>IF(ROW()-ROW($O$1) &lt;= FILLME!$G$5, TRUE, FALSE)</f>
        <v>0</v>
      </c>
      <c r="P257" t="b">
        <f>IF(ROW()-ROW($P$1) &lt;= FILLME!$G$7, TRUE, FALSE)</f>
        <v>0</v>
      </c>
      <c r="Q257" t="b">
        <f>IF(ROW()-ROW($Q$1) &lt;= FILLME!$G$6, TRUE, FALSE)</f>
        <v>0</v>
      </c>
      <c r="R257" t="b">
        <f>IF(ROW()-ROW($R$1) &lt;= FILLME!$G$8, TRUE, FALSE)</f>
        <v>0</v>
      </c>
      <c r="S257" t="b">
        <f>IF(ROW()-ROW($S$1) &lt;= FILLME!$G$9, TRUE, FALSE)</f>
        <v>0</v>
      </c>
      <c r="T257" t="b">
        <f>IF(ROW()-ROW($T$1) &lt;= FILLME!$G$10, TRUE, FALSE)</f>
        <v>0</v>
      </c>
      <c r="U257" t="b">
        <f>IF(ROW()-ROW($U$1) &lt;= FILLME!$G$11, TRUE, FALSE)</f>
        <v>0</v>
      </c>
    </row>
    <row r="258" spans="1:21" x14ac:dyDescent="0.25">
      <c r="A258" s="7" t="str">
        <f>FILLME!$B$7</f>
        <v>ISCO</v>
      </c>
      <c r="B258" t="str">
        <f>IF(FILLME!$B$3 = "", "", FILLME!$B$3)</f>
        <v/>
      </c>
      <c r="C258" s="67" t="str">
        <f>IF(FILLME!$B$7="ISCO",FILLME!$E$4,IF(FILLME!$B$7="Grab",FILLME!$E$5))</f>
        <v>IS</v>
      </c>
      <c r="D258" t="str">
        <f>IF(FILLME!$B$4 = "", "", FILLME!$B$4)</f>
        <v>SSEMG</v>
      </c>
      <c r="E258" s="7" t="str">
        <f>TEXT(FILLME!$B$6,"yyyymmdd")</f>
        <v>20260223</v>
      </c>
      <c r="F258" s="8"/>
      <c r="G258" s="7">
        <f>IF(FILLME!$B$7="ISCO",FILLME!$B$6+FILLME!$B$11+(FILLME!$B$13*(H258-FILLME!$B$14)),FILLME!$B$6)</f>
        <v>46076.916666666664</v>
      </c>
      <c r="H258" s="8"/>
      <c r="I258" s="8"/>
      <c r="J258" s="2"/>
      <c r="K258" s="9" t="str">
        <f t="shared" ref="K258:K321" si="12">CONCATENATE(J258,"_",TEXT(H258,"00"))</f>
        <v>_00</v>
      </c>
      <c r="L258" s="10" t="str">
        <f t="shared" ref="L258:L321" si="13">CONCATENATE(D258,"_", J258,"_",E258,"_",TEXT(H258,"00"))</f>
        <v>SSEMG__20260223_00</v>
      </c>
      <c r="M258" s="10" t="str">
        <f t="shared" ref="M258:M321" si="14">CONCATENATE(D258,"_", J258,"_",C258,"_",TEXT(G258, "yyyymmdd"),"_",TEXT(F258, "hhmm"))</f>
        <v>SSEMG__IS_20260223_0000</v>
      </c>
      <c r="N258" t="b">
        <f>IF(ROW()-ROW($N$1) &lt;= FILLME!$G$4, TRUE, FALSE)</f>
        <v>0</v>
      </c>
      <c r="O258" t="b">
        <f>IF(ROW()-ROW($O$1) &lt;= FILLME!$G$5, TRUE, FALSE)</f>
        <v>0</v>
      </c>
      <c r="P258" t="b">
        <f>IF(ROW()-ROW($P$1) &lt;= FILLME!$G$7, TRUE, FALSE)</f>
        <v>0</v>
      </c>
      <c r="Q258" t="b">
        <f>IF(ROW()-ROW($Q$1) &lt;= FILLME!$G$6, TRUE, FALSE)</f>
        <v>0</v>
      </c>
      <c r="R258" t="b">
        <f>IF(ROW()-ROW($R$1) &lt;= FILLME!$G$8, TRUE, FALSE)</f>
        <v>0</v>
      </c>
      <c r="S258" t="b">
        <f>IF(ROW()-ROW($S$1) &lt;= FILLME!$G$9, TRUE, FALSE)</f>
        <v>0</v>
      </c>
      <c r="T258" t="b">
        <f>IF(ROW()-ROW($T$1) &lt;= FILLME!$G$10, TRUE, FALSE)</f>
        <v>0</v>
      </c>
      <c r="U258" t="b">
        <f>IF(ROW()-ROW($U$1) &lt;= FILLME!$G$11, TRUE, FALSE)</f>
        <v>0</v>
      </c>
    </row>
    <row r="259" spans="1:21" x14ac:dyDescent="0.25">
      <c r="A259" s="7" t="str">
        <f>FILLME!$B$7</f>
        <v>ISCO</v>
      </c>
      <c r="B259" t="str">
        <f>IF(FILLME!$B$3 = "", "", FILLME!$B$3)</f>
        <v/>
      </c>
      <c r="C259" s="67" t="str">
        <f>IF(FILLME!$B$7="ISCO",FILLME!$E$4,IF(FILLME!$B$7="Grab",FILLME!$E$5))</f>
        <v>IS</v>
      </c>
      <c r="D259" t="str">
        <f>IF(FILLME!$B$4 = "", "", FILLME!$B$4)</f>
        <v>SSEMG</v>
      </c>
      <c r="E259" s="7" t="str">
        <f>TEXT(FILLME!$B$6,"yyyymmdd")</f>
        <v>20260223</v>
      </c>
      <c r="F259" s="8"/>
      <c r="G259" s="7">
        <f>IF(FILLME!$B$7="ISCO",FILLME!$B$6+FILLME!$B$11+(FILLME!$B$13*(H259-FILLME!$B$14)),FILLME!$B$6)</f>
        <v>46076.916666666664</v>
      </c>
      <c r="H259" s="8"/>
      <c r="I259" s="8"/>
      <c r="J259" s="2"/>
      <c r="K259" s="9" t="str">
        <f t="shared" si="12"/>
        <v>_00</v>
      </c>
      <c r="L259" s="10" t="str">
        <f t="shared" si="13"/>
        <v>SSEMG__20260223_00</v>
      </c>
      <c r="M259" s="10" t="str">
        <f t="shared" si="14"/>
        <v>SSEMG__IS_20260223_0000</v>
      </c>
      <c r="N259" t="b">
        <f>IF(ROW()-ROW($N$1) &lt;= FILLME!$G$4, TRUE, FALSE)</f>
        <v>0</v>
      </c>
      <c r="O259" t="b">
        <f>IF(ROW()-ROW($O$1) &lt;= FILLME!$G$5, TRUE, FALSE)</f>
        <v>0</v>
      </c>
      <c r="P259" t="b">
        <f>IF(ROW()-ROW($P$1) &lt;= FILLME!$G$7, TRUE, FALSE)</f>
        <v>0</v>
      </c>
      <c r="Q259" t="b">
        <f>IF(ROW()-ROW($Q$1) &lt;= FILLME!$G$6, TRUE, FALSE)</f>
        <v>0</v>
      </c>
      <c r="R259" t="b">
        <f>IF(ROW()-ROW($R$1) &lt;= FILLME!$G$8, TRUE, FALSE)</f>
        <v>0</v>
      </c>
      <c r="S259" t="b">
        <f>IF(ROW()-ROW($S$1) &lt;= FILLME!$G$9, TRUE, FALSE)</f>
        <v>0</v>
      </c>
      <c r="T259" t="b">
        <f>IF(ROW()-ROW($T$1) &lt;= FILLME!$G$10, TRUE, FALSE)</f>
        <v>0</v>
      </c>
      <c r="U259" t="b">
        <f>IF(ROW()-ROW($U$1) &lt;= FILLME!$G$11, TRUE, FALSE)</f>
        <v>0</v>
      </c>
    </row>
    <row r="260" spans="1:21" x14ac:dyDescent="0.25">
      <c r="A260" s="7" t="str">
        <f>FILLME!$B$7</f>
        <v>ISCO</v>
      </c>
      <c r="B260" t="str">
        <f>IF(FILLME!$B$3 = "", "", FILLME!$B$3)</f>
        <v/>
      </c>
      <c r="C260" s="67" t="str">
        <f>IF(FILLME!$B$7="ISCO",FILLME!$E$4,IF(FILLME!$B$7="Grab",FILLME!$E$5))</f>
        <v>IS</v>
      </c>
      <c r="D260" t="str">
        <f>IF(FILLME!$B$4 = "", "", FILLME!$B$4)</f>
        <v>SSEMG</v>
      </c>
      <c r="E260" s="7" t="str">
        <f>TEXT(FILLME!$B$6,"yyyymmdd")</f>
        <v>20260223</v>
      </c>
      <c r="F260" s="8"/>
      <c r="G260" s="7">
        <f>IF(FILLME!$B$7="ISCO",FILLME!$B$6+FILLME!$B$11+(FILLME!$B$13*(H260-FILLME!$B$14)),FILLME!$B$6)</f>
        <v>46076.916666666664</v>
      </c>
      <c r="H260" s="8"/>
      <c r="I260" s="8"/>
      <c r="J260" s="2"/>
      <c r="K260" s="9" t="str">
        <f t="shared" si="12"/>
        <v>_00</v>
      </c>
      <c r="L260" s="10" t="str">
        <f t="shared" si="13"/>
        <v>SSEMG__20260223_00</v>
      </c>
      <c r="M260" s="10" t="str">
        <f t="shared" si="14"/>
        <v>SSEMG__IS_20260223_0000</v>
      </c>
      <c r="N260" t="b">
        <f>IF(ROW()-ROW($N$1) &lt;= FILLME!$G$4, TRUE, FALSE)</f>
        <v>0</v>
      </c>
      <c r="O260" t="b">
        <f>IF(ROW()-ROW($O$1) &lt;= FILLME!$G$5, TRUE, FALSE)</f>
        <v>0</v>
      </c>
      <c r="P260" t="b">
        <f>IF(ROW()-ROW($P$1) &lt;= FILLME!$G$7, TRUE, FALSE)</f>
        <v>0</v>
      </c>
      <c r="Q260" t="b">
        <f>IF(ROW()-ROW($Q$1) &lt;= FILLME!$G$6, TRUE, FALSE)</f>
        <v>0</v>
      </c>
      <c r="R260" t="b">
        <f>IF(ROW()-ROW($R$1) &lt;= FILLME!$G$8, TRUE, FALSE)</f>
        <v>0</v>
      </c>
      <c r="S260" t="b">
        <f>IF(ROW()-ROW($S$1) &lt;= FILLME!$G$9, TRUE, FALSE)</f>
        <v>0</v>
      </c>
      <c r="T260" t="b">
        <f>IF(ROW()-ROW($T$1) &lt;= FILLME!$G$10, TRUE, FALSE)</f>
        <v>0</v>
      </c>
      <c r="U260" t="b">
        <f>IF(ROW()-ROW($U$1) &lt;= FILLME!$G$11, TRUE, FALSE)</f>
        <v>0</v>
      </c>
    </row>
    <row r="261" spans="1:21" x14ac:dyDescent="0.25">
      <c r="A261" s="7" t="str">
        <f>FILLME!$B$7</f>
        <v>ISCO</v>
      </c>
      <c r="B261" t="str">
        <f>IF(FILLME!$B$3 = "", "", FILLME!$B$3)</f>
        <v/>
      </c>
      <c r="C261" s="67" t="str">
        <f>IF(FILLME!$B$7="ISCO",FILLME!$E$4,IF(FILLME!$B$7="Grab",FILLME!$E$5))</f>
        <v>IS</v>
      </c>
      <c r="D261" t="str">
        <f>IF(FILLME!$B$4 = "", "", FILLME!$B$4)</f>
        <v>SSEMG</v>
      </c>
      <c r="E261" s="7" t="str">
        <f>TEXT(FILLME!$B$6,"yyyymmdd")</f>
        <v>20260223</v>
      </c>
      <c r="F261" s="8"/>
      <c r="G261" s="7">
        <f>IF(FILLME!$B$7="ISCO",FILLME!$B$6+FILLME!$B$11+(FILLME!$B$13*(H261-FILLME!$B$14)),FILLME!$B$6)</f>
        <v>46076.916666666664</v>
      </c>
      <c r="H261" s="8"/>
      <c r="I261" s="8"/>
      <c r="J261" s="2"/>
      <c r="K261" s="9" t="str">
        <f t="shared" si="12"/>
        <v>_00</v>
      </c>
      <c r="L261" s="10" t="str">
        <f t="shared" si="13"/>
        <v>SSEMG__20260223_00</v>
      </c>
      <c r="M261" s="10" t="str">
        <f t="shared" si="14"/>
        <v>SSEMG__IS_20260223_0000</v>
      </c>
      <c r="N261" t="b">
        <f>IF(ROW()-ROW($N$1) &lt;= FILLME!$G$4, TRUE, FALSE)</f>
        <v>0</v>
      </c>
      <c r="O261" t="b">
        <f>IF(ROW()-ROW($O$1) &lt;= FILLME!$G$5, TRUE, FALSE)</f>
        <v>0</v>
      </c>
      <c r="P261" t="b">
        <f>IF(ROW()-ROW($P$1) &lt;= FILLME!$G$7, TRUE, FALSE)</f>
        <v>0</v>
      </c>
      <c r="Q261" t="b">
        <f>IF(ROW()-ROW($Q$1) &lt;= FILLME!$G$6, TRUE, FALSE)</f>
        <v>0</v>
      </c>
      <c r="R261" t="b">
        <f>IF(ROW()-ROW($R$1) &lt;= FILLME!$G$8, TRUE, FALSE)</f>
        <v>0</v>
      </c>
      <c r="S261" t="b">
        <f>IF(ROW()-ROW($S$1) &lt;= FILLME!$G$9, TRUE, FALSE)</f>
        <v>0</v>
      </c>
      <c r="T261" t="b">
        <f>IF(ROW()-ROW($T$1) &lt;= FILLME!$G$10, TRUE, FALSE)</f>
        <v>0</v>
      </c>
      <c r="U261" t="b">
        <f>IF(ROW()-ROW($U$1) &lt;= FILLME!$G$11, TRUE, FALSE)</f>
        <v>0</v>
      </c>
    </row>
    <row r="262" spans="1:21" x14ac:dyDescent="0.25">
      <c r="A262" s="7" t="str">
        <f>FILLME!$B$7</f>
        <v>ISCO</v>
      </c>
      <c r="B262" t="str">
        <f>IF(FILLME!$B$3 = "", "", FILLME!$B$3)</f>
        <v/>
      </c>
      <c r="C262" s="67" t="str">
        <f>IF(FILLME!$B$7="ISCO",FILLME!$E$4,IF(FILLME!$B$7="Grab",FILLME!$E$5))</f>
        <v>IS</v>
      </c>
      <c r="D262" t="str">
        <f>IF(FILLME!$B$4 = "", "", FILLME!$B$4)</f>
        <v>SSEMG</v>
      </c>
      <c r="E262" s="7" t="str">
        <f>TEXT(FILLME!$B$6,"yyyymmdd")</f>
        <v>20260223</v>
      </c>
      <c r="F262" s="8"/>
      <c r="G262" s="7">
        <f>IF(FILLME!$B$7="ISCO",FILLME!$B$6+FILLME!$B$11+(FILLME!$B$13*(H262-FILLME!$B$14)),FILLME!$B$6)</f>
        <v>46076.916666666664</v>
      </c>
      <c r="H262" s="8"/>
      <c r="I262" s="8"/>
      <c r="J262" s="2"/>
      <c r="K262" s="9" t="str">
        <f t="shared" si="12"/>
        <v>_00</v>
      </c>
      <c r="L262" s="10" t="str">
        <f t="shared" si="13"/>
        <v>SSEMG__20260223_00</v>
      </c>
      <c r="M262" s="10" t="str">
        <f t="shared" si="14"/>
        <v>SSEMG__IS_20260223_0000</v>
      </c>
      <c r="N262" t="b">
        <f>IF(ROW()-ROW($N$1) &lt;= FILLME!$G$4, TRUE, FALSE)</f>
        <v>0</v>
      </c>
      <c r="O262" t="b">
        <f>IF(ROW()-ROW($O$1) &lt;= FILLME!$G$5, TRUE, FALSE)</f>
        <v>0</v>
      </c>
      <c r="P262" t="b">
        <f>IF(ROW()-ROW($P$1) &lt;= FILLME!$G$7, TRUE, FALSE)</f>
        <v>0</v>
      </c>
      <c r="Q262" t="b">
        <f>IF(ROW()-ROW($Q$1) &lt;= FILLME!$G$6, TRUE, FALSE)</f>
        <v>0</v>
      </c>
      <c r="R262" t="b">
        <f>IF(ROW()-ROW($R$1) &lt;= FILLME!$G$8, TRUE, FALSE)</f>
        <v>0</v>
      </c>
      <c r="S262" t="b">
        <f>IF(ROW()-ROW($S$1) &lt;= FILLME!$G$9, TRUE, FALSE)</f>
        <v>0</v>
      </c>
      <c r="T262" t="b">
        <f>IF(ROW()-ROW($T$1) &lt;= FILLME!$G$10, TRUE, FALSE)</f>
        <v>0</v>
      </c>
      <c r="U262" t="b">
        <f>IF(ROW()-ROW($U$1) &lt;= FILLME!$G$11, TRUE, FALSE)</f>
        <v>0</v>
      </c>
    </row>
    <row r="263" spans="1:21" x14ac:dyDescent="0.25">
      <c r="A263" s="7" t="str">
        <f>FILLME!$B$7</f>
        <v>ISCO</v>
      </c>
      <c r="B263" t="str">
        <f>IF(FILLME!$B$3 = "", "", FILLME!$B$3)</f>
        <v/>
      </c>
      <c r="C263" s="67" t="str">
        <f>IF(FILLME!$B$7="ISCO",FILLME!$E$4,IF(FILLME!$B$7="Grab",FILLME!$E$5))</f>
        <v>IS</v>
      </c>
      <c r="D263" t="str">
        <f>IF(FILLME!$B$4 = "", "", FILLME!$B$4)</f>
        <v>SSEMG</v>
      </c>
      <c r="E263" s="7" t="str">
        <f>TEXT(FILLME!$B$6,"yyyymmdd")</f>
        <v>20260223</v>
      </c>
      <c r="F263" s="8"/>
      <c r="G263" s="7">
        <f>IF(FILLME!$B$7="ISCO",FILLME!$B$6+FILLME!$B$11+(FILLME!$B$13*(H263-FILLME!$B$14)),FILLME!$B$6)</f>
        <v>46076.916666666664</v>
      </c>
      <c r="H263" s="8"/>
      <c r="I263" s="8"/>
      <c r="J263" s="2"/>
      <c r="K263" s="9" t="str">
        <f t="shared" si="12"/>
        <v>_00</v>
      </c>
      <c r="L263" s="10" t="str">
        <f t="shared" si="13"/>
        <v>SSEMG__20260223_00</v>
      </c>
      <c r="M263" s="10" t="str">
        <f t="shared" si="14"/>
        <v>SSEMG__IS_20260223_0000</v>
      </c>
      <c r="N263" t="b">
        <f>IF(ROW()-ROW($N$1) &lt;= FILLME!$G$4, TRUE, FALSE)</f>
        <v>0</v>
      </c>
      <c r="O263" t="b">
        <f>IF(ROW()-ROW($O$1) &lt;= FILLME!$G$5, TRUE, FALSE)</f>
        <v>0</v>
      </c>
      <c r="P263" t="b">
        <f>IF(ROW()-ROW($P$1) &lt;= FILLME!$G$7, TRUE, FALSE)</f>
        <v>0</v>
      </c>
      <c r="Q263" t="b">
        <f>IF(ROW()-ROW($Q$1) &lt;= FILLME!$G$6, TRUE, FALSE)</f>
        <v>0</v>
      </c>
      <c r="R263" t="b">
        <f>IF(ROW()-ROW($R$1) &lt;= FILLME!$G$8, TRUE, FALSE)</f>
        <v>0</v>
      </c>
      <c r="S263" t="b">
        <f>IF(ROW()-ROW($S$1) &lt;= FILLME!$G$9, TRUE, FALSE)</f>
        <v>0</v>
      </c>
      <c r="T263" t="b">
        <f>IF(ROW()-ROW($T$1) &lt;= FILLME!$G$10, TRUE, FALSE)</f>
        <v>0</v>
      </c>
      <c r="U263" t="b">
        <f>IF(ROW()-ROW($U$1) &lt;= FILLME!$G$11, TRUE, FALSE)</f>
        <v>0</v>
      </c>
    </row>
    <row r="264" spans="1:21" x14ac:dyDescent="0.25">
      <c r="A264" s="7" t="str">
        <f>FILLME!$B$7</f>
        <v>ISCO</v>
      </c>
      <c r="B264" t="str">
        <f>IF(FILLME!$B$3 = "", "", FILLME!$B$3)</f>
        <v/>
      </c>
      <c r="C264" s="67" t="str">
        <f>IF(FILLME!$B$7="ISCO",FILLME!$E$4,IF(FILLME!$B$7="Grab",FILLME!$E$5))</f>
        <v>IS</v>
      </c>
      <c r="D264" t="str">
        <f>IF(FILLME!$B$4 = "", "", FILLME!$B$4)</f>
        <v>SSEMG</v>
      </c>
      <c r="E264" s="7" t="str">
        <f>TEXT(FILLME!$B$6,"yyyymmdd")</f>
        <v>20260223</v>
      </c>
      <c r="F264" s="8"/>
      <c r="G264" s="7">
        <f>IF(FILLME!$B$7="ISCO",FILLME!$B$6+FILLME!$B$11+(FILLME!$B$13*(H264-FILLME!$B$14)),FILLME!$B$6)</f>
        <v>46076.916666666664</v>
      </c>
      <c r="H264" s="8"/>
      <c r="I264" s="8"/>
      <c r="J264" s="2"/>
      <c r="K264" s="9" t="str">
        <f t="shared" si="12"/>
        <v>_00</v>
      </c>
      <c r="L264" s="10" t="str">
        <f t="shared" si="13"/>
        <v>SSEMG__20260223_00</v>
      </c>
      <c r="M264" s="10" t="str">
        <f t="shared" si="14"/>
        <v>SSEMG__IS_20260223_0000</v>
      </c>
      <c r="N264" t="b">
        <f>IF(ROW()-ROW($N$1) &lt;= FILLME!$G$4, TRUE, FALSE)</f>
        <v>0</v>
      </c>
      <c r="O264" t="b">
        <f>IF(ROW()-ROW($O$1) &lt;= FILLME!$G$5, TRUE, FALSE)</f>
        <v>0</v>
      </c>
      <c r="P264" t="b">
        <f>IF(ROW()-ROW($P$1) &lt;= FILLME!$G$7, TRUE, FALSE)</f>
        <v>0</v>
      </c>
      <c r="Q264" t="b">
        <f>IF(ROW()-ROW($Q$1) &lt;= FILLME!$G$6, TRUE, FALSE)</f>
        <v>0</v>
      </c>
      <c r="R264" t="b">
        <f>IF(ROW()-ROW($R$1) &lt;= FILLME!$G$8, TRUE, FALSE)</f>
        <v>0</v>
      </c>
      <c r="S264" t="b">
        <f>IF(ROW()-ROW($S$1) &lt;= FILLME!$G$9, TRUE, FALSE)</f>
        <v>0</v>
      </c>
      <c r="T264" t="b">
        <f>IF(ROW()-ROW($T$1) &lt;= FILLME!$G$10, TRUE, FALSE)</f>
        <v>0</v>
      </c>
      <c r="U264" t="b">
        <f>IF(ROW()-ROW($U$1) &lt;= FILLME!$G$11, TRUE, FALSE)</f>
        <v>0</v>
      </c>
    </row>
    <row r="265" spans="1:21" x14ac:dyDescent="0.25">
      <c r="A265" s="7" t="str">
        <f>FILLME!$B$7</f>
        <v>ISCO</v>
      </c>
      <c r="B265" t="str">
        <f>IF(FILLME!$B$3 = "", "", FILLME!$B$3)</f>
        <v/>
      </c>
      <c r="C265" s="67" t="str">
        <f>IF(FILLME!$B$7="ISCO",FILLME!$E$4,IF(FILLME!$B$7="Grab",FILLME!$E$5))</f>
        <v>IS</v>
      </c>
      <c r="D265" t="str">
        <f>IF(FILLME!$B$4 = "", "", FILLME!$B$4)</f>
        <v>SSEMG</v>
      </c>
      <c r="E265" s="7" t="str">
        <f>TEXT(FILLME!$B$6,"yyyymmdd")</f>
        <v>20260223</v>
      </c>
      <c r="F265" s="8"/>
      <c r="G265" s="7">
        <f>IF(FILLME!$B$7="ISCO",FILLME!$B$6+FILLME!$B$11+(FILLME!$B$13*(H265-FILLME!$B$14)),FILLME!$B$6)</f>
        <v>46076.916666666664</v>
      </c>
      <c r="H265" s="8"/>
      <c r="I265" s="8"/>
      <c r="J265" s="2"/>
      <c r="K265" s="9" t="str">
        <f t="shared" si="12"/>
        <v>_00</v>
      </c>
      <c r="L265" s="10" t="str">
        <f t="shared" si="13"/>
        <v>SSEMG__20260223_00</v>
      </c>
      <c r="M265" s="10" t="str">
        <f t="shared" si="14"/>
        <v>SSEMG__IS_20260223_0000</v>
      </c>
      <c r="N265" t="b">
        <f>IF(ROW()-ROW($N$1) &lt;= FILLME!$G$4, TRUE, FALSE)</f>
        <v>0</v>
      </c>
      <c r="O265" t="b">
        <f>IF(ROW()-ROW($O$1) &lt;= FILLME!$G$5, TRUE, FALSE)</f>
        <v>0</v>
      </c>
      <c r="P265" t="b">
        <f>IF(ROW()-ROW($P$1) &lt;= FILLME!$G$7, TRUE, FALSE)</f>
        <v>0</v>
      </c>
      <c r="Q265" t="b">
        <f>IF(ROW()-ROW($Q$1) &lt;= FILLME!$G$6, TRUE, FALSE)</f>
        <v>0</v>
      </c>
      <c r="R265" t="b">
        <f>IF(ROW()-ROW($R$1) &lt;= FILLME!$G$8, TRUE, FALSE)</f>
        <v>0</v>
      </c>
      <c r="S265" t="b">
        <f>IF(ROW()-ROW($S$1) &lt;= FILLME!$G$9, TRUE, FALSE)</f>
        <v>0</v>
      </c>
      <c r="T265" t="b">
        <f>IF(ROW()-ROW($T$1) &lt;= FILLME!$G$10, TRUE, FALSE)</f>
        <v>0</v>
      </c>
      <c r="U265" t="b">
        <f>IF(ROW()-ROW($U$1) &lt;= FILLME!$G$11, TRUE, FALSE)</f>
        <v>0</v>
      </c>
    </row>
    <row r="266" spans="1:21" x14ac:dyDescent="0.25">
      <c r="A266" s="7" t="str">
        <f>FILLME!$B$7</f>
        <v>ISCO</v>
      </c>
      <c r="B266" t="str">
        <f>IF(FILLME!$B$3 = "", "", FILLME!$B$3)</f>
        <v/>
      </c>
      <c r="C266" s="67" t="str">
        <f>IF(FILLME!$B$7="ISCO",FILLME!$E$4,IF(FILLME!$B$7="Grab",FILLME!$E$5))</f>
        <v>IS</v>
      </c>
      <c r="D266" t="str">
        <f>IF(FILLME!$B$4 = "", "", FILLME!$B$4)</f>
        <v>SSEMG</v>
      </c>
      <c r="E266" s="7" t="str">
        <f>TEXT(FILLME!$B$6,"yyyymmdd")</f>
        <v>20260223</v>
      </c>
      <c r="F266" s="8"/>
      <c r="G266" s="7">
        <f>IF(FILLME!$B$7="ISCO",FILLME!$B$6+FILLME!$B$11+(FILLME!$B$13*(H266-FILLME!$B$14)),FILLME!$B$6)</f>
        <v>46076.916666666664</v>
      </c>
      <c r="H266" s="8"/>
      <c r="I266" s="8"/>
      <c r="J266" s="2"/>
      <c r="K266" s="9" t="str">
        <f t="shared" si="12"/>
        <v>_00</v>
      </c>
      <c r="L266" s="10" t="str">
        <f t="shared" si="13"/>
        <v>SSEMG__20260223_00</v>
      </c>
      <c r="M266" s="10" t="str">
        <f t="shared" si="14"/>
        <v>SSEMG__IS_20260223_0000</v>
      </c>
      <c r="N266" t="b">
        <f>IF(ROW()-ROW($N$1) &lt;= FILLME!$G$4, TRUE, FALSE)</f>
        <v>0</v>
      </c>
      <c r="O266" t="b">
        <f>IF(ROW()-ROW($O$1) &lt;= FILLME!$G$5, TRUE, FALSE)</f>
        <v>0</v>
      </c>
      <c r="P266" t="b">
        <f>IF(ROW()-ROW($P$1) &lt;= FILLME!$G$7, TRUE, FALSE)</f>
        <v>0</v>
      </c>
      <c r="Q266" t="b">
        <f>IF(ROW()-ROW($Q$1) &lt;= FILLME!$G$6, TRUE, FALSE)</f>
        <v>0</v>
      </c>
      <c r="R266" t="b">
        <f>IF(ROW()-ROW($R$1) &lt;= FILLME!$G$8, TRUE, FALSE)</f>
        <v>0</v>
      </c>
      <c r="S266" t="b">
        <f>IF(ROW()-ROW($S$1) &lt;= FILLME!$G$9, TRUE, FALSE)</f>
        <v>0</v>
      </c>
      <c r="T266" t="b">
        <f>IF(ROW()-ROW($T$1) &lt;= FILLME!$G$10, TRUE, FALSE)</f>
        <v>0</v>
      </c>
      <c r="U266" t="b">
        <f>IF(ROW()-ROW($U$1) &lt;= FILLME!$G$11, TRUE, FALSE)</f>
        <v>0</v>
      </c>
    </row>
    <row r="267" spans="1:21" x14ac:dyDescent="0.25">
      <c r="A267" s="7" t="str">
        <f>FILLME!$B$7</f>
        <v>ISCO</v>
      </c>
      <c r="B267" t="str">
        <f>IF(FILLME!$B$3 = "", "", FILLME!$B$3)</f>
        <v/>
      </c>
      <c r="C267" s="67" t="str">
        <f>IF(FILLME!$B$7="ISCO",FILLME!$E$4,IF(FILLME!$B$7="Grab",FILLME!$E$5))</f>
        <v>IS</v>
      </c>
      <c r="D267" t="str">
        <f>IF(FILLME!$B$4 = "", "", FILLME!$B$4)</f>
        <v>SSEMG</v>
      </c>
      <c r="E267" s="7" t="str">
        <f>TEXT(FILLME!$B$6,"yyyymmdd")</f>
        <v>20260223</v>
      </c>
      <c r="F267" s="8"/>
      <c r="G267" s="7">
        <f>IF(FILLME!$B$7="ISCO",FILLME!$B$6+FILLME!$B$11+(FILLME!$B$13*(H267-FILLME!$B$14)),FILLME!$B$6)</f>
        <v>46076.916666666664</v>
      </c>
      <c r="H267" s="8"/>
      <c r="I267" s="8"/>
      <c r="J267" s="2"/>
      <c r="K267" s="9" t="str">
        <f t="shared" si="12"/>
        <v>_00</v>
      </c>
      <c r="L267" s="10" t="str">
        <f t="shared" si="13"/>
        <v>SSEMG__20260223_00</v>
      </c>
      <c r="M267" s="10" t="str">
        <f t="shared" si="14"/>
        <v>SSEMG__IS_20260223_0000</v>
      </c>
      <c r="N267" t="b">
        <f>IF(ROW()-ROW($N$1) &lt;= FILLME!$G$4, TRUE, FALSE)</f>
        <v>0</v>
      </c>
      <c r="O267" t="b">
        <f>IF(ROW()-ROW($O$1) &lt;= FILLME!$G$5, TRUE, FALSE)</f>
        <v>0</v>
      </c>
      <c r="P267" t="b">
        <f>IF(ROW()-ROW($P$1) &lt;= FILLME!$G$7, TRUE, FALSE)</f>
        <v>0</v>
      </c>
      <c r="Q267" t="b">
        <f>IF(ROW()-ROW($Q$1) &lt;= FILLME!$G$6, TRUE, FALSE)</f>
        <v>0</v>
      </c>
      <c r="R267" t="b">
        <f>IF(ROW()-ROW($R$1) &lt;= FILLME!$G$8, TRUE, FALSE)</f>
        <v>0</v>
      </c>
      <c r="S267" t="b">
        <f>IF(ROW()-ROW($S$1) &lt;= FILLME!$G$9, TRUE, FALSE)</f>
        <v>0</v>
      </c>
      <c r="T267" t="b">
        <f>IF(ROW()-ROW($T$1) &lt;= FILLME!$G$10, TRUE, FALSE)</f>
        <v>0</v>
      </c>
      <c r="U267" t="b">
        <f>IF(ROW()-ROW($U$1) &lt;= FILLME!$G$11, TRUE, FALSE)</f>
        <v>0</v>
      </c>
    </row>
    <row r="268" spans="1:21" x14ac:dyDescent="0.25">
      <c r="A268" s="7" t="str">
        <f>FILLME!$B$7</f>
        <v>ISCO</v>
      </c>
      <c r="B268" t="str">
        <f>IF(FILLME!$B$3 = "", "", FILLME!$B$3)</f>
        <v/>
      </c>
      <c r="C268" s="67" t="str">
        <f>IF(FILLME!$B$7="ISCO",FILLME!$E$4,IF(FILLME!$B$7="Grab",FILLME!$E$5))</f>
        <v>IS</v>
      </c>
      <c r="D268" t="str">
        <f>IF(FILLME!$B$4 = "", "", FILLME!$B$4)</f>
        <v>SSEMG</v>
      </c>
      <c r="E268" s="7" t="str">
        <f>TEXT(FILLME!$B$6,"yyyymmdd")</f>
        <v>20260223</v>
      </c>
      <c r="F268" s="8"/>
      <c r="G268" s="7">
        <f>IF(FILLME!$B$7="ISCO",FILLME!$B$6+FILLME!$B$11+(FILLME!$B$13*(H268-FILLME!$B$14)),FILLME!$B$6)</f>
        <v>46076.916666666664</v>
      </c>
      <c r="H268" s="8"/>
      <c r="I268" s="8"/>
      <c r="J268" s="2"/>
      <c r="K268" s="9" t="str">
        <f t="shared" si="12"/>
        <v>_00</v>
      </c>
      <c r="L268" s="10" t="str">
        <f t="shared" si="13"/>
        <v>SSEMG__20260223_00</v>
      </c>
      <c r="M268" s="10" t="str">
        <f t="shared" si="14"/>
        <v>SSEMG__IS_20260223_0000</v>
      </c>
      <c r="N268" t="b">
        <f>IF(ROW()-ROW($N$1) &lt;= FILLME!$G$4, TRUE, FALSE)</f>
        <v>0</v>
      </c>
      <c r="O268" t="b">
        <f>IF(ROW()-ROW($O$1) &lt;= FILLME!$G$5, TRUE, FALSE)</f>
        <v>0</v>
      </c>
      <c r="P268" t="b">
        <f>IF(ROW()-ROW($P$1) &lt;= FILLME!$G$7, TRUE, FALSE)</f>
        <v>0</v>
      </c>
      <c r="Q268" t="b">
        <f>IF(ROW()-ROW($Q$1) &lt;= FILLME!$G$6, TRUE, FALSE)</f>
        <v>0</v>
      </c>
      <c r="R268" t="b">
        <f>IF(ROW()-ROW($R$1) &lt;= FILLME!$G$8, TRUE, FALSE)</f>
        <v>0</v>
      </c>
      <c r="S268" t="b">
        <f>IF(ROW()-ROW($S$1) &lt;= FILLME!$G$9, TRUE, FALSE)</f>
        <v>0</v>
      </c>
      <c r="T268" t="b">
        <f>IF(ROW()-ROW($T$1) &lt;= FILLME!$G$10, TRUE, FALSE)</f>
        <v>0</v>
      </c>
      <c r="U268" t="b">
        <f>IF(ROW()-ROW($U$1) &lt;= FILLME!$G$11, TRUE, FALSE)</f>
        <v>0</v>
      </c>
    </row>
    <row r="269" spans="1:21" x14ac:dyDescent="0.25">
      <c r="A269" s="7" t="str">
        <f>FILLME!$B$7</f>
        <v>ISCO</v>
      </c>
      <c r="B269" t="str">
        <f>IF(FILLME!$B$3 = "", "", FILLME!$B$3)</f>
        <v/>
      </c>
      <c r="C269" s="67" t="str">
        <f>IF(FILLME!$B$7="ISCO",FILLME!$E$4,IF(FILLME!$B$7="Grab",FILLME!$E$5))</f>
        <v>IS</v>
      </c>
      <c r="D269" t="str">
        <f>IF(FILLME!$B$4 = "", "", FILLME!$B$4)</f>
        <v>SSEMG</v>
      </c>
      <c r="E269" s="7" t="str">
        <f>TEXT(FILLME!$B$6,"yyyymmdd")</f>
        <v>20260223</v>
      </c>
      <c r="F269" s="8"/>
      <c r="G269" s="7">
        <f>IF(FILLME!$B$7="ISCO",FILLME!$B$6+FILLME!$B$11+(FILLME!$B$13*(H269-FILLME!$B$14)),FILLME!$B$6)</f>
        <v>46076.916666666664</v>
      </c>
      <c r="H269" s="8"/>
      <c r="I269" s="8"/>
      <c r="J269" s="2"/>
      <c r="K269" s="9" t="str">
        <f t="shared" si="12"/>
        <v>_00</v>
      </c>
      <c r="L269" s="10" t="str">
        <f t="shared" si="13"/>
        <v>SSEMG__20260223_00</v>
      </c>
      <c r="M269" s="10" t="str">
        <f t="shared" si="14"/>
        <v>SSEMG__IS_20260223_0000</v>
      </c>
      <c r="N269" t="b">
        <f>IF(ROW()-ROW($N$1) &lt;= FILLME!$G$4, TRUE, FALSE)</f>
        <v>0</v>
      </c>
      <c r="O269" t="b">
        <f>IF(ROW()-ROW($O$1) &lt;= FILLME!$G$5, TRUE, FALSE)</f>
        <v>0</v>
      </c>
      <c r="P269" t="b">
        <f>IF(ROW()-ROW($P$1) &lt;= FILLME!$G$7, TRUE, FALSE)</f>
        <v>0</v>
      </c>
      <c r="Q269" t="b">
        <f>IF(ROW()-ROW($Q$1) &lt;= FILLME!$G$6, TRUE, FALSE)</f>
        <v>0</v>
      </c>
      <c r="R269" t="b">
        <f>IF(ROW()-ROW($R$1) &lt;= FILLME!$G$8, TRUE, FALSE)</f>
        <v>0</v>
      </c>
      <c r="S269" t="b">
        <f>IF(ROW()-ROW($S$1) &lt;= FILLME!$G$9, TRUE, FALSE)</f>
        <v>0</v>
      </c>
      <c r="T269" t="b">
        <f>IF(ROW()-ROW($T$1) &lt;= FILLME!$G$10, TRUE, FALSE)</f>
        <v>0</v>
      </c>
      <c r="U269" t="b">
        <f>IF(ROW()-ROW($U$1) &lt;= FILLME!$G$11, TRUE, FALSE)</f>
        <v>0</v>
      </c>
    </row>
    <row r="270" spans="1:21" x14ac:dyDescent="0.25">
      <c r="A270" s="7" t="str">
        <f>FILLME!$B$7</f>
        <v>ISCO</v>
      </c>
      <c r="B270" t="str">
        <f>IF(FILLME!$B$3 = "", "", FILLME!$B$3)</f>
        <v/>
      </c>
      <c r="C270" s="67" t="str">
        <f>IF(FILLME!$B$7="ISCO",FILLME!$E$4,IF(FILLME!$B$7="Grab",FILLME!$E$5))</f>
        <v>IS</v>
      </c>
      <c r="D270" t="str">
        <f>IF(FILLME!$B$4 = "", "", FILLME!$B$4)</f>
        <v>SSEMG</v>
      </c>
      <c r="E270" s="7" t="str">
        <f>TEXT(FILLME!$B$6,"yyyymmdd")</f>
        <v>20260223</v>
      </c>
      <c r="F270" s="8"/>
      <c r="G270" s="7">
        <f>IF(FILLME!$B$7="ISCO",FILLME!$B$6+FILLME!$B$11+(FILLME!$B$13*(H270-FILLME!$B$14)),FILLME!$B$6)</f>
        <v>46076.916666666664</v>
      </c>
      <c r="H270" s="8"/>
      <c r="I270" s="8"/>
      <c r="J270" s="2"/>
      <c r="K270" s="9" t="str">
        <f t="shared" si="12"/>
        <v>_00</v>
      </c>
      <c r="L270" s="10" t="str">
        <f t="shared" si="13"/>
        <v>SSEMG__20260223_00</v>
      </c>
      <c r="M270" s="10" t="str">
        <f t="shared" si="14"/>
        <v>SSEMG__IS_20260223_0000</v>
      </c>
      <c r="N270" t="b">
        <f>IF(ROW()-ROW($N$1) &lt;= FILLME!$G$4, TRUE, FALSE)</f>
        <v>0</v>
      </c>
      <c r="O270" t="b">
        <f>IF(ROW()-ROW($O$1) &lt;= FILLME!$G$5, TRUE, FALSE)</f>
        <v>0</v>
      </c>
      <c r="P270" t="b">
        <f>IF(ROW()-ROW($P$1) &lt;= FILLME!$G$7, TRUE, FALSE)</f>
        <v>0</v>
      </c>
      <c r="Q270" t="b">
        <f>IF(ROW()-ROW($Q$1) &lt;= FILLME!$G$6, TRUE, FALSE)</f>
        <v>0</v>
      </c>
      <c r="R270" t="b">
        <f>IF(ROW()-ROW($R$1) &lt;= FILLME!$G$8, TRUE, FALSE)</f>
        <v>0</v>
      </c>
      <c r="S270" t="b">
        <f>IF(ROW()-ROW($S$1) &lt;= FILLME!$G$9, TRUE, FALSE)</f>
        <v>0</v>
      </c>
      <c r="T270" t="b">
        <f>IF(ROW()-ROW($T$1) &lt;= FILLME!$G$10, TRUE, FALSE)</f>
        <v>0</v>
      </c>
      <c r="U270" t="b">
        <f>IF(ROW()-ROW($U$1) &lt;= FILLME!$G$11, TRUE, FALSE)</f>
        <v>0</v>
      </c>
    </row>
    <row r="271" spans="1:21" x14ac:dyDescent="0.25">
      <c r="A271" s="7" t="str">
        <f>FILLME!$B$7</f>
        <v>ISCO</v>
      </c>
      <c r="B271" t="str">
        <f>IF(FILLME!$B$3 = "", "", FILLME!$B$3)</f>
        <v/>
      </c>
      <c r="C271" s="67" t="str">
        <f>IF(FILLME!$B$7="ISCO",FILLME!$E$4,IF(FILLME!$B$7="Grab",FILLME!$E$5))</f>
        <v>IS</v>
      </c>
      <c r="D271" t="str">
        <f>IF(FILLME!$B$4 = "", "", FILLME!$B$4)</f>
        <v>SSEMG</v>
      </c>
      <c r="E271" s="7" t="str">
        <f>TEXT(FILLME!$B$6,"yyyymmdd")</f>
        <v>20260223</v>
      </c>
      <c r="F271" s="8"/>
      <c r="G271" s="7">
        <f>IF(FILLME!$B$7="ISCO",FILLME!$B$6+FILLME!$B$11+(FILLME!$B$13*(H271-FILLME!$B$14)),FILLME!$B$6)</f>
        <v>46076.916666666664</v>
      </c>
      <c r="H271" s="8"/>
      <c r="I271" s="8"/>
      <c r="J271" s="2"/>
      <c r="K271" s="9" t="str">
        <f t="shared" si="12"/>
        <v>_00</v>
      </c>
      <c r="L271" s="10" t="str">
        <f t="shared" si="13"/>
        <v>SSEMG__20260223_00</v>
      </c>
      <c r="M271" s="10" t="str">
        <f t="shared" si="14"/>
        <v>SSEMG__IS_20260223_0000</v>
      </c>
      <c r="N271" t="b">
        <f>IF(ROW()-ROW($N$1) &lt;= FILLME!$G$4, TRUE, FALSE)</f>
        <v>0</v>
      </c>
      <c r="O271" t="b">
        <f>IF(ROW()-ROW($O$1) &lt;= FILLME!$G$5, TRUE, FALSE)</f>
        <v>0</v>
      </c>
      <c r="P271" t="b">
        <f>IF(ROW()-ROW($P$1) &lt;= FILLME!$G$7, TRUE, FALSE)</f>
        <v>0</v>
      </c>
      <c r="Q271" t="b">
        <f>IF(ROW()-ROW($Q$1) &lt;= FILLME!$G$6, TRUE, FALSE)</f>
        <v>0</v>
      </c>
      <c r="R271" t="b">
        <f>IF(ROW()-ROW($R$1) &lt;= FILLME!$G$8, TRUE, FALSE)</f>
        <v>0</v>
      </c>
      <c r="S271" t="b">
        <f>IF(ROW()-ROW($S$1) &lt;= FILLME!$G$9, TRUE, FALSE)</f>
        <v>0</v>
      </c>
      <c r="T271" t="b">
        <f>IF(ROW()-ROW($T$1) &lt;= FILLME!$G$10, TRUE, FALSE)</f>
        <v>0</v>
      </c>
      <c r="U271" t="b">
        <f>IF(ROW()-ROW($U$1) &lt;= FILLME!$G$11, TRUE, FALSE)</f>
        <v>0</v>
      </c>
    </row>
    <row r="272" spans="1:21" x14ac:dyDescent="0.25">
      <c r="A272" s="7" t="str">
        <f>FILLME!$B$7</f>
        <v>ISCO</v>
      </c>
      <c r="B272" t="str">
        <f>IF(FILLME!$B$3 = "", "", FILLME!$B$3)</f>
        <v/>
      </c>
      <c r="C272" s="67" t="str">
        <f>IF(FILLME!$B$7="ISCO",FILLME!$E$4,IF(FILLME!$B$7="Grab",FILLME!$E$5))</f>
        <v>IS</v>
      </c>
      <c r="D272" t="str">
        <f>IF(FILLME!$B$4 = "", "", FILLME!$B$4)</f>
        <v>SSEMG</v>
      </c>
      <c r="E272" s="7" t="str">
        <f>TEXT(FILLME!$B$6,"yyyymmdd")</f>
        <v>20260223</v>
      </c>
      <c r="F272" s="8"/>
      <c r="G272" s="7">
        <f>IF(FILLME!$B$7="ISCO",FILLME!$B$6+FILLME!$B$11+(FILLME!$B$13*(H272-FILLME!$B$14)),FILLME!$B$6)</f>
        <v>46076.916666666664</v>
      </c>
      <c r="H272" s="8"/>
      <c r="I272" s="8"/>
      <c r="J272" s="2"/>
      <c r="K272" s="9" t="str">
        <f t="shared" si="12"/>
        <v>_00</v>
      </c>
      <c r="L272" s="10" t="str">
        <f t="shared" si="13"/>
        <v>SSEMG__20260223_00</v>
      </c>
      <c r="M272" s="10" t="str">
        <f t="shared" si="14"/>
        <v>SSEMG__IS_20260223_0000</v>
      </c>
      <c r="N272" t="b">
        <f>IF(ROW()-ROW($N$1) &lt;= FILLME!$G$4, TRUE, FALSE)</f>
        <v>0</v>
      </c>
      <c r="O272" t="b">
        <f>IF(ROW()-ROW($O$1) &lt;= FILLME!$G$5, TRUE, FALSE)</f>
        <v>0</v>
      </c>
      <c r="P272" t="b">
        <f>IF(ROW()-ROW($P$1) &lt;= FILLME!$G$7, TRUE, FALSE)</f>
        <v>0</v>
      </c>
      <c r="Q272" t="b">
        <f>IF(ROW()-ROW($Q$1) &lt;= FILLME!$G$6, TRUE, FALSE)</f>
        <v>0</v>
      </c>
      <c r="R272" t="b">
        <f>IF(ROW()-ROW($R$1) &lt;= FILLME!$G$8, TRUE, FALSE)</f>
        <v>0</v>
      </c>
      <c r="S272" t="b">
        <f>IF(ROW()-ROW($S$1) &lt;= FILLME!$G$9, TRUE, FALSE)</f>
        <v>0</v>
      </c>
      <c r="T272" t="b">
        <f>IF(ROW()-ROW($T$1) &lt;= FILLME!$G$10, TRUE, FALSE)</f>
        <v>0</v>
      </c>
      <c r="U272" t="b">
        <f>IF(ROW()-ROW($U$1) &lt;= FILLME!$G$11, TRUE, FALSE)</f>
        <v>0</v>
      </c>
    </row>
    <row r="273" spans="1:21" x14ac:dyDescent="0.25">
      <c r="A273" s="7" t="str">
        <f>FILLME!$B$7</f>
        <v>ISCO</v>
      </c>
      <c r="B273" t="str">
        <f>IF(FILLME!$B$3 = "", "", FILLME!$B$3)</f>
        <v/>
      </c>
      <c r="C273" s="67" t="str">
        <f>IF(FILLME!$B$7="ISCO",FILLME!$E$4,IF(FILLME!$B$7="Grab",FILLME!$E$5))</f>
        <v>IS</v>
      </c>
      <c r="D273" t="str">
        <f>IF(FILLME!$B$4 = "", "", FILLME!$B$4)</f>
        <v>SSEMG</v>
      </c>
      <c r="E273" s="7" t="str">
        <f>TEXT(FILLME!$B$6,"yyyymmdd")</f>
        <v>20260223</v>
      </c>
      <c r="F273" s="8"/>
      <c r="G273" s="7">
        <f>IF(FILLME!$B$7="ISCO",FILLME!$B$6+FILLME!$B$11+(FILLME!$B$13*(H273-FILLME!$B$14)),FILLME!$B$6)</f>
        <v>46076.916666666664</v>
      </c>
      <c r="H273" s="8"/>
      <c r="I273" s="8"/>
      <c r="J273" s="2"/>
      <c r="K273" s="9" t="str">
        <f t="shared" si="12"/>
        <v>_00</v>
      </c>
      <c r="L273" s="10" t="str">
        <f t="shared" si="13"/>
        <v>SSEMG__20260223_00</v>
      </c>
      <c r="M273" s="10" t="str">
        <f t="shared" si="14"/>
        <v>SSEMG__IS_20260223_0000</v>
      </c>
      <c r="N273" t="b">
        <f>IF(ROW()-ROW($N$1) &lt;= FILLME!$G$4, TRUE, FALSE)</f>
        <v>0</v>
      </c>
      <c r="O273" t="b">
        <f>IF(ROW()-ROW($O$1) &lt;= FILLME!$G$5, TRUE, FALSE)</f>
        <v>0</v>
      </c>
      <c r="P273" t="b">
        <f>IF(ROW()-ROW($P$1) &lt;= FILLME!$G$7, TRUE, FALSE)</f>
        <v>0</v>
      </c>
      <c r="Q273" t="b">
        <f>IF(ROW()-ROW($Q$1) &lt;= FILLME!$G$6, TRUE, FALSE)</f>
        <v>0</v>
      </c>
      <c r="R273" t="b">
        <f>IF(ROW()-ROW($R$1) &lt;= FILLME!$G$8, TRUE, FALSE)</f>
        <v>0</v>
      </c>
      <c r="S273" t="b">
        <f>IF(ROW()-ROW($S$1) &lt;= FILLME!$G$9, TRUE, FALSE)</f>
        <v>0</v>
      </c>
      <c r="T273" t="b">
        <f>IF(ROW()-ROW($T$1) &lt;= FILLME!$G$10, TRUE, FALSE)</f>
        <v>0</v>
      </c>
      <c r="U273" t="b">
        <f>IF(ROW()-ROW($U$1) &lt;= FILLME!$G$11, TRUE, FALSE)</f>
        <v>0</v>
      </c>
    </row>
    <row r="274" spans="1:21" x14ac:dyDescent="0.25">
      <c r="A274" s="7" t="str">
        <f>FILLME!$B$7</f>
        <v>ISCO</v>
      </c>
      <c r="B274" t="str">
        <f>IF(FILLME!$B$3 = "", "", FILLME!$B$3)</f>
        <v/>
      </c>
      <c r="C274" s="67" t="str">
        <f>IF(FILLME!$B$7="ISCO",FILLME!$E$4,IF(FILLME!$B$7="Grab",FILLME!$E$5))</f>
        <v>IS</v>
      </c>
      <c r="D274" t="str">
        <f>IF(FILLME!$B$4 = "", "", FILLME!$B$4)</f>
        <v>SSEMG</v>
      </c>
      <c r="E274" s="7" t="str">
        <f>TEXT(FILLME!$B$6,"yyyymmdd")</f>
        <v>20260223</v>
      </c>
      <c r="F274" s="8"/>
      <c r="G274" s="7">
        <f>IF(FILLME!$B$7="ISCO",FILLME!$B$6+FILLME!$B$11+(FILLME!$B$13*(H274-FILLME!$B$14)),FILLME!$B$6)</f>
        <v>46076.916666666664</v>
      </c>
      <c r="H274" s="8"/>
      <c r="I274" s="8"/>
      <c r="J274" s="2"/>
      <c r="K274" s="9" t="str">
        <f t="shared" si="12"/>
        <v>_00</v>
      </c>
      <c r="L274" s="10" t="str">
        <f t="shared" si="13"/>
        <v>SSEMG__20260223_00</v>
      </c>
      <c r="M274" s="10" t="str">
        <f t="shared" si="14"/>
        <v>SSEMG__IS_20260223_0000</v>
      </c>
      <c r="N274" t="b">
        <f>IF(ROW()-ROW($N$1) &lt;= FILLME!$G$4, TRUE, FALSE)</f>
        <v>0</v>
      </c>
      <c r="O274" t="b">
        <f>IF(ROW()-ROW($O$1) &lt;= FILLME!$G$5, TRUE, FALSE)</f>
        <v>0</v>
      </c>
      <c r="P274" t="b">
        <f>IF(ROW()-ROW($P$1) &lt;= FILLME!$G$7, TRUE, FALSE)</f>
        <v>0</v>
      </c>
      <c r="Q274" t="b">
        <f>IF(ROW()-ROW($Q$1) &lt;= FILLME!$G$6, TRUE, FALSE)</f>
        <v>0</v>
      </c>
      <c r="R274" t="b">
        <f>IF(ROW()-ROW($R$1) &lt;= FILLME!$G$8, TRUE, FALSE)</f>
        <v>0</v>
      </c>
      <c r="S274" t="b">
        <f>IF(ROW()-ROW($S$1) &lt;= FILLME!$G$9, TRUE, FALSE)</f>
        <v>0</v>
      </c>
      <c r="T274" t="b">
        <f>IF(ROW()-ROW($T$1) &lt;= FILLME!$G$10, TRUE, FALSE)</f>
        <v>0</v>
      </c>
      <c r="U274" t="b">
        <f>IF(ROW()-ROW($U$1) &lt;= FILLME!$G$11, TRUE, FALSE)</f>
        <v>0</v>
      </c>
    </row>
    <row r="275" spans="1:21" x14ac:dyDescent="0.25">
      <c r="A275" s="7" t="str">
        <f>FILLME!$B$7</f>
        <v>ISCO</v>
      </c>
      <c r="B275" t="str">
        <f>IF(FILLME!$B$3 = "", "", FILLME!$B$3)</f>
        <v/>
      </c>
      <c r="C275" s="67" t="str">
        <f>IF(FILLME!$B$7="ISCO",FILLME!$E$4,IF(FILLME!$B$7="Grab",FILLME!$E$5))</f>
        <v>IS</v>
      </c>
      <c r="D275" t="str">
        <f>IF(FILLME!$B$4 = "", "", FILLME!$B$4)</f>
        <v>SSEMG</v>
      </c>
      <c r="E275" s="7" t="str">
        <f>TEXT(FILLME!$B$6,"yyyymmdd")</f>
        <v>20260223</v>
      </c>
      <c r="F275" s="8"/>
      <c r="G275" s="7">
        <f>IF(FILLME!$B$7="ISCO",FILLME!$B$6+FILLME!$B$11+(FILLME!$B$13*(H275-FILLME!$B$14)),FILLME!$B$6)</f>
        <v>46076.916666666664</v>
      </c>
      <c r="H275" s="8"/>
      <c r="I275" s="8"/>
      <c r="J275" s="2"/>
      <c r="K275" s="9" t="str">
        <f t="shared" si="12"/>
        <v>_00</v>
      </c>
      <c r="L275" s="10" t="str">
        <f t="shared" si="13"/>
        <v>SSEMG__20260223_00</v>
      </c>
      <c r="M275" s="10" t="str">
        <f t="shared" si="14"/>
        <v>SSEMG__IS_20260223_0000</v>
      </c>
      <c r="N275" t="b">
        <f>IF(ROW()-ROW($N$1) &lt;= FILLME!$G$4, TRUE, FALSE)</f>
        <v>0</v>
      </c>
      <c r="O275" t="b">
        <f>IF(ROW()-ROW($O$1) &lt;= FILLME!$G$5, TRUE, FALSE)</f>
        <v>0</v>
      </c>
      <c r="P275" t="b">
        <f>IF(ROW()-ROW($P$1) &lt;= FILLME!$G$7, TRUE, FALSE)</f>
        <v>0</v>
      </c>
      <c r="Q275" t="b">
        <f>IF(ROW()-ROW($Q$1) &lt;= FILLME!$G$6, TRUE, FALSE)</f>
        <v>0</v>
      </c>
      <c r="R275" t="b">
        <f>IF(ROW()-ROW($R$1) &lt;= FILLME!$G$8, TRUE, FALSE)</f>
        <v>0</v>
      </c>
      <c r="S275" t="b">
        <f>IF(ROW()-ROW($S$1) &lt;= FILLME!$G$9, TRUE, FALSE)</f>
        <v>0</v>
      </c>
      <c r="T275" t="b">
        <f>IF(ROW()-ROW($T$1) &lt;= FILLME!$G$10, TRUE, FALSE)</f>
        <v>0</v>
      </c>
      <c r="U275" t="b">
        <f>IF(ROW()-ROW($U$1) &lt;= FILLME!$G$11, TRUE, FALSE)</f>
        <v>0</v>
      </c>
    </row>
    <row r="276" spans="1:21" x14ac:dyDescent="0.25">
      <c r="A276" s="7" t="str">
        <f>FILLME!$B$7</f>
        <v>ISCO</v>
      </c>
      <c r="B276" t="str">
        <f>IF(FILLME!$B$3 = "", "", FILLME!$B$3)</f>
        <v/>
      </c>
      <c r="C276" s="67" t="str">
        <f>IF(FILLME!$B$7="ISCO",FILLME!$E$4,IF(FILLME!$B$7="Grab",FILLME!$E$5))</f>
        <v>IS</v>
      </c>
      <c r="D276" t="str">
        <f>IF(FILLME!$B$4 = "", "", FILLME!$B$4)</f>
        <v>SSEMG</v>
      </c>
      <c r="E276" s="7" t="str">
        <f>TEXT(FILLME!$B$6,"yyyymmdd")</f>
        <v>20260223</v>
      </c>
      <c r="F276" s="8"/>
      <c r="G276" s="7">
        <f>IF(FILLME!$B$7="ISCO",FILLME!$B$6+FILLME!$B$11+(FILLME!$B$13*(H276-FILLME!$B$14)),FILLME!$B$6)</f>
        <v>46076.916666666664</v>
      </c>
      <c r="H276" s="8"/>
      <c r="I276" s="8"/>
      <c r="J276" s="2"/>
      <c r="K276" s="9" t="str">
        <f t="shared" si="12"/>
        <v>_00</v>
      </c>
      <c r="L276" s="10" t="str">
        <f t="shared" si="13"/>
        <v>SSEMG__20260223_00</v>
      </c>
      <c r="M276" s="10" t="str">
        <f t="shared" si="14"/>
        <v>SSEMG__IS_20260223_0000</v>
      </c>
      <c r="N276" t="b">
        <f>IF(ROW()-ROW($N$1) &lt;= FILLME!$G$4, TRUE, FALSE)</f>
        <v>0</v>
      </c>
      <c r="O276" t="b">
        <f>IF(ROW()-ROW($O$1) &lt;= FILLME!$G$5, TRUE, FALSE)</f>
        <v>0</v>
      </c>
      <c r="P276" t="b">
        <f>IF(ROW()-ROW($P$1) &lt;= FILLME!$G$7, TRUE, FALSE)</f>
        <v>0</v>
      </c>
      <c r="Q276" t="b">
        <f>IF(ROW()-ROW($Q$1) &lt;= FILLME!$G$6, TRUE, FALSE)</f>
        <v>0</v>
      </c>
      <c r="R276" t="b">
        <f>IF(ROW()-ROW($R$1) &lt;= FILLME!$G$8, TRUE, FALSE)</f>
        <v>0</v>
      </c>
      <c r="S276" t="b">
        <f>IF(ROW()-ROW($S$1) &lt;= FILLME!$G$9, TRUE, FALSE)</f>
        <v>0</v>
      </c>
      <c r="T276" t="b">
        <f>IF(ROW()-ROW($T$1) &lt;= FILLME!$G$10, TRUE, FALSE)</f>
        <v>0</v>
      </c>
      <c r="U276" t="b">
        <f>IF(ROW()-ROW($U$1) &lt;= FILLME!$G$11, TRUE, FALSE)</f>
        <v>0</v>
      </c>
    </row>
    <row r="277" spans="1:21" x14ac:dyDescent="0.25">
      <c r="A277" s="7" t="str">
        <f>FILLME!$B$7</f>
        <v>ISCO</v>
      </c>
      <c r="B277" t="str">
        <f>IF(FILLME!$B$3 = "", "", FILLME!$B$3)</f>
        <v/>
      </c>
      <c r="C277" s="67" t="str">
        <f>IF(FILLME!$B$7="ISCO",FILLME!$E$4,IF(FILLME!$B$7="Grab",FILLME!$E$5))</f>
        <v>IS</v>
      </c>
      <c r="D277" t="str">
        <f>IF(FILLME!$B$4 = "", "", FILLME!$B$4)</f>
        <v>SSEMG</v>
      </c>
      <c r="E277" s="7" t="str">
        <f>TEXT(FILLME!$B$6,"yyyymmdd")</f>
        <v>20260223</v>
      </c>
      <c r="F277" s="8"/>
      <c r="G277" s="7">
        <f>IF(FILLME!$B$7="ISCO",FILLME!$B$6+FILLME!$B$11+(FILLME!$B$13*(H277-FILLME!$B$14)),FILLME!$B$6)</f>
        <v>46076.916666666664</v>
      </c>
      <c r="H277" s="8"/>
      <c r="I277" s="8"/>
      <c r="J277" s="2"/>
      <c r="K277" s="9" t="str">
        <f t="shared" si="12"/>
        <v>_00</v>
      </c>
      <c r="L277" s="10" t="str">
        <f t="shared" si="13"/>
        <v>SSEMG__20260223_00</v>
      </c>
      <c r="M277" s="10" t="str">
        <f t="shared" si="14"/>
        <v>SSEMG__IS_20260223_0000</v>
      </c>
      <c r="N277" t="b">
        <f>IF(ROW()-ROW($N$1) &lt;= FILLME!$G$4, TRUE, FALSE)</f>
        <v>0</v>
      </c>
      <c r="O277" t="b">
        <f>IF(ROW()-ROW($O$1) &lt;= FILLME!$G$5, TRUE, FALSE)</f>
        <v>0</v>
      </c>
      <c r="P277" t="b">
        <f>IF(ROW()-ROW($P$1) &lt;= FILLME!$G$7, TRUE, FALSE)</f>
        <v>0</v>
      </c>
      <c r="Q277" t="b">
        <f>IF(ROW()-ROW($Q$1) &lt;= FILLME!$G$6, TRUE, FALSE)</f>
        <v>0</v>
      </c>
      <c r="R277" t="b">
        <f>IF(ROW()-ROW($R$1) &lt;= FILLME!$G$8, TRUE, FALSE)</f>
        <v>0</v>
      </c>
      <c r="S277" t="b">
        <f>IF(ROW()-ROW($S$1) &lt;= FILLME!$G$9, TRUE, FALSE)</f>
        <v>0</v>
      </c>
      <c r="T277" t="b">
        <f>IF(ROW()-ROW($T$1) &lt;= FILLME!$G$10, TRUE, FALSE)</f>
        <v>0</v>
      </c>
      <c r="U277" t="b">
        <f>IF(ROW()-ROW($U$1) &lt;= FILLME!$G$11, TRUE, FALSE)</f>
        <v>0</v>
      </c>
    </row>
    <row r="278" spans="1:21" x14ac:dyDescent="0.25">
      <c r="A278" s="7" t="str">
        <f>FILLME!$B$7</f>
        <v>ISCO</v>
      </c>
      <c r="B278" t="str">
        <f>IF(FILLME!$B$3 = "", "", FILLME!$B$3)</f>
        <v/>
      </c>
      <c r="C278" s="67" t="str">
        <f>IF(FILLME!$B$7="ISCO",FILLME!$E$4,IF(FILLME!$B$7="Grab",FILLME!$E$5))</f>
        <v>IS</v>
      </c>
      <c r="D278" t="str">
        <f>IF(FILLME!$B$4 = "", "", FILLME!$B$4)</f>
        <v>SSEMG</v>
      </c>
      <c r="E278" s="7" t="str">
        <f>TEXT(FILLME!$B$6,"yyyymmdd")</f>
        <v>20260223</v>
      </c>
      <c r="F278" s="8"/>
      <c r="G278" s="7">
        <f>IF(FILLME!$B$7="ISCO",FILLME!$B$6+FILLME!$B$11+(FILLME!$B$13*(H278-FILLME!$B$14)),FILLME!$B$6)</f>
        <v>46076.916666666664</v>
      </c>
      <c r="H278" s="8"/>
      <c r="I278" s="8"/>
      <c r="J278" s="2"/>
      <c r="K278" s="9" t="str">
        <f t="shared" si="12"/>
        <v>_00</v>
      </c>
      <c r="L278" s="10" t="str">
        <f t="shared" si="13"/>
        <v>SSEMG__20260223_00</v>
      </c>
      <c r="M278" s="10" t="str">
        <f t="shared" si="14"/>
        <v>SSEMG__IS_20260223_0000</v>
      </c>
      <c r="N278" t="b">
        <f>IF(ROW()-ROW($N$1) &lt;= FILLME!$G$4, TRUE, FALSE)</f>
        <v>0</v>
      </c>
      <c r="O278" t="b">
        <f>IF(ROW()-ROW($O$1) &lt;= FILLME!$G$5, TRUE, FALSE)</f>
        <v>0</v>
      </c>
      <c r="P278" t="b">
        <f>IF(ROW()-ROW($P$1) &lt;= FILLME!$G$7, TRUE, FALSE)</f>
        <v>0</v>
      </c>
      <c r="Q278" t="b">
        <f>IF(ROW()-ROW($Q$1) &lt;= FILLME!$G$6, TRUE, FALSE)</f>
        <v>0</v>
      </c>
      <c r="R278" t="b">
        <f>IF(ROW()-ROW($R$1) &lt;= FILLME!$G$8, TRUE, FALSE)</f>
        <v>0</v>
      </c>
      <c r="S278" t="b">
        <f>IF(ROW()-ROW($S$1) &lt;= FILLME!$G$9, TRUE, FALSE)</f>
        <v>0</v>
      </c>
      <c r="T278" t="b">
        <f>IF(ROW()-ROW($T$1) &lt;= FILLME!$G$10, TRUE, FALSE)</f>
        <v>0</v>
      </c>
      <c r="U278" t="b">
        <f>IF(ROW()-ROW($U$1) &lt;= FILLME!$G$11, TRUE, FALSE)</f>
        <v>0</v>
      </c>
    </row>
    <row r="279" spans="1:21" x14ac:dyDescent="0.25">
      <c r="A279" s="7" t="str">
        <f>FILLME!$B$7</f>
        <v>ISCO</v>
      </c>
      <c r="B279" t="str">
        <f>IF(FILLME!$B$3 = "", "", FILLME!$B$3)</f>
        <v/>
      </c>
      <c r="C279" s="67" t="str">
        <f>IF(FILLME!$B$7="ISCO",FILLME!$E$4,IF(FILLME!$B$7="Grab",FILLME!$E$5))</f>
        <v>IS</v>
      </c>
      <c r="D279" t="str">
        <f>IF(FILLME!$B$4 = "", "", FILLME!$B$4)</f>
        <v>SSEMG</v>
      </c>
      <c r="E279" s="7" t="str">
        <f>TEXT(FILLME!$B$6,"yyyymmdd")</f>
        <v>20260223</v>
      </c>
      <c r="F279" s="8"/>
      <c r="G279" s="7">
        <f>IF(FILLME!$B$7="ISCO",FILLME!$B$6+FILLME!$B$11+(FILLME!$B$13*(H279-FILLME!$B$14)),FILLME!$B$6)</f>
        <v>46076.916666666664</v>
      </c>
      <c r="H279" s="8"/>
      <c r="I279" s="8"/>
      <c r="J279" s="2"/>
      <c r="K279" s="9" t="str">
        <f t="shared" si="12"/>
        <v>_00</v>
      </c>
      <c r="L279" s="10" t="str">
        <f t="shared" si="13"/>
        <v>SSEMG__20260223_00</v>
      </c>
      <c r="M279" s="10" t="str">
        <f t="shared" si="14"/>
        <v>SSEMG__IS_20260223_0000</v>
      </c>
      <c r="N279" t="b">
        <f>IF(ROW()-ROW($N$1) &lt;= FILLME!$G$4, TRUE, FALSE)</f>
        <v>0</v>
      </c>
      <c r="O279" t="b">
        <f>IF(ROW()-ROW($O$1) &lt;= FILLME!$G$5, TRUE, FALSE)</f>
        <v>0</v>
      </c>
      <c r="P279" t="b">
        <f>IF(ROW()-ROW($P$1) &lt;= FILLME!$G$7, TRUE, FALSE)</f>
        <v>0</v>
      </c>
      <c r="Q279" t="b">
        <f>IF(ROW()-ROW($Q$1) &lt;= FILLME!$G$6, TRUE, FALSE)</f>
        <v>0</v>
      </c>
      <c r="R279" t="b">
        <f>IF(ROW()-ROW($R$1) &lt;= FILLME!$G$8, TRUE, FALSE)</f>
        <v>0</v>
      </c>
      <c r="S279" t="b">
        <f>IF(ROW()-ROW($S$1) &lt;= FILLME!$G$9, TRUE, FALSE)</f>
        <v>0</v>
      </c>
      <c r="T279" t="b">
        <f>IF(ROW()-ROW($T$1) &lt;= FILLME!$G$10, TRUE, FALSE)</f>
        <v>0</v>
      </c>
      <c r="U279" t="b">
        <f>IF(ROW()-ROW($U$1) &lt;= FILLME!$G$11, TRUE, FALSE)</f>
        <v>0</v>
      </c>
    </row>
    <row r="280" spans="1:21" x14ac:dyDescent="0.25">
      <c r="A280" s="7" t="str">
        <f>FILLME!$B$7</f>
        <v>ISCO</v>
      </c>
      <c r="B280" t="str">
        <f>IF(FILLME!$B$3 = "", "", FILLME!$B$3)</f>
        <v/>
      </c>
      <c r="C280" s="67" t="str">
        <f>IF(FILLME!$B$7="ISCO",FILLME!$E$4,IF(FILLME!$B$7="Grab",FILLME!$E$5))</f>
        <v>IS</v>
      </c>
      <c r="D280" t="str">
        <f>IF(FILLME!$B$4 = "", "", FILLME!$B$4)</f>
        <v>SSEMG</v>
      </c>
      <c r="E280" s="7" t="str">
        <f>TEXT(FILLME!$B$6,"yyyymmdd")</f>
        <v>20260223</v>
      </c>
      <c r="F280" s="8"/>
      <c r="G280" s="7">
        <f>IF(FILLME!$B$7="ISCO",FILLME!$B$6+FILLME!$B$11+(FILLME!$B$13*(H280-FILLME!$B$14)),FILLME!$B$6)</f>
        <v>46076.916666666664</v>
      </c>
      <c r="H280" s="8"/>
      <c r="I280" s="8"/>
      <c r="J280" s="2"/>
      <c r="K280" s="9" t="str">
        <f t="shared" si="12"/>
        <v>_00</v>
      </c>
      <c r="L280" s="10" t="str">
        <f t="shared" si="13"/>
        <v>SSEMG__20260223_00</v>
      </c>
      <c r="M280" s="10" t="str">
        <f t="shared" si="14"/>
        <v>SSEMG__IS_20260223_0000</v>
      </c>
      <c r="N280" t="b">
        <f>IF(ROW()-ROW($N$1) &lt;= FILLME!$G$4, TRUE, FALSE)</f>
        <v>0</v>
      </c>
      <c r="O280" t="b">
        <f>IF(ROW()-ROW($O$1) &lt;= FILLME!$G$5, TRUE, FALSE)</f>
        <v>0</v>
      </c>
      <c r="P280" t="b">
        <f>IF(ROW()-ROW($P$1) &lt;= FILLME!$G$7, TRUE, FALSE)</f>
        <v>0</v>
      </c>
      <c r="Q280" t="b">
        <f>IF(ROW()-ROW($Q$1) &lt;= FILLME!$G$6, TRUE, FALSE)</f>
        <v>0</v>
      </c>
      <c r="R280" t="b">
        <f>IF(ROW()-ROW($R$1) &lt;= FILLME!$G$8, TRUE, FALSE)</f>
        <v>0</v>
      </c>
      <c r="S280" t="b">
        <f>IF(ROW()-ROW($S$1) &lt;= FILLME!$G$9, TRUE, FALSE)</f>
        <v>0</v>
      </c>
      <c r="T280" t="b">
        <f>IF(ROW()-ROW($T$1) &lt;= FILLME!$G$10, TRUE, FALSE)</f>
        <v>0</v>
      </c>
      <c r="U280" t="b">
        <f>IF(ROW()-ROW($U$1) &lt;= FILLME!$G$11, TRUE, FALSE)</f>
        <v>0</v>
      </c>
    </row>
    <row r="281" spans="1:21" x14ac:dyDescent="0.25">
      <c r="A281" s="7" t="str">
        <f>FILLME!$B$7</f>
        <v>ISCO</v>
      </c>
      <c r="B281" t="str">
        <f>IF(FILLME!$B$3 = "", "", FILLME!$B$3)</f>
        <v/>
      </c>
      <c r="C281" s="67" t="str">
        <f>IF(FILLME!$B$7="ISCO",FILLME!$E$4,IF(FILLME!$B$7="Grab",FILLME!$E$5))</f>
        <v>IS</v>
      </c>
      <c r="D281" t="str">
        <f>IF(FILLME!$B$4 = "", "", FILLME!$B$4)</f>
        <v>SSEMG</v>
      </c>
      <c r="E281" s="7" t="str">
        <f>TEXT(FILLME!$B$6,"yyyymmdd")</f>
        <v>20260223</v>
      </c>
      <c r="F281" s="8"/>
      <c r="G281" s="7">
        <f>IF(FILLME!$B$7="ISCO",FILLME!$B$6+FILLME!$B$11+(FILLME!$B$13*(H281-FILLME!$B$14)),FILLME!$B$6)</f>
        <v>46076.916666666664</v>
      </c>
      <c r="H281" s="8"/>
      <c r="I281" s="8"/>
      <c r="J281" s="2"/>
      <c r="K281" s="9" t="str">
        <f t="shared" si="12"/>
        <v>_00</v>
      </c>
      <c r="L281" s="10" t="str">
        <f t="shared" si="13"/>
        <v>SSEMG__20260223_00</v>
      </c>
      <c r="M281" s="10" t="str">
        <f t="shared" si="14"/>
        <v>SSEMG__IS_20260223_0000</v>
      </c>
      <c r="N281" t="b">
        <f>IF(ROW()-ROW($N$1) &lt;= FILLME!$G$4, TRUE, FALSE)</f>
        <v>0</v>
      </c>
      <c r="O281" t="b">
        <f>IF(ROW()-ROW($O$1) &lt;= FILLME!$G$5, TRUE, FALSE)</f>
        <v>0</v>
      </c>
      <c r="P281" t="b">
        <f>IF(ROW()-ROW($P$1) &lt;= FILLME!$G$7, TRUE, FALSE)</f>
        <v>0</v>
      </c>
      <c r="Q281" t="b">
        <f>IF(ROW()-ROW($Q$1) &lt;= FILLME!$G$6, TRUE, FALSE)</f>
        <v>0</v>
      </c>
      <c r="R281" t="b">
        <f>IF(ROW()-ROW($R$1) &lt;= FILLME!$G$8, TRUE, FALSE)</f>
        <v>0</v>
      </c>
      <c r="S281" t="b">
        <f>IF(ROW()-ROW($S$1) &lt;= FILLME!$G$9, TRUE, FALSE)</f>
        <v>0</v>
      </c>
      <c r="T281" t="b">
        <f>IF(ROW()-ROW($T$1) &lt;= FILLME!$G$10, TRUE, FALSE)</f>
        <v>0</v>
      </c>
      <c r="U281" t="b">
        <f>IF(ROW()-ROW($U$1) &lt;= FILLME!$G$11, TRUE, FALSE)</f>
        <v>0</v>
      </c>
    </row>
    <row r="282" spans="1:21" x14ac:dyDescent="0.25">
      <c r="A282" s="7" t="str">
        <f>FILLME!$B$7</f>
        <v>ISCO</v>
      </c>
      <c r="B282" t="str">
        <f>IF(FILLME!$B$3 = "", "", FILLME!$B$3)</f>
        <v/>
      </c>
      <c r="C282" s="67" t="str">
        <f>IF(FILLME!$B$7="ISCO",FILLME!$E$4,IF(FILLME!$B$7="Grab",FILLME!$E$5))</f>
        <v>IS</v>
      </c>
      <c r="D282" t="str">
        <f>IF(FILLME!$B$4 = "", "", FILLME!$B$4)</f>
        <v>SSEMG</v>
      </c>
      <c r="E282" s="7" t="str">
        <f>TEXT(FILLME!$B$6,"yyyymmdd")</f>
        <v>20260223</v>
      </c>
      <c r="F282" s="8"/>
      <c r="G282" s="7">
        <f>IF(FILLME!$B$7="ISCO",FILLME!$B$6+FILLME!$B$11+(FILLME!$B$13*(H282-FILLME!$B$14)),FILLME!$B$6)</f>
        <v>46076.916666666664</v>
      </c>
      <c r="H282" s="8"/>
      <c r="I282" s="8"/>
      <c r="J282" s="2"/>
      <c r="K282" s="9" t="str">
        <f t="shared" si="12"/>
        <v>_00</v>
      </c>
      <c r="L282" s="10" t="str">
        <f t="shared" si="13"/>
        <v>SSEMG__20260223_00</v>
      </c>
      <c r="M282" s="10" t="str">
        <f t="shared" si="14"/>
        <v>SSEMG__IS_20260223_0000</v>
      </c>
      <c r="N282" t="b">
        <f>IF(ROW()-ROW($N$1) &lt;= FILLME!$G$4, TRUE, FALSE)</f>
        <v>0</v>
      </c>
      <c r="O282" t="b">
        <f>IF(ROW()-ROW($O$1) &lt;= FILLME!$G$5, TRUE, FALSE)</f>
        <v>0</v>
      </c>
      <c r="P282" t="b">
        <f>IF(ROW()-ROW($P$1) &lt;= FILLME!$G$7, TRUE, FALSE)</f>
        <v>0</v>
      </c>
      <c r="Q282" t="b">
        <f>IF(ROW()-ROW($Q$1) &lt;= FILLME!$G$6, TRUE, FALSE)</f>
        <v>0</v>
      </c>
      <c r="R282" t="b">
        <f>IF(ROW()-ROW($R$1) &lt;= FILLME!$G$8, TRUE, FALSE)</f>
        <v>0</v>
      </c>
      <c r="S282" t="b">
        <f>IF(ROW()-ROW($S$1) &lt;= FILLME!$G$9, TRUE, FALSE)</f>
        <v>0</v>
      </c>
      <c r="T282" t="b">
        <f>IF(ROW()-ROW($T$1) &lt;= FILLME!$G$10, TRUE, FALSE)</f>
        <v>0</v>
      </c>
      <c r="U282" t="b">
        <f>IF(ROW()-ROW($U$1) &lt;= FILLME!$G$11, TRUE, FALSE)</f>
        <v>0</v>
      </c>
    </row>
    <row r="283" spans="1:21" x14ac:dyDescent="0.25">
      <c r="A283" s="7" t="str">
        <f>FILLME!$B$7</f>
        <v>ISCO</v>
      </c>
      <c r="B283" t="str">
        <f>IF(FILLME!$B$3 = "", "", FILLME!$B$3)</f>
        <v/>
      </c>
      <c r="C283" s="67" t="str">
        <f>IF(FILLME!$B$7="ISCO",FILLME!$E$4,IF(FILLME!$B$7="Grab",FILLME!$E$5))</f>
        <v>IS</v>
      </c>
      <c r="D283" t="str">
        <f>IF(FILLME!$B$4 = "", "", FILLME!$B$4)</f>
        <v>SSEMG</v>
      </c>
      <c r="E283" s="7" t="str">
        <f>TEXT(FILLME!$B$6,"yyyymmdd")</f>
        <v>20260223</v>
      </c>
      <c r="F283" s="8"/>
      <c r="G283" s="7">
        <f>IF(FILLME!$B$7="ISCO",FILLME!$B$6+FILLME!$B$11+(FILLME!$B$13*(H283-FILLME!$B$14)),FILLME!$B$6)</f>
        <v>46076.916666666664</v>
      </c>
      <c r="H283" s="8"/>
      <c r="I283" s="8"/>
      <c r="J283" s="2"/>
      <c r="K283" s="9" t="str">
        <f t="shared" si="12"/>
        <v>_00</v>
      </c>
      <c r="L283" s="10" t="str">
        <f t="shared" si="13"/>
        <v>SSEMG__20260223_00</v>
      </c>
      <c r="M283" s="10" t="str">
        <f t="shared" si="14"/>
        <v>SSEMG__IS_20260223_0000</v>
      </c>
      <c r="N283" t="b">
        <f>IF(ROW()-ROW($N$1) &lt;= FILLME!$G$4, TRUE, FALSE)</f>
        <v>0</v>
      </c>
      <c r="O283" t="b">
        <f>IF(ROW()-ROW($O$1) &lt;= FILLME!$G$5, TRUE, FALSE)</f>
        <v>0</v>
      </c>
      <c r="P283" t="b">
        <f>IF(ROW()-ROW($P$1) &lt;= FILLME!$G$7, TRUE, FALSE)</f>
        <v>0</v>
      </c>
      <c r="Q283" t="b">
        <f>IF(ROW()-ROW($Q$1) &lt;= FILLME!$G$6, TRUE, FALSE)</f>
        <v>0</v>
      </c>
      <c r="R283" t="b">
        <f>IF(ROW()-ROW($R$1) &lt;= FILLME!$G$8, TRUE, FALSE)</f>
        <v>0</v>
      </c>
      <c r="S283" t="b">
        <f>IF(ROW()-ROW($S$1) &lt;= FILLME!$G$9, TRUE, FALSE)</f>
        <v>0</v>
      </c>
      <c r="T283" t="b">
        <f>IF(ROW()-ROW($T$1) &lt;= FILLME!$G$10, TRUE, FALSE)</f>
        <v>0</v>
      </c>
      <c r="U283" t="b">
        <f>IF(ROW()-ROW($U$1) &lt;= FILLME!$G$11, TRUE, FALSE)</f>
        <v>0</v>
      </c>
    </row>
    <row r="284" spans="1:21" x14ac:dyDescent="0.25">
      <c r="A284" s="7" t="str">
        <f>FILLME!$B$7</f>
        <v>ISCO</v>
      </c>
      <c r="B284" t="str">
        <f>IF(FILLME!$B$3 = "", "", FILLME!$B$3)</f>
        <v/>
      </c>
      <c r="C284" s="67" t="str">
        <f>IF(FILLME!$B$7="ISCO",FILLME!$E$4,IF(FILLME!$B$7="Grab",FILLME!$E$5))</f>
        <v>IS</v>
      </c>
      <c r="D284" t="str">
        <f>IF(FILLME!$B$4 = "", "", FILLME!$B$4)</f>
        <v>SSEMG</v>
      </c>
      <c r="E284" s="7" t="str">
        <f>TEXT(FILLME!$B$6,"yyyymmdd")</f>
        <v>20260223</v>
      </c>
      <c r="F284" s="8"/>
      <c r="G284" s="7">
        <f>IF(FILLME!$B$7="ISCO",FILLME!$B$6+FILLME!$B$11+(FILLME!$B$13*(H284-FILLME!$B$14)),FILLME!$B$6)</f>
        <v>46076.916666666664</v>
      </c>
      <c r="H284" s="8"/>
      <c r="I284" s="8"/>
      <c r="J284" s="2"/>
      <c r="K284" s="9" t="str">
        <f t="shared" si="12"/>
        <v>_00</v>
      </c>
      <c r="L284" s="10" t="str">
        <f t="shared" si="13"/>
        <v>SSEMG__20260223_00</v>
      </c>
      <c r="M284" s="10" t="str">
        <f t="shared" si="14"/>
        <v>SSEMG__IS_20260223_0000</v>
      </c>
      <c r="N284" t="b">
        <f>IF(ROW()-ROW($N$1) &lt;= FILLME!$G$4, TRUE, FALSE)</f>
        <v>0</v>
      </c>
      <c r="O284" t="b">
        <f>IF(ROW()-ROW($O$1) &lt;= FILLME!$G$5, TRUE, FALSE)</f>
        <v>0</v>
      </c>
      <c r="P284" t="b">
        <f>IF(ROW()-ROW($P$1) &lt;= FILLME!$G$7, TRUE, FALSE)</f>
        <v>0</v>
      </c>
      <c r="Q284" t="b">
        <f>IF(ROW()-ROW($Q$1) &lt;= FILLME!$G$6, TRUE, FALSE)</f>
        <v>0</v>
      </c>
      <c r="R284" t="b">
        <f>IF(ROW()-ROW($R$1) &lt;= FILLME!$G$8, TRUE, FALSE)</f>
        <v>0</v>
      </c>
      <c r="S284" t="b">
        <f>IF(ROW()-ROW($S$1) &lt;= FILLME!$G$9, TRUE, FALSE)</f>
        <v>0</v>
      </c>
      <c r="T284" t="b">
        <f>IF(ROW()-ROW($T$1) &lt;= FILLME!$G$10, TRUE, FALSE)</f>
        <v>0</v>
      </c>
      <c r="U284" t="b">
        <f>IF(ROW()-ROW($U$1) &lt;= FILLME!$G$11, TRUE, FALSE)</f>
        <v>0</v>
      </c>
    </row>
    <row r="285" spans="1:21" x14ac:dyDescent="0.25">
      <c r="A285" s="7" t="str">
        <f>FILLME!$B$7</f>
        <v>ISCO</v>
      </c>
      <c r="B285" t="str">
        <f>IF(FILLME!$B$3 = "", "", FILLME!$B$3)</f>
        <v/>
      </c>
      <c r="C285" s="67" t="str">
        <f>IF(FILLME!$B$7="ISCO",FILLME!$E$4,IF(FILLME!$B$7="Grab",FILLME!$E$5))</f>
        <v>IS</v>
      </c>
      <c r="D285" t="str">
        <f>IF(FILLME!$B$4 = "", "", FILLME!$B$4)</f>
        <v>SSEMG</v>
      </c>
      <c r="E285" s="7" t="str">
        <f>TEXT(FILLME!$B$6,"yyyymmdd")</f>
        <v>20260223</v>
      </c>
      <c r="F285" s="8"/>
      <c r="G285" s="7">
        <f>IF(FILLME!$B$7="ISCO",FILLME!$B$6+FILLME!$B$11+(FILLME!$B$13*(H285-FILLME!$B$14)),FILLME!$B$6)</f>
        <v>46076.916666666664</v>
      </c>
      <c r="H285" s="8"/>
      <c r="I285" s="8"/>
      <c r="J285" s="2"/>
      <c r="K285" s="9" t="str">
        <f t="shared" si="12"/>
        <v>_00</v>
      </c>
      <c r="L285" s="10" t="str">
        <f t="shared" si="13"/>
        <v>SSEMG__20260223_00</v>
      </c>
      <c r="M285" s="10" t="str">
        <f t="shared" si="14"/>
        <v>SSEMG__IS_20260223_0000</v>
      </c>
      <c r="N285" t="b">
        <f>IF(ROW()-ROW($N$1) &lt;= FILLME!$G$4, TRUE, FALSE)</f>
        <v>0</v>
      </c>
      <c r="O285" t="b">
        <f>IF(ROW()-ROW($O$1) &lt;= FILLME!$G$5, TRUE, FALSE)</f>
        <v>0</v>
      </c>
      <c r="P285" t="b">
        <f>IF(ROW()-ROW($P$1) &lt;= FILLME!$G$7, TRUE, FALSE)</f>
        <v>0</v>
      </c>
      <c r="Q285" t="b">
        <f>IF(ROW()-ROW($Q$1) &lt;= FILLME!$G$6, TRUE, FALSE)</f>
        <v>0</v>
      </c>
      <c r="R285" t="b">
        <f>IF(ROW()-ROW($R$1) &lt;= FILLME!$G$8, TRUE, FALSE)</f>
        <v>0</v>
      </c>
      <c r="S285" t="b">
        <f>IF(ROW()-ROW($S$1) &lt;= FILLME!$G$9, TRUE, FALSE)</f>
        <v>0</v>
      </c>
      <c r="T285" t="b">
        <f>IF(ROW()-ROW($T$1) &lt;= FILLME!$G$10, TRUE, FALSE)</f>
        <v>0</v>
      </c>
      <c r="U285" t="b">
        <f>IF(ROW()-ROW($U$1) &lt;= FILLME!$G$11, TRUE, FALSE)</f>
        <v>0</v>
      </c>
    </row>
    <row r="286" spans="1:21" x14ac:dyDescent="0.25">
      <c r="A286" s="7" t="str">
        <f>FILLME!$B$7</f>
        <v>ISCO</v>
      </c>
      <c r="B286" t="str">
        <f>IF(FILLME!$B$3 = "", "", FILLME!$B$3)</f>
        <v/>
      </c>
      <c r="C286" s="67" t="str">
        <f>IF(FILLME!$B$7="ISCO",FILLME!$E$4,IF(FILLME!$B$7="Grab",FILLME!$E$5))</f>
        <v>IS</v>
      </c>
      <c r="D286" t="str">
        <f>IF(FILLME!$B$4 = "", "", FILLME!$B$4)</f>
        <v>SSEMG</v>
      </c>
      <c r="E286" s="7" t="str">
        <f>TEXT(FILLME!$B$6,"yyyymmdd")</f>
        <v>20260223</v>
      </c>
      <c r="F286" s="8"/>
      <c r="G286" s="7">
        <f>IF(FILLME!$B$7="ISCO",FILLME!$B$6+FILLME!$B$11+(FILLME!$B$13*(H286-FILLME!$B$14)),FILLME!$B$6)</f>
        <v>46076.916666666664</v>
      </c>
      <c r="H286" s="8"/>
      <c r="I286" s="8"/>
      <c r="J286" s="2"/>
      <c r="K286" s="9" t="str">
        <f t="shared" si="12"/>
        <v>_00</v>
      </c>
      <c r="L286" s="10" t="str">
        <f t="shared" si="13"/>
        <v>SSEMG__20260223_00</v>
      </c>
      <c r="M286" s="10" t="str">
        <f t="shared" si="14"/>
        <v>SSEMG__IS_20260223_0000</v>
      </c>
      <c r="N286" t="b">
        <f>IF(ROW()-ROW($N$1) &lt;= FILLME!$G$4, TRUE, FALSE)</f>
        <v>0</v>
      </c>
      <c r="O286" t="b">
        <f>IF(ROW()-ROW($O$1) &lt;= FILLME!$G$5, TRUE, FALSE)</f>
        <v>0</v>
      </c>
      <c r="P286" t="b">
        <f>IF(ROW()-ROW($P$1) &lt;= FILLME!$G$7, TRUE, FALSE)</f>
        <v>0</v>
      </c>
      <c r="Q286" t="b">
        <f>IF(ROW()-ROW($Q$1) &lt;= FILLME!$G$6, TRUE, FALSE)</f>
        <v>0</v>
      </c>
      <c r="R286" t="b">
        <f>IF(ROW()-ROW($R$1) &lt;= FILLME!$G$8, TRUE, FALSE)</f>
        <v>0</v>
      </c>
      <c r="S286" t="b">
        <f>IF(ROW()-ROW($S$1) &lt;= FILLME!$G$9, TRUE, FALSE)</f>
        <v>0</v>
      </c>
      <c r="T286" t="b">
        <f>IF(ROW()-ROW($T$1) &lt;= FILLME!$G$10, TRUE, FALSE)</f>
        <v>0</v>
      </c>
      <c r="U286" t="b">
        <f>IF(ROW()-ROW($U$1) &lt;= FILLME!$G$11, TRUE, FALSE)</f>
        <v>0</v>
      </c>
    </row>
    <row r="287" spans="1:21" x14ac:dyDescent="0.25">
      <c r="A287" s="7" t="str">
        <f>FILLME!$B$7</f>
        <v>ISCO</v>
      </c>
      <c r="B287" t="str">
        <f>IF(FILLME!$B$3 = "", "", FILLME!$B$3)</f>
        <v/>
      </c>
      <c r="C287" s="67" t="str">
        <f>IF(FILLME!$B$7="ISCO",FILLME!$E$4,IF(FILLME!$B$7="Grab",FILLME!$E$5))</f>
        <v>IS</v>
      </c>
      <c r="D287" t="str">
        <f>IF(FILLME!$B$4 = "", "", FILLME!$B$4)</f>
        <v>SSEMG</v>
      </c>
      <c r="E287" s="7" t="str">
        <f>TEXT(FILLME!$B$6,"yyyymmdd")</f>
        <v>20260223</v>
      </c>
      <c r="F287" s="8"/>
      <c r="G287" s="7">
        <f>IF(FILLME!$B$7="ISCO",FILLME!$B$6+FILLME!$B$11+(FILLME!$B$13*(H287-FILLME!$B$14)),FILLME!$B$6)</f>
        <v>46076.916666666664</v>
      </c>
      <c r="H287" s="8"/>
      <c r="I287" s="8"/>
      <c r="J287" s="2"/>
      <c r="K287" s="9" t="str">
        <f t="shared" si="12"/>
        <v>_00</v>
      </c>
      <c r="L287" s="10" t="str">
        <f t="shared" si="13"/>
        <v>SSEMG__20260223_00</v>
      </c>
      <c r="M287" s="10" t="str">
        <f t="shared" si="14"/>
        <v>SSEMG__IS_20260223_0000</v>
      </c>
      <c r="N287" t="b">
        <f>IF(ROW()-ROW($N$1) &lt;= FILLME!$G$4, TRUE, FALSE)</f>
        <v>0</v>
      </c>
      <c r="O287" t="b">
        <f>IF(ROW()-ROW($O$1) &lt;= FILLME!$G$5, TRUE, FALSE)</f>
        <v>0</v>
      </c>
      <c r="P287" t="b">
        <f>IF(ROW()-ROW($P$1) &lt;= FILLME!$G$7, TRUE, FALSE)</f>
        <v>0</v>
      </c>
      <c r="Q287" t="b">
        <f>IF(ROW()-ROW($Q$1) &lt;= FILLME!$G$6, TRUE, FALSE)</f>
        <v>0</v>
      </c>
      <c r="R287" t="b">
        <f>IF(ROW()-ROW($R$1) &lt;= FILLME!$G$8, TRUE, FALSE)</f>
        <v>0</v>
      </c>
      <c r="S287" t="b">
        <f>IF(ROW()-ROW($S$1) &lt;= FILLME!$G$9, TRUE, FALSE)</f>
        <v>0</v>
      </c>
      <c r="T287" t="b">
        <f>IF(ROW()-ROW($T$1) &lt;= FILLME!$G$10, TRUE, FALSE)</f>
        <v>0</v>
      </c>
      <c r="U287" t="b">
        <f>IF(ROW()-ROW($U$1) &lt;= FILLME!$G$11, TRUE, FALSE)</f>
        <v>0</v>
      </c>
    </row>
    <row r="288" spans="1:21" x14ac:dyDescent="0.25">
      <c r="A288" s="7" t="str">
        <f>FILLME!$B$7</f>
        <v>ISCO</v>
      </c>
      <c r="B288" t="str">
        <f>IF(FILLME!$B$3 = "", "", FILLME!$B$3)</f>
        <v/>
      </c>
      <c r="C288" s="67" t="str">
        <f>IF(FILLME!$B$7="ISCO",FILLME!$E$4,IF(FILLME!$B$7="Grab",FILLME!$E$5))</f>
        <v>IS</v>
      </c>
      <c r="D288" t="str">
        <f>IF(FILLME!$B$4 = "", "", FILLME!$B$4)</f>
        <v>SSEMG</v>
      </c>
      <c r="E288" s="7" t="str">
        <f>TEXT(FILLME!$B$6,"yyyymmdd")</f>
        <v>20260223</v>
      </c>
      <c r="F288" s="8"/>
      <c r="G288" s="7">
        <f>IF(FILLME!$B$7="ISCO",FILLME!$B$6+FILLME!$B$11+(FILLME!$B$13*(H288-FILLME!$B$14)),FILLME!$B$6)</f>
        <v>46076.916666666664</v>
      </c>
      <c r="H288" s="8"/>
      <c r="I288" s="8"/>
      <c r="J288" s="2"/>
      <c r="K288" s="9" t="str">
        <f t="shared" si="12"/>
        <v>_00</v>
      </c>
      <c r="L288" s="10" t="str">
        <f t="shared" si="13"/>
        <v>SSEMG__20260223_00</v>
      </c>
      <c r="M288" s="10" t="str">
        <f t="shared" si="14"/>
        <v>SSEMG__IS_20260223_0000</v>
      </c>
      <c r="N288" t="b">
        <f>IF(ROW()-ROW($N$1) &lt;= FILLME!$G$4, TRUE, FALSE)</f>
        <v>0</v>
      </c>
      <c r="O288" t="b">
        <f>IF(ROW()-ROW($O$1) &lt;= FILLME!$G$5, TRUE, FALSE)</f>
        <v>0</v>
      </c>
      <c r="P288" t="b">
        <f>IF(ROW()-ROW($P$1) &lt;= FILLME!$G$7, TRUE, FALSE)</f>
        <v>0</v>
      </c>
      <c r="Q288" t="b">
        <f>IF(ROW()-ROW($Q$1) &lt;= FILLME!$G$6, TRUE, FALSE)</f>
        <v>0</v>
      </c>
      <c r="R288" t="b">
        <f>IF(ROW()-ROW($R$1) &lt;= FILLME!$G$8, TRUE, FALSE)</f>
        <v>0</v>
      </c>
      <c r="S288" t="b">
        <f>IF(ROW()-ROW($S$1) &lt;= FILLME!$G$9, TRUE, FALSE)</f>
        <v>0</v>
      </c>
      <c r="T288" t="b">
        <f>IF(ROW()-ROW($T$1) &lt;= FILLME!$G$10, TRUE, FALSE)</f>
        <v>0</v>
      </c>
      <c r="U288" t="b">
        <f>IF(ROW()-ROW($U$1) &lt;= FILLME!$G$11, TRUE, FALSE)</f>
        <v>0</v>
      </c>
    </row>
    <row r="289" spans="1:21" x14ac:dyDescent="0.25">
      <c r="A289" s="7" t="str">
        <f>FILLME!$B$7</f>
        <v>ISCO</v>
      </c>
      <c r="B289" t="str">
        <f>IF(FILLME!$B$3 = "", "", FILLME!$B$3)</f>
        <v/>
      </c>
      <c r="C289" s="67" t="str">
        <f>IF(FILLME!$B$7="ISCO",FILLME!$E$4,IF(FILLME!$B$7="Grab",FILLME!$E$5))</f>
        <v>IS</v>
      </c>
      <c r="D289" t="str">
        <f>IF(FILLME!$B$4 = "", "", FILLME!$B$4)</f>
        <v>SSEMG</v>
      </c>
      <c r="E289" s="7" t="str">
        <f>TEXT(FILLME!$B$6,"yyyymmdd")</f>
        <v>20260223</v>
      </c>
      <c r="F289" s="8"/>
      <c r="G289" s="7">
        <f>IF(FILLME!$B$7="ISCO",FILLME!$B$6+FILLME!$B$11+(FILLME!$B$13*(H289-FILLME!$B$14)),FILLME!$B$6)</f>
        <v>46076.916666666664</v>
      </c>
      <c r="H289" s="8"/>
      <c r="I289" s="8"/>
      <c r="J289" s="2"/>
      <c r="K289" s="9" t="str">
        <f t="shared" si="12"/>
        <v>_00</v>
      </c>
      <c r="L289" s="10" t="str">
        <f t="shared" si="13"/>
        <v>SSEMG__20260223_00</v>
      </c>
      <c r="M289" s="10" t="str">
        <f t="shared" si="14"/>
        <v>SSEMG__IS_20260223_0000</v>
      </c>
      <c r="N289" t="b">
        <f>IF(ROW()-ROW($N$1) &lt;= FILLME!$G$4, TRUE, FALSE)</f>
        <v>0</v>
      </c>
      <c r="O289" t="b">
        <f>IF(ROW()-ROW($O$1) &lt;= FILLME!$G$5, TRUE, FALSE)</f>
        <v>0</v>
      </c>
      <c r="P289" t="b">
        <f>IF(ROW()-ROW($P$1) &lt;= FILLME!$G$7, TRUE, FALSE)</f>
        <v>0</v>
      </c>
      <c r="Q289" t="b">
        <f>IF(ROW()-ROW($Q$1) &lt;= FILLME!$G$6, TRUE, FALSE)</f>
        <v>0</v>
      </c>
      <c r="R289" t="b">
        <f>IF(ROW()-ROW($R$1) &lt;= FILLME!$G$8, TRUE, FALSE)</f>
        <v>0</v>
      </c>
      <c r="S289" t="b">
        <f>IF(ROW()-ROW($S$1) &lt;= FILLME!$G$9, TRUE, FALSE)</f>
        <v>0</v>
      </c>
      <c r="T289" t="b">
        <f>IF(ROW()-ROW($T$1) &lt;= FILLME!$G$10, TRUE, FALSE)</f>
        <v>0</v>
      </c>
      <c r="U289" t="b">
        <f>IF(ROW()-ROW($U$1) &lt;= FILLME!$G$11, TRUE, FALSE)</f>
        <v>0</v>
      </c>
    </row>
    <row r="290" spans="1:21" x14ac:dyDescent="0.25">
      <c r="A290" s="7" t="str">
        <f>FILLME!$B$7</f>
        <v>ISCO</v>
      </c>
      <c r="B290" t="str">
        <f>IF(FILLME!$B$3 = "", "", FILLME!$B$3)</f>
        <v/>
      </c>
      <c r="C290" s="67" t="str">
        <f>IF(FILLME!$B$7="ISCO",FILLME!$E$4,IF(FILLME!$B$7="Grab",FILLME!$E$5))</f>
        <v>IS</v>
      </c>
      <c r="D290" t="str">
        <f>IF(FILLME!$B$4 = "", "", FILLME!$B$4)</f>
        <v>SSEMG</v>
      </c>
      <c r="E290" s="7" t="str">
        <f>TEXT(FILLME!$B$6,"yyyymmdd")</f>
        <v>20260223</v>
      </c>
      <c r="F290" s="8"/>
      <c r="G290" s="7">
        <f>IF(FILLME!$B$7="ISCO",FILLME!$B$6+FILLME!$B$11+(FILLME!$B$13*(H290-FILLME!$B$14)),FILLME!$B$6)</f>
        <v>46076.916666666664</v>
      </c>
      <c r="H290" s="8"/>
      <c r="I290" s="8"/>
      <c r="J290" s="2"/>
      <c r="K290" s="9" t="str">
        <f t="shared" si="12"/>
        <v>_00</v>
      </c>
      <c r="L290" s="10" t="str">
        <f t="shared" si="13"/>
        <v>SSEMG__20260223_00</v>
      </c>
      <c r="M290" s="10" t="str">
        <f t="shared" si="14"/>
        <v>SSEMG__IS_20260223_0000</v>
      </c>
      <c r="N290" t="b">
        <f>IF(ROW()-ROW($N$1) &lt;= FILLME!$G$4, TRUE, FALSE)</f>
        <v>0</v>
      </c>
      <c r="O290" t="b">
        <f>IF(ROW()-ROW($O$1) &lt;= FILLME!$G$5, TRUE, FALSE)</f>
        <v>0</v>
      </c>
      <c r="P290" t="b">
        <f>IF(ROW()-ROW($P$1) &lt;= FILLME!$G$7, TRUE, FALSE)</f>
        <v>0</v>
      </c>
      <c r="Q290" t="b">
        <f>IF(ROW()-ROW($Q$1) &lt;= FILLME!$G$6, TRUE, FALSE)</f>
        <v>0</v>
      </c>
      <c r="R290" t="b">
        <f>IF(ROW()-ROW($R$1) &lt;= FILLME!$G$8, TRUE, FALSE)</f>
        <v>0</v>
      </c>
      <c r="S290" t="b">
        <f>IF(ROW()-ROW($S$1) &lt;= FILLME!$G$9, TRUE, FALSE)</f>
        <v>0</v>
      </c>
      <c r="T290" t="b">
        <f>IF(ROW()-ROW($T$1) &lt;= FILLME!$G$10, TRUE, FALSE)</f>
        <v>0</v>
      </c>
      <c r="U290" t="b">
        <f>IF(ROW()-ROW($U$1) &lt;= FILLME!$G$11, TRUE, FALSE)</f>
        <v>0</v>
      </c>
    </row>
    <row r="291" spans="1:21" x14ac:dyDescent="0.25">
      <c r="A291" s="7" t="str">
        <f>FILLME!$B$7</f>
        <v>ISCO</v>
      </c>
      <c r="B291" t="str">
        <f>IF(FILLME!$B$3 = "", "", FILLME!$B$3)</f>
        <v/>
      </c>
      <c r="C291" s="67" t="str">
        <f>IF(FILLME!$B$7="ISCO",FILLME!$E$4,IF(FILLME!$B$7="Grab",FILLME!$E$5))</f>
        <v>IS</v>
      </c>
      <c r="D291" t="str">
        <f>IF(FILLME!$B$4 = "", "", FILLME!$B$4)</f>
        <v>SSEMG</v>
      </c>
      <c r="E291" s="7" t="str">
        <f>TEXT(FILLME!$B$6,"yyyymmdd")</f>
        <v>20260223</v>
      </c>
      <c r="F291" s="8"/>
      <c r="G291" s="7">
        <f>IF(FILLME!$B$7="ISCO",FILLME!$B$6+FILLME!$B$11+(FILLME!$B$13*(H291-FILLME!$B$14)),FILLME!$B$6)</f>
        <v>46076.916666666664</v>
      </c>
      <c r="H291" s="8"/>
      <c r="I291" s="8"/>
      <c r="J291" s="2"/>
      <c r="K291" s="9" t="str">
        <f t="shared" si="12"/>
        <v>_00</v>
      </c>
      <c r="L291" s="10" t="str">
        <f t="shared" si="13"/>
        <v>SSEMG__20260223_00</v>
      </c>
      <c r="M291" s="10" t="str">
        <f t="shared" si="14"/>
        <v>SSEMG__IS_20260223_0000</v>
      </c>
      <c r="N291" t="b">
        <f>IF(ROW()-ROW($N$1) &lt;= FILLME!$G$4, TRUE, FALSE)</f>
        <v>0</v>
      </c>
      <c r="O291" t="b">
        <f>IF(ROW()-ROW($O$1) &lt;= FILLME!$G$5, TRUE, FALSE)</f>
        <v>0</v>
      </c>
      <c r="P291" t="b">
        <f>IF(ROW()-ROW($P$1) &lt;= FILLME!$G$7, TRUE, FALSE)</f>
        <v>0</v>
      </c>
      <c r="Q291" t="b">
        <f>IF(ROW()-ROW($Q$1) &lt;= FILLME!$G$6, TRUE, FALSE)</f>
        <v>0</v>
      </c>
      <c r="R291" t="b">
        <f>IF(ROW()-ROW($R$1) &lt;= FILLME!$G$8, TRUE, FALSE)</f>
        <v>0</v>
      </c>
      <c r="S291" t="b">
        <f>IF(ROW()-ROW($S$1) &lt;= FILLME!$G$9, TRUE, FALSE)</f>
        <v>0</v>
      </c>
      <c r="T291" t="b">
        <f>IF(ROW()-ROW($T$1) &lt;= FILLME!$G$10, TRUE, FALSE)</f>
        <v>0</v>
      </c>
      <c r="U291" t="b">
        <f>IF(ROW()-ROW($U$1) &lt;= FILLME!$G$11, TRUE, FALSE)</f>
        <v>0</v>
      </c>
    </row>
    <row r="292" spans="1:21" x14ac:dyDescent="0.25">
      <c r="A292" s="7" t="str">
        <f>FILLME!$B$7</f>
        <v>ISCO</v>
      </c>
      <c r="B292" t="str">
        <f>IF(FILLME!$B$3 = "", "", FILLME!$B$3)</f>
        <v/>
      </c>
      <c r="C292" s="67" t="str">
        <f>IF(FILLME!$B$7="ISCO",FILLME!$E$4,IF(FILLME!$B$7="Grab",FILLME!$E$5))</f>
        <v>IS</v>
      </c>
      <c r="D292" t="str">
        <f>IF(FILLME!$B$4 = "", "", FILLME!$B$4)</f>
        <v>SSEMG</v>
      </c>
      <c r="E292" s="7" t="str">
        <f>TEXT(FILLME!$B$6,"yyyymmdd")</f>
        <v>20260223</v>
      </c>
      <c r="F292" s="8"/>
      <c r="G292" s="7">
        <f>IF(FILLME!$B$7="ISCO",FILLME!$B$6+FILLME!$B$11+(FILLME!$B$13*(H292-FILLME!$B$14)),FILLME!$B$6)</f>
        <v>46076.916666666664</v>
      </c>
      <c r="H292" s="8"/>
      <c r="I292" s="8"/>
      <c r="J292" s="2"/>
      <c r="K292" s="9" t="str">
        <f t="shared" si="12"/>
        <v>_00</v>
      </c>
      <c r="L292" s="10" t="str">
        <f t="shared" si="13"/>
        <v>SSEMG__20260223_00</v>
      </c>
      <c r="M292" s="10" t="str">
        <f t="shared" si="14"/>
        <v>SSEMG__IS_20260223_0000</v>
      </c>
      <c r="N292" t="b">
        <f>IF(ROW()-ROW($N$1) &lt;= FILLME!$G$4, TRUE, FALSE)</f>
        <v>0</v>
      </c>
      <c r="O292" t="b">
        <f>IF(ROW()-ROW($O$1) &lt;= FILLME!$G$5, TRUE, FALSE)</f>
        <v>0</v>
      </c>
      <c r="P292" t="b">
        <f>IF(ROW()-ROW($P$1) &lt;= FILLME!$G$7, TRUE, FALSE)</f>
        <v>0</v>
      </c>
      <c r="Q292" t="b">
        <f>IF(ROW()-ROW($Q$1) &lt;= FILLME!$G$6, TRUE, FALSE)</f>
        <v>0</v>
      </c>
      <c r="R292" t="b">
        <f>IF(ROW()-ROW($R$1) &lt;= FILLME!$G$8, TRUE, FALSE)</f>
        <v>0</v>
      </c>
      <c r="S292" t="b">
        <f>IF(ROW()-ROW($S$1) &lt;= FILLME!$G$9, TRUE, FALSE)</f>
        <v>0</v>
      </c>
      <c r="T292" t="b">
        <f>IF(ROW()-ROW($T$1) &lt;= FILLME!$G$10, TRUE, FALSE)</f>
        <v>0</v>
      </c>
      <c r="U292" t="b">
        <f>IF(ROW()-ROW($U$1) &lt;= FILLME!$G$11, TRUE, FALSE)</f>
        <v>0</v>
      </c>
    </row>
    <row r="293" spans="1:21" x14ac:dyDescent="0.25">
      <c r="A293" s="7" t="str">
        <f>FILLME!$B$7</f>
        <v>ISCO</v>
      </c>
      <c r="B293" t="str">
        <f>IF(FILLME!$B$3 = "", "", FILLME!$B$3)</f>
        <v/>
      </c>
      <c r="C293" s="67" t="str">
        <f>IF(FILLME!$B$7="ISCO",FILLME!$E$4,IF(FILLME!$B$7="Grab",FILLME!$E$5))</f>
        <v>IS</v>
      </c>
      <c r="D293" t="str">
        <f>IF(FILLME!$B$4 = "", "", FILLME!$B$4)</f>
        <v>SSEMG</v>
      </c>
      <c r="E293" s="7" t="str">
        <f>TEXT(FILLME!$B$6,"yyyymmdd")</f>
        <v>20260223</v>
      </c>
      <c r="F293" s="8"/>
      <c r="G293" s="7">
        <f>IF(FILLME!$B$7="ISCO",FILLME!$B$6+FILLME!$B$11+(FILLME!$B$13*(H293-FILLME!$B$14)),FILLME!$B$6)</f>
        <v>46076.916666666664</v>
      </c>
      <c r="H293" s="8"/>
      <c r="I293" s="8"/>
      <c r="J293" s="2"/>
      <c r="K293" s="9" t="str">
        <f t="shared" si="12"/>
        <v>_00</v>
      </c>
      <c r="L293" s="10" t="str">
        <f t="shared" si="13"/>
        <v>SSEMG__20260223_00</v>
      </c>
      <c r="M293" s="10" t="str">
        <f t="shared" si="14"/>
        <v>SSEMG__IS_20260223_0000</v>
      </c>
      <c r="N293" t="b">
        <f>IF(ROW()-ROW($N$1) &lt;= FILLME!$G$4, TRUE, FALSE)</f>
        <v>0</v>
      </c>
      <c r="O293" t="b">
        <f>IF(ROW()-ROW($O$1) &lt;= FILLME!$G$5, TRUE, FALSE)</f>
        <v>0</v>
      </c>
      <c r="P293" t="b">
        <f>IF(ROW()-ROW($P$1) &lt;= FILLME!$G$7, TRUE, FALSE)</f>
        <v>0</v>
      </c>
      <c r="Q293" t="b">
        <f>IF(ROW()-ROW($Q$1) &lt;= FILLME!$G$6, TRUE, FALSE)</f>
        <v>0</v>
      </c>
      <c r="R293" t="b">
        <f>IF(ROW()-ROW($R$1) &lt;= FILLME!$G$8, TRUE, FALSE)</f>
        <v>0</v>
      </c>
      <c r="S293" t="b">
        <f>IF(ROW()-ROW($S$1) &lt;= FILLME!$G$9, TRUE, FALSE)</f>
        <v>0</v>
      </c>
      <c r="T293" t="b">
        <f>IF(ROW()-ROW($T$1) &lt;= FILLME!$G$10, TRUE, FALSE)</f>
        <v>0</v>
      </c>
      <c r="U293" t="b">
        <f>IF(ROW()-ROW($U$1) &lt;= FILLME!$G$11, TRUE, FALSE)</f>
        <v>0</v>
      </c>
    </row>
    <row r="294" spans="1:21" x14ac:dyDescent="0.25">
      <c r="A294" s="7" t="str">
        <f>FILLME!$B$7</f>
        <v>ISCO</v>
      </c>
      <c r="B294" t="str">
        <f>IF(FILLME!$B$3 = "", "", FILLME!$B$3)</f>
        <v/>
      </c>
      <c r="C294" s="67" t="str">
        <f>IF(FILLME!$B$7="ISCO",FILLME!$E$4,IF(FILLME!$B$7="Grab",FILLME!$E$5))</f>
        <v>IS</v>
      </c>
      <c r="D294" t="str">
        <f>IF(FILLME!$B$4 = "", "", FILLME!$B$4)</f>
        <v>SSEMG</v>
      </c>
      <c r="E294" s="7" t="str">
        <f>TEXT(FILLME!$B$6,"yyyymmdd")</f>
        <v>20260223</v>
      </c>
      <c r="F294" s="8"/>
      <c r="G294" s="7">
        <f>IF(FILLME!$B$7="ISCO",FILLME!$B$6+FILLME!$B$11+(FILLME!$B$13*(H294-FILLME!$B$14)),FILLME!$B$6)</f>
        <v>46076.916666666664</v>
      </c>
      <c r="H294" s="8"/>
      <c r="I294" s="8"/>
      <c r="J294" s="2"/>
      <c r="K294" s="9" t="str">
        <f t="shared" si="12"/>
        <v>_00</v>
      </c>
      <c r="L294" s="10" t="str">
        <f t="shared" si="13"/>
        <v>SSEMG__20260223_00</v>
      </c>
      <c r="M294" s="10" t="str">
        <f t="shared" si="14"/>
        <v>SSEMG__IS_20260223_0000</v>
      </c>
      <c r="N294" t="b">
        <f>IF(ROW()-ROW($N$1) &lt;= FILLME!$G$4, TRUE, FALSE)</f>
        <v>0</v>
      </c>
      <c r="O294" t="b">
        <f>IF(ROW()-ROW($O$1) &lt;= FILLME!$G$5, TRUE, FALSE)</f>
        <v>0</v>
      </c>
      <c r="P294" t="b">
        <f>IF(ROW()-ROW($P$1) &lt;= FILLME!$G$7, TRUE, FALSE)</f>
        <v>0</v>
      </c>
      <c r="Q294" t="b">
        <f>IF(ROW()-ROW($Q$1) &lt;= FILLME!$G$6, TRUE, FALSE)</f>
        <v>0</v>
      </c>
      <c r="R294" t="b">
        <f>IF(ROW()-ROW($R$1) &lt;= FILLME!$G$8, TRUE, FALSE)</f>
        <v>0</v>
      </c>
      <c r="S294" t="b">
        <f>IF(ROW()-ROW($S$1) &lt;= FILLME!$G$9, TRUE, FALSE)</f>
        <v>0</v>
      </c>
      <c r="T294" t="b">
        <f>IF(ROW()-ROW($T$1) &lt;= FILLME!$G$10, TRUE, FALSE)</f>
        <v>0</v>
      </c>
      <c r="U294" t="b">
        <f>IF(ROW()-ROW($U$1) &lt;= FILLME!$G$11, TRUE, FALSE)</f>
        <v>0</v>
      </c>
    </row>
    <row r="295" spans="1:21" x14ac:dyDescent="0.25">
      <c r="A295" s="7" t="str">
        <f>FILLME!$B$7</f>
        <v>ISCO</v>
      </c>
      <c r="B295" t="str">
        <f>IF(FILLME!$B$3 = "", "", FILLME!$B$3)</f>
        <v/>
      </c>
      <c r="C295" s="67" t="str">
        <f>IF(FILLME!$B$7="ISCO",FILLME!$E$4,IF(FILLME!$B$7="Grab",FILLME!$E$5))</f>
        <v>IS</v>
      </c>
      <c r="D295" t="str">
        <f>IF(FILLME!$B$4 = "", "", FILLME!$B$4)</f>
        <v>SSEMG</v>
      </c>
      <c r="E295" s="7" t="str">
        <f>TEXT(FILLME!$B$6,"yyyymmdd")</f>
        <v>20260223</v>
      </c>
      <c r="F295" s="8"/>
      <c r="G295" s="7">
        <f>IF(FILLME!$B$7="ISCO",FILLME!$B$6+FILLME!$B$11+(FILLME!$B$13*(H295-FILLME!$B$14)),FILLME!$B$6)</f>
        <v>46076.916666666664</v>
      </c>
      <c r="H295" s="8"/>
      <c r="I295" s="8"/>
      <c r="J295" s="2"/>
      <c r="K295" s="9" t="str">
        <f t="shared" si="12"/>
        <v>_00</v>
      </c>
      <c r="L295" s="10" t="str">
        <f t="shared" si="13"/>
        <v>SSEMG__20260223_00</v>
      </c>
      <c r="M295" s="10" t="str">
        <f t="shared" si="14"/>
        <v>SSEMG__IS_20260223_0000</v>
      </c>
      <c r="N295" t="b">
        <f>IF(ROW()-ROW($N$1) &lt;= FILLME!$G$4, TRUE, FALSE)</f>
        <v>0</v>
      </c>
      <c r="O295" t="b">
        <f>IF(ROW()-ROW($O$1) &lt;= FILLME!$G$5, TRUE, FALSE)</f>
        <v>0</v>
      </c>
      <c r="P295" t="b">
        <f>IF(ROW()-ROW($P$1) &lt;= FILLME!$G$7, TRUE, FALSE)</f>
        <v>0</v>
      </c>
      <c r="Q295" t="b">
        <f>IF(ROW()-ROW($Q$1) &lt;= FILLME!$G$6, TRUE, FALSE)</f>
        <v>0</v>
      </c>
      <c r="R295" t="b">
        <f>IF(ROW()-ROW($R$1) &lt;= FILLME!$G$8, TRUE, FALSE)</f>
        <v>0</v>
      </c>
      <c r="S295" t="b">
        <f>IF(ROW()-ROW($S$1) &lt;= FILLME!$G$9, TRUE, FALSE)</f>
        <v>0</v>
      </c>
      <c r="T295" t="b">
        <f>IF(ROW()-ROW($T$1) &lt;= FILLME!$G$10, TRUE, FALSE)</f>
        <v>0</v>
      </c>
      <c r="U295" t="b">
        <f>IF(ROW()-ROW($U$1) &lt;= FILLME!$G$11, TRUE, FALSE)</f>
        <v>0</v>
      </c>
    </row>
    <row r="296" spans="1:21" x14ac:dyDescent="0.25">
      <c r="A296" s="7" t="str">
        <f>FILLME!$B$7</f>
        <v>ISCO</v>
      </c>
      <c r="B296" t="str">
        <f>IF(FILLME!$B$3 = "", "", FILLME!$B$3)</f>
        <v/>
      </c>
      <c r="C296" s="67" t="str">
        <f>IF(FILLME!$B$7="ISCO",FILLME!$E$4,IF(FILLME!$B$7="Grab",FILLME!$E$5))</f>
        <v>IS</v>
      </c>
      <c r="D296" t="str">
        <f>IF(FILLME!$B$4 = "", "", FILLME!$B$4)</f>
        <v>SSEMG</v>
      </c>
      <c r="E296" s="7" t="str">
        <f>TEXT(FILLME!$B$6,"yyyymmdd")</f>
        <v>20260223</v>
      </c>
      <c r="F296" s="8"/>
      <c r="G296" s="7">
        <f>IF(FILLME!$B$7="ISCO",FILLME!$B$6+FILLME!$B$11+(FILLME!$B$13*(H296-FILLME!$B$14)),FILLME!$B$6)</f>
        <v>46076.916666666664</v>
      </c>
      <c r="H296" s="8"/>
      <c r="I296" s="8"/>
      <c r="J296" s="2"/>
      <c r="K296" s="9" t="str">
        <f t="shared" si="12"/>
        <v>_00</v>
      </c>
      <c r="L296" s="10" t="str">
        <f t="shared" si="13"/>
        <v>SSEMG__20260223_00</v>
      </c>
      <c r="M296" s="10" t="str">
        <f t="shared" si="14"/>
        <v>SSEMG__IS_20260223_0000</v>
      </c>
      <c r="N296" t="b">
        <f>IF(ROW()-ROW($N$1) &lt;= FILLME!$G$4, TRUE, FALSE)</f>
        <v>0</v>
      </c>
      <c r="O296" t="b">
        <f>IF(ROW()-ROW($O$1) &lt;= FILLME!$G$5, TRUE, FALSE)</f>
        <v>0</v>
      </c>
      <c r="P296" t="b">
        <f>IF(ROW()-ROW($P$1) &lt;= FILLME!$G$7, TRUE, FALSE)</f>
        <v>0</v>
      </c>
      <c r="Q296" t="b">
        <f>IF(ROW()-ROW($Q$1) &lt;= FILLME!$G$6, TRUE, FALSE)</f>
        <v>0</v>
      </c>
      <c r="R296" t="b">
        <f>IF(ROW()-ROW($R$1) &lt;= FILLME!$G$8, TRUE, FALSE)</f>
        <v>0</v>
      </c>
      <c r="S296" t="b">
        <f>IF(ROW()-ROW($S$1) &lt;= FILLME!$G$9, TRUE, FALSE)</f>
        <v>0</v>
      </c>
      <c r="T296" t="b">
        <f>IF(ROW()-ROW($T$1) &lt;= FILLME!$G$10, TRUE, FALSE)</f>
        <v>0</v>
      </c>
      <c r="U296" t="b">
        <f>IF(ROW()-ROW($U$1) &lt;= FILLME!$G$11, TRUE, FALSE)</f>
        <v>0</v>
      </c>
    </row>
    <row r="297" spans="1:21" x14ac:dyDescent="0.25">
      <c r="A297" s="7" t="str">
        <f>FILLME!$B$7</f>
        <v>ISCO</v>
      </c>
      <c r="B297" t="str">
        <f>IF(FILLME!$B$3 = "", "", FILLME!$B$3)</f>
        <v/>
      </c>
      <c r="C297" s="67" t="str">
        <f>IF(FILLME!$B$7="ISCO",FILLME!$E$4,IF(FILLME!$B$7="Grab",FILLME!$E$5))</f>
        <v>IS</v>
      </c>
      <c r="D297" t="str">
        <f>IF(FILLME!$B$4 = "", "", FILLME!$B$4)</f>
        <v>SSEMG</v>
      </c>
      <c r="E297" s="7" t="str">
        <f>TEXT(FILLME!$B$6,"yyyymmdd")</f>
        <v>20260223</v>
      </c>
      <c r="F297" s="8"/>
      <c r="G297" s="7">
        <f>IF(FILLME!$B$7="ISCO",FILLME!$B$6+FILLME!$B$11+(FILLME!$B$13*(H297-FILLME!$B$14)),FILLME!$B$6)</f>
        <v>46076.916666666664</v>
      </c>
      <c r="H297" s="8"/>
      <c r="I297" s="8"/>
      <c r="J297" s="2"/>
      <c r="K297" s="9" t="str">
        <f t="shared" si="12"/>
        <v>_00</v>
      </c>
      <c r="L297" s="10" t="str">
        <f t="shared" si="13"/>
        <v>SSEMG__20260223_00</v>
      </c>
      <c r="M297" s="10" t="str">
        <f t="shared" si="14"/>
        <v>SSEMG__IS_20260223_0000</v>
      </c>
      <c r="N297" t="b">
        <f>IF(ROW()-ROW($N$1) &lt;= FILLME!$G$4, TRUE, FALSE)</f>
        <v>0</v>
      </c>
      <c r="O297" t="b">
        <f>IF(ROW()-ROW($O$1) &lt;= FILLME!$G$5, TRUE, FALSE)</f>
        <v>0</v>
      </c>
      <c r="P297" t="b">
        <f>IF(ROW()-ROW($P$1) &lt;= FILLME!$G$7, TRUE, FALSE)</f>
        <v>0</v>
      </c>
      <c r="Q297" t="b">
        <f>IF(ROW()-ROW($Q$1) &lt;= FILLME!$G$6, TRUE, FALSE)</f>
        <v>0</v>
      </c>
      <c r="R297" t="b">
        <f>IF(ROW()-ROW($R$1) &lt;= FILLME!$G$8, TRUE, FALSE)</f>
        <v>0</v>
      </c>
      <c r="S297" t="b">
        <f>IF(ROW()-ROW($S$1) &lt;= FILLME!$G$9, TRUE, FALSE)</f>
        <v>0</v>
      </c>
      <c r="T297" t="b">
        <f>IF(ROW()-ROW($T$1) &lt;= FILLME!$G$10, TRUE, FALSE)</f>
        <v>0</v>
      </c>
      <c r="U297" t="b">
        <f>IF(ROW()-ROW($U$1) &lt;= FILLME!$G$11, TRUE, FALSE)</f>
        <v>0</v>
      </c>
    </row>
    <row r="298" spans="1:21" x14ac:dyDescent="0.25">
      <c r="A298" s="7" t="str">
        <f>FILLME!$B$7</f>
        <v>ISCO</v>
      </c>
      <c r="B298" t="str">
        <f>IF(FILLME!$B$3 = "", "", FILLME!$B$3)</f>
        <v/>
      </c>
      <c r="C298" s="67" t="str">
        <f>IF(FILLME!$B$7="ISCO",FILLME!$E$4,IF(FILLME!$B$7="Grab",FILLME!$E$5))</f>
        <v>IS</v>
      </c>
      <c r="D298" t="str">
        <f>IF(FILLME!$B$4 = "", "", FILLME!$B$4)</f>
        <v>SSEMG</v>
      </c>
      <c r="E298" s="7" t="str">
        <f>TEXT(FILLME!$B$6,"yyyymmdd")</f>
        <v>20260223</v>
      </c>
      <c r="F298" s="8"/>
      <c r="G298" s="7">
        <f>IF(FILLME!$B$7="ISCO",FILLME!$B$6+FILLME!$B$11+(FILLME!$B$13*(H298-FILLME!$B$14)),FILLME!$B$6)</f>
        <v>46076.916666666664</v>
      </c>
      <c r="H298" s="8"/>
      <c r="I298" s="8"/>
      <c r="J298" s="2"/>
      <c r="K298" s="9" t="str">
        <f t="shared" si="12"/>
        <v>_00</v>
      </c>
      <c r="L298" s="10" t="str">
        <f t="shared" si="13"/>
        <v>SSEMG__20260223_00</v>
      </c>
      <c r="M298" s="10" t="str">
        <f t="shared" si="14"/>
        <v>SSEMG__IS_20260223_0000</v>
      </c>
      <c r="N298" t="b">
        <f>IF(ROW()-ROW($N$1) &lt;= FILLME!$G$4, TRUE, FALSE)</f>
        <v>0</v>
      </c>
      <c r="O298" t="b">
        <f>IF(ROW()-ROW($O$1) &lt;= FILLME!$G$5, TRUE, FALSE)</f>
        <v>0</v>
      </c>
      <c r="P298" t="b">
        <f>IF(ROW()-ROW($P$1) &lt;= FILLME!$G$7, TRUE, FALSE)</f>
        <v>0</v>
      </c>
      <c r="Q298" t="b">
        <f>IF(ROW()-ROW($Q$1) &lt;= FILLME!$G$6, TRUE, FALSE)</f>
        <v>0</v>
      </c>
      <c r="R298" t="b">
        <f>IF(ROW()-ROW($R$1) &lt;= FILLME!$G$8, TRUE, FALSE)</f>
        <v>0</v>
      </c>
      <c r="S298" t="b">
        <f>IF(ROW()-ROW($S$1) &lt;= FILLME!$G$9, TRUE, FALSE)</f>
        <v>0</v>
      </c>
      <c r="T298" t="b">
        <f>IF(ROW()-ROW($T$1) &lt;= FILLME!$G$10, TRUE, FALSE)</f>
        <v>0</v>
      </c>
      <c r="U298" t="b">
        <f>IF(ROW()-ROW($U$1) &lt;= FILLME!$G$11, TRUE, FALSE)</f>
        <v>0</v>
      </c>
    </row>
    <row r="299" spans="1:21" x14ac:dyDescent="0.25">
      <c r="A299" s="7" t="str">
        <f>FILLME!$B$7</f>
        <v>ISCO</v>
      </c>
      <c r="B299" t="str">
        <f>IF(FILLME!$B$3 = "", "", FILLME!$B$3)</f>
        <v/>
      </c>
      <c r="C299" s="67" t="str">
        <f>IF(FILLME!$B$7="ISCO",FILLME!$E$4,IF(FILLME!$B$7="Grab",FILLME!$E$5))</f>
        <v>IS</v>
      </c>
      <c r="D299" t="str">
        <f>IF(FILLME!$B$4 = "", "", FILLME!$B$4)</f>
        <v>SSEMG</v>
      </c>
      <c r="E299" s="7" t="str">
        <f>TEXT(FILLME!$B$6,"yyyymmdd")</f>
        <v>20260223</v>
      </c>
      <c r="F299" s="8"/>
      <c r="G299" s="7">
        <f>IF(FILLME!$B$7="ISCO",FILLME!$B$6+FILLME!$B$11+(FILLME!$B$13*(H299-FILLME!$B$14)),FILLME!$B$6)</f>
        <v>46076.916666666664</v>
      </c>
      <c r="H299" s="8"/>
      <c r="I299" s="8"/>
      <c r="J299" s="2"/>
      <c r="K299" s="9" t="str">
        <f t="shared" si="12"/>
        <v>_00</v>
      </c>
      <c r="L299" s="10" t="str">
        <f t="shared" si="13"/>
        <v>SSEMG__20260223_00</v>
      </c>
      <c r="M299" s="10" t="str">
        <f t="shared" si="14"/>
        <v>SSEMG__IS_20260223_0000</v>
      </c>
      <c r="N299" t="b">
        <f>IF(ROW()-ROW($N$1) &lt;= FILLME!$G$4, TRUE, FALSE)</f>
        <v>0</v>
      </c>
      <c r="O299" t="b">
        <f>IF(ROW()-ROW($O$1) &lt;= FILLME!$G$5, TRUE, FALSE)</f>
        <v>0</v>
      </c>
      <c r="P299" t="b">
        <f>IF(ROW()-ROW($P$1) &lt;= FILLME!$G$7, TRUE, FALSE)</f>
        <v>0</v>
      </c>
      <c r="Q299" t="b">
        <f>IF(ROW()-ROW($Q$1) &lt;= FILLME!$G$6, TRUE, FALSE)</f>
        <v>0</v>
      </c>
      <c r="R299" t="b">
        <f>IF(ROW()-ROW($R$1) &lt;= FILLME!$G$8, TRUE, FALSE)</f>
        <v>0</v>
      </c>
      <c r="S299" t="b">
        <f>IF(ROW()-ROW($S$1) &lt;= FILLME!$G$9, TRUE, FALSE)</f>
        <v>0</v>
      </c>
      <c r="T299" t="b">
        <f>IF(ROW()-ROW($T$1) &lt;= FILLME!$G$10, TRUE, FALSE)</f>
        <v>0</v>
      </c>
      <c r="U299" t="b">
        <f>IF(ROW()-ROW($U$1) &lt;= FILLME!$G$11, TRUE, FALSE)</f>
        <v>0</v>
      </c>
    </row>
    <row r="300" spans="1:21" x14ac:dyDescent="0.25">
      <c r="A300" s="7" t="str">
        <f>FILLME!$B$7</f>
        <v>ISCO</v>
      </c>
      <c r="B300" t="str">
        <f>IF(FILLME!$B$3 = "", "", FILLME!$B$3)</f>
        <v/>
      </c>
      <c r="C300" s="67" t="str">
        <f>IF(FILLME!$B$7="ISCO",FILLME!$E$4,IF(FILLME!$B$7="Grab",FILLME!$E$5))</f>
        <v>IS</v>
      </c>
      <c r="D300" t="str">
        <f>IF(FILLME!$B$4 = "", "", FILLME!$B$4)</f>
        <v>SSEMG</v>
      </c>
      <c r="E300" s="7" t="str">
        <f>TEXT(FILLME!$B$6,"yyyymmdd")</f>
        <v>20260223</v>
      </c>
      <c r="F300" s="8"/>
      <c r="G300" s="7">
        <f>IF(FILLME!$B$7="ISCO",FILLME!$B$6+FILLME!$B$11+(FILLME!$B$13*(H300-FILLME!$B$14)),FILLME!$B$6)</f>
        <v>46076.916666666664</v>
      </c>
      <c r="H300" s="8"/>
      <c r="I300" s="8"/>
      <c r="J300" s="2"/>
      <c r="K300" s="9" t="str">
        <f t="shared" si="12"/>
        <v>_00</v>
      </c>
      <c r="L300" s="10" t="str">
        <f t="shared" si="13"/>
        <v>SSEMG__20260223_00</v>
      </c>
      <c r="M300" s="10" t="str">
        <f t="shared" si="14"/>
        <v>SSEMG__IS_20260223_0000</v>
      </c>
      <c r="N300" t="b">
        <f>IF(ROW()-ROW($N$1) &lt;= FILLME!$G$4, TRUE, FALSE)</f>
        <v>0</v>
      </c>
      <c r="O300" t="b">
        <f>IF(ROW()-ROW($O$1) &lt;= FILLME!$G$5, TRUE, FALSE)</f>
        <v>0</v>
      </c>
      <c r="P300" t="b">
        <f>IF(ROW()-ROW($P$1) &lt;= FILLME!$G$7, TRUE, FALSE)</f>
        <v>0</v>
      </c>
      <c r="Q300" t="b">
        <f>IF(ROW()-ROW($Q$1) &lt;= FILLME!$G$6, TRUE, FALSE)</f>
        <v>0</v>
      </c>
      <c r="R300" t="b">
        <f>IF(ROW()-ROW($R$1) &lt;= FILLME!$G$8, TRUE, FALSE)</f>
        <v>0</v>
      </c>
      <c r="S300" t="b">
        <f>IF(ROW()-ROW($S$1) &lt;= FILLME!$G$9, TRUE, FALSE)</f>
        <v>0</v>
      </c>
      <c r="T300" t="b">
        <f>IF(ROW()-ROW($T$1) &lt;= FILLME!$G$10, TRUE, FALSE)</f>
        <v>0</v>
      </c>
      <c r="U300" t="b">
        <f>IF(ROW()-ROW($U$1) &lt;= FILLME!$G$11, TRUE, FALSE)</f>
        <v>0</v>
      </c>
    </row>
    <row r="301" spans="1:21" x14ac:dyDescent="0.25">
      <c r="A301" s="7" t="str">
        <f>FILLME!$B$7</f>
        <v>ISCO</v>
      </c>
      <c r="B301" t="str">
        <f>IF(FILLME!$B$3 = "", "", FILLME!$B$3)</f>
        <v/>
      </c>
      <c r="C301" s="67" t="str">
        <f>IF(FILLME!$B$7="ISCO",FILLME!$E$4,IF(FILLME!$B$7="Grab",FILLME!$E$5))</f>
        <v>IS</v>
      </c>
      <c r="D301" t="str">
        <f>IF(FILLME!$B$4 = "", "", FILLME!$B$4)</f>
        <v>SSEMG</v>
      </c>
      <c r="E301" s="7" t="str">
        <f>TEXT(FILLME!$B$6,"yyyymmdd")</f>
        <v>20260223</v>
      </c>
      <c r="F301" s="8"/>
      <c r="G301" s="7">
        <f>IF(FILLME!$B$7="ISCO",FILLME!$B$6+FILLME!$B$11+(FILLME!$B$13*(H301-FILLME!$B$14)),FILLME!$B$6)</f>
        <v>46076.916666666664</v>
      </c>
      <c r="H301" s="8"/>
      <c r="I301" s="8"/>
      <c r="J301" s="2"/>
      <c r="K301" s="9" t="str">
        <f t="shared" si="12"/>
        <v>_00</v>
      </c>
      <c r="L301" s="10" t="str">
        <f t="shared" si="13"/>
        <v>SSEMG__20260223_00</v>
      </c>
      <c r="M301" s="10" t="str">
        <f t="shared" si="14"/>
        <v>SSEMG__IS_20260223_0000</v>
      </c>
      <c r="N301" t="b">
        <f>IF(ROW()-ROW($N$1) &lt;= FILLME!$G$4, TRUE, FALSE)</f>
        <v>0</v>
      </c>
      <c r="O301" t="b">
        <f>IF(ROW()-ROW($O$1) &lt;= FILLME!$G$5, TRUE, FALSE)</f>
        <v>0</v>
      </c>
      <c r="P301" t="b">
        <f>IF(ROW()-ROW($P$1) &lt;= FILLME!$G$7, TRUE, FALSE)</f>
        <v>0</v>
      </c>
      <c r="Q301" t="b">
        <f>IF(ROW()-ROW($Q$1) &lt;= FILLME!$G$6, TRUE, FALSE)</f>
        <v>0</v>
      </c>
      <c r="R301" t="b">
        <f>IF(ROW()-ROW($R$1) &lt;= FILLME!$G$8, TRUE, FALSE)</f>
        <v>0</v>
      </c>
      <c r="S301" t="b">
        <f>IF(ROW()-ROW($S$1) &lt;= FILLME!$G$9, TRUE, FALSE)</f>
        <v>0</v>
      </c>
      <c r="T301" t="b">
        <f>IF(ROW()-ROW($T$1) &lt;= FILLME!$G$10, TRUE, FALSE)</f>
        <v>0</v>
      </c>
      <c r="U301" t="b">
        <f>IF(ROW()-ROW($U$1) &lt;= FILLME!$G$11, TRUE, FALSE)</f>
        <v>0</v>
      </c>
    </row>
    <row r="302" spans="1:21" x14ac:dyDescent="0.25">
      <c r="A302" s="7" t="str">
        <f>FILLME!$B$7</f>
        <v>ISCO</v>
      </c>
      <c r="B302" t="str">
        <f>IF(FILLME!$B$3 = "", "", FILLME!$B$3)</f>
        <v/>
      </c>
      <c r="C302" s="67" t="str">
        <f>IF(FILLME!$B$7="ISCO",FILLME!$E$4,IF(FILLME!$B$7="Grab",FILLME!$E$5))</f>
        <v>IS</v>
      </c>
      <c r="D302" t="str">
        <f>IF(FILLME!$B$4 = "", "", FILLME!$B$4)</f>
        <v>SSEMG</v>
      </c>
      <c r="E302" s="7" t="str">
        <f>TEXT(FILLME!$B$6,"yyyymmdd")</f>
        <v>20260223</v>
      </c>
      <c r="F302" s="8"/>
      <c r="G302" s="7">
        <f>IF(FILLME!$B$7="ISCO",FILLME!$B$6+FILLME!$B$11+(FILLME!$B$13*(H302-FILLME!$B$14)),FILLME!$B$6)</f>
        <v>46076.916666666664</v>
      </c>
      <c r="H302" s="8"/>
      <c r="I302" s="8"/>
      <c r="J302" s="2"/>
      <c r="K302" s="9" t="str">
        <f t="shared" si="12"/>
        <v>_00</v>
      </c>
      <c r="L302" s="10" t="str">
        <f t="shared" si="13"/>
        <v>SSEMG__20260223_00</v>
      </c>
      <c r="M302" s="10" t="str">
        <f t="shared" si="14"/>
        <v>SSEMG__IS_20260223_0000</v>
      </c>
      <c r="N302" t="b">
        <f>IF(ROW()-ROW($N$1) &lt;= FILLME!$G$4, TRUE, FALSE)</f>
        <v>0</v>
      </c>
      <c r="O302" t="b">
        <f>IF(ROW()-ROW($O$1) &lt;= FILLME!$G$5, TRUE, FALSE)</f>
        <v>0</v>
      </c>
      <c r="P302" t="b">
        <f>IF(ROW()-ROW($P$1) &lt;= FILLME!$G$7, TRUE, FALSE)</f>
        <v>0</v>
      </c>
      <c r="Q302" t="b">
        <f>IF(ROW()-ROW($Q$1) &lt;= FILLME!$G$6, TRUE, FALSE)</f>
        <v>0</v>
      </c>
      <c r="R302" t="b">
        <f>IF(ROW()-ROW($R$1) &lt;= FILLME!$G$8, TRUE, FALSE)</f>
        <v>0</v>
      </c>
      <c r="S302" t="b">
        <f>IF(ROW()-ROW($S$1) &lt;= FILLME!$G$9, TRUE, FALSE)</f>
        <v>0</v>
      </c>
      <c r="T302" t="b">
        <f>IF(ROW()-ROW($T$1) &lt;= FILLME!$G$10, TRUE, FALSE)</f>
        <v>0</v>
      </c>
      <c r="U302" t="b">
        <f>IF(ROW()-ROW($U$1) &lt;= FILLME!$G$11, TRUE, FALSE)</f>
        <v>0</v>
      </c>
    </row>
    <row r="303" spans="1:21" x14ac:dyDescent="0.25">
      <c r="A303" s="7" t="str">
        <f>FILLME!$B$7</f>
        <v>ISCO</v>
      </c>
      <c r="B303" t="str">
        <f>IF(FILLME!$B$3 = "", "", FILLME!$B$3)</f>
        <v/>
      </c>
      <c r="C303" s="67" t="str">
        <f>IF(FILLME!$B$7="ISCO",FILLME!$E$4,IF(FILLME!$B$7="Grab",FILLME!$E$5))</f>
        <v>IS</v>
      </c>
      <c r="D303" t="str">
        <f>IF(FILLME!$B$4 = "", "", FILLME!$B$4)</f>
        <v>SSEMG</v>
      </c>
      <c r="E303" s="7" t="str">
        <f>TEXT(FILLME!$B$6,"yyyymmdd")</f>
        <v>20260223</v>
      </c>
      <c r="F303" s="8"/>
      <c r="G303" s="7">
        <f>IF(FILLME!$B$7="ISCO",FILLME!$B$6+FILLME!$B$11+(FILLME!$B$13*(H303-FILLME!$B$14)),FILLME!$B$6)</f>
        <v>46076.916666666664</v>
      </c>
      <c r="H303" s="8"/>
      <c r="I303" s="8"/>
      <c r="J303" s="2"/>
      <c r="K303" s="9" t="str">
        <f t="shared" si="12"/>
        <v>_00</v>
      </c>
      <c r="L303" s="10" t="str">
        <f t="shared" si="13"/>
        <v>SSEMG__20260223_00</v>
      </c>
      <c r="M303" s="10" t="str">
        <f t="shared" si="14"/>
        <v>SSEMG__IS_20260223_0000</v>
      </c>
      <c r="N303" t="b">
        <f>IF(ROW()-ROW($N$1) &lt;= FILLME!$G$4, TRUE, FALSE)</f>
        <v>0</v>
      </c>
      <c r="O303" t="b">
        <f>IF(ROW()-ROW($O$1) &lt;= FILLME!$G$5, TRUE, FALSE)</f>
        <v>0</v>
      </c>
      <c r="P303" t="b">
        <f>IF(ROW()-ROW($P$1) &lt;= FILLME!$G$7, TRUE, FALSE)</f>
        <v>0</v>
      </c>
      <c r="Q303" t="b">
        <f>IF(ROW()-ROW($Q$1) &lt;= FILLME!$G$6, TRUE, FALSE)</f>
        <v>0</v>
      </c>
      <c r="R303" t="b">
        <f>IF(ROW()-ROW($R$1) &lt;= FILLME!$G$8, TRUE, FALSE)</f>
        <v>0</v>
      </c>
      <c r="S303" t="b">
        <f>IF(ROW()-ROW($S$1) &lt;= FILLME!$G$9, TRUE, FALSE)</f>
        <v>0</v>
      </c>
      <c r="T303" t="b">
        <f>IF(ROW()-ROW($T$1) &lt;= FILLME!$G$10, TRUE, FALSE)</f>
        <v>0</v>
      </c>
      <c r="U303" t="b">
        <f>IF(ROW()-ROW($U$1) &lt;= FILLME!$G$11, TRUE, FALSE)</f>
        <v>0</v>
      </c>
    </row>
    <row r="304" spans="1:21" x14ac:dyDescent="0.25">
      <c r="A304" s="7" t="str">
        <f>FILLME!$B$7</f>
        <v>ISCO</v>
      </c>
      <c r="B304" t="str">
        <f>IF(FILLME!$B$3 = "", "", FILLME!$B$3)</f>
        <v/>
      </c>
      <c r="C304" s="67" t="str">
        <f>IF(FILLME!$B$7="ISCO",FILLME!$E$4,IF(FILLME!$B$7="Grab",FILLME!$E$5))</f>
        <v>IS</v>
      </c>
      <c r="D304" t="str">
        <f>IF(FILLME!$B$4 = "", "", FILLME!$B$4)</f>
        <v>SSEMG</v>
      </c>
      <c r="E304" s="7" t="str">
        <f>TEXT(FILLME!$B$6,"yyyymmdd")</f>
        <v>20260223</v>
      </c>
      <c r="F304" s="8"/>
      <c r="G304" s="7">
        <f>IF(FILLME!$B$7="ISCO",FILLME!$B$6+FILLME!$B$11+(FILLME!$B$13*(H304-FILLME!$B$14)),FILLME!$B$6)</f>
        <v>46076.916666666664</v>
      </c>
      <c r="H304" s="8"/>
      <c r="I304" s="8"/>
      <c r="J304" s="2"/>
      <c r="K304" s="9" t="str">
        <f t="shared" si="12"/>
        <v>_00</v>
      </c>
      <c r="L304" s="10" t="str">
        <f t="shared" si="13"/>
        <v>SSEMG__20260223_00</v>
      </c>
      <c r="M304" s="10" t="str">
        <f t="shared" si="14"/>
        <v>SSEMG__IS_20260223_0000</v>
      </c>
      <c r="N304" t="b">
        <f>IF(ROW()-ROW($N$1) &lt;= FILLME!$G$4, TRUE, FALSE)</f>
        <v>0</v>
      </c>
      <c r="O304" t="b">
        <f>IF(ROW()-ROW($O$1) &lt;= FILLME!$G$5, TRUE, FALSE)</f>
        <v>0</v>
      </c>
      <c r="P304" t="b">
        <f>IF(ROW()-ROW($P$1) &lt;= FILLME!$G$7, TRUE, FALSE)</f>
        <v>0</v>
      </c>
      <c r="Q304" t="b">
        <f>IF(ROW()-ROW($Q$1) &lt;= FILLME!$G$6, TRUE, FALSE)</f>
        <v>0</v>
      </c>
      <c r="R304" t="b">
        <f>IF(ROW()-ROW($R$1) &lt;= FILLME!$G$8, TRUE, FALSE)</f>
        <v>0</v>
      </c>
      <c r="S304" t="b">
        <f>IF(ROW()-ROW($S$1) &lt;= FILLME!$G$9, TRUE, FALSE)</f>
        <v>0</v>
      </c>
      <c r="T304" t="b">
        <f>IF(ROW()-ROW($T$1) &lt;= FILLME!$G$10, TRUE, FALSE)</f>
        <v>0</v>
      </c>
      <c r="U304" t="b">
        <f>IF(ROW()-ROW($U$1) &lt;= FILLME!$G$11, TRUE, FALSE)</f>
        <v>0</v>
      </c>
    </row>
    <row r="305" spans="1:21" x14ac:dyDescent="0.25">
      <c r="A305" s="7" t="str">
        <f>FILLME!$B$7</f>
        <v>ISCO</v>
      </c>
      <c r="B305" t="str">
        <f>IF(FILLME!$B$3 = "", "", FILLME!$B$3)</f>
        <v/>
      </c>
      <c r="C305" s="67" t="str">
        <f>IF(FILLME!$B$7="ISCO",FILLME!$E$4,IF(FILLME!$B$7="Grab",FILLME!$E$5))</f>
        <v>IS</v>
      </c>
      <c r="D305" t="str">
        <f>IF(FILLME!$B$4 = "", "", FILLME!$B$4)</f>
        <v>SSEMG</v>
      </c>
      <c r="E305" s="7" t="str">
        <f>TEXT(FILLME!$B$6,"yyyymmdd")</f>
        <v>20260223</v>
      </c>
      <c r="F305" s="8"/>
      <c r="G305" s="7">
        <f>IF(FILLME!$B$7="ISCO",FILLME!$B$6+FILLME!$B$11+(FILLME!$B$13*(H305-FILLME!$B$14)),FILLME!$B$6)</f>
        <v>46076.916666666664</v>
      </c>
      <c r="H305" s="8"/>
      <c r="I305" s="8"/>
      <c r="J305" s="2"/>
      <c r="K305" s="9" t="str">
        <f t="shared" si="12"/>
        <v>_00</v>
      </c>
      <c r="L305" s="10" t="str">
        <f t="shared" si="13"/>
        <v>SSEMG__20260223_00</v>
      </c>
      <c r="M305" s="10" t="str">
        <f t="shared" si="14"/>
        <v>SSEMG__IS_20260223_0000</v>
      </c>
      <c r="N305" t="b">
        <f>IF(ROW()-ROW($N$1) &lt;= FILLME!$G$4, TRUE, FALSE)</f>
        <v>0</v>
      </c>
      <c r="O305" t="b">
        <f>IF(ROW()-ROW($O$1) &lt;= FILLME!$G$5, TRUE, FALSE)</f>
        <v>0</v>
      </c>
      <c r="P305" t="b">
        <f>IF(ROW()-ROW($P$1) &lt;= FILLME!$G$7, TRUE, FALSE)</f>
        <v>0</v>
      </c>
      <c r="Q305" t="b">
        <f>IF(ROW()-ROW($Q$1) &lt;= FILLME!$G$6, TRUE, FALSE)</f>
        <v>0</v>
      </c>
      <c r="R305" t="b">
        <f>IF(ROW()-ROW($R$1) &lt;= FILLME!$G$8, TRUE, FALSE)</f>
        <v>0</v>
      </c>
      <c r="S305" t="b">
        <f>IF(ROW()-ROW($S$1) &lt;= FILLME!$G$9, TRUE, FALSE)</f>
        <v>0</v>
      </c>
      <c r="T305" t="b">
        <f>IF(ROW()-ROW($T$1) &lt;= FILLME!$G$10, TRUE, FALSE)</f>
        <v>0</v>
      </c>
      <c r="U305" t="b">
        <f>IF(ROW()-ROW($U$1) &lt;= FILLME!$G$11, TRUE, FALSE)</f>
        <v>0</v>
      </c>
    </row>
    <row r="306" spans="1:21" x14ac:dyDescent="0.25">
      <c r="A306" s="7" t="str">
        <f>FILLME!$B$7</f>
        <v>ISCO</v>
      </c>
      <c r="B306" t="str">
        <f>IF(FILLME!$B$3 = "", "", FILLME!$B$3)</f>
        <v/>
      </c>
      <c r="C306" s="67" t="str">
        <f>IF(FILLME!$B$7="ISCO",FILLME!$E$4,IF(FILLME!$B$7="Grab",FILLME!$E$5))</f>
        <v>IS</v>
      </c>
      <c r="D306" t="str">
        <f>IF(FILLME!$B$4 = "", "", FILLME!$B$4)</f>
        <v>SSEMG</v>
      </c>
      <c r="E306" s="7" t="str">
        <f>TEXT(FILLME!$B$6,"yyyymmdd")</f>
        <v>20260223</v>
      </c>
      <c r="F306" s="8"/>
      <c r="G306" s="7">
        <f>IF(FILLME!$B$7="ISCO",FILLME!$B$6+FILLME!$B$11+(FILLME!$B$13*(H306-FILLME!$B$14)),FILLME!$B$6)</f>
        <v>46076.916666666664</v>
      </c>
      <c r="H306" s="8"/>
      <c r="I306" s="8"/>
      <c r="J306" s="2"/>
      <c r="K306" s="9" t="str">
        <f t="shared" si="12"/>
        <v>_00</v>
      </c>
      <c r="L306" s="10" t="str">
        <f t="shared" si="13"/>
        <v>SSEMG__20260223_00</v>
      </c>
      <c r="M306" s="10" t="str">
        <f t="shared" si="14"/>
        <v>SSEMG__IS_20260223_0000</v>
      </c>
      <c r="N306" t="b">
        <f>IF(ROW()-ROW($N$1) &lt;= FILLME!$G$4, TRUE, FALSE)</f>
        <v>0</v>
      </c>
      <c r="O306" t="b">
        <f>IF(ROW()-ROW($O$1) &lt;= FILLME!$G$5, TRUE, FALSE)</f>
        <v>0</v>
      </c>
      <c r="P306" t="b">
        <f>IF(ROW()-ROW($P$1) &lt;= FILLME!$G$7, TRUE, FALSE)</f>
        <v>0</v>
      </c>
      <c r="Q306" t="b">
        <f>IF(ROW()-ROW($Q$1) &lt;= FILLME!$G$6, TRUE, FALSE)</f>
        <v>0</v>
      </c>
      <c r="R306" t="b">
        <f>IF(ROW()-ROW($R$1) &lt;= FILLME!$G$8, TRUE, FALSE)</f>
        <v>0</v>
      </c>
      <c r="S306" t="b">
        <f>IF(ROW()-ROW($S$1) &lt;= FILLME!$G$9, TRUE, FALSE)</f>
        <v>0</v>
      </c>
      <c r="T306" t="b">
        <f>IF(ROW()-ROW($T$1) &lt;= FILLME!$G$10, TRUE, FALSE)</f>
        <v>0</v>
      </c>
      <c r="U306" t="b">
        <f>IF(ROW()-ROW($U$1) &lt;= FILLME!$G$11, TRUE, FALSE)</f>
        <v>0</v>
      </c>
    </row>
    <row r="307" spans="1:21" x14ac:dyDescent="0.25">
      <c r="A307" s="7" t="str">
        <f>FILLME!$B$7</f>
        <v>ISCO</v>
      </c>
      <c r="B307" t="str">
        <f>IF(FILLME!$B$3 = "", "", FILLME!$B$3)</f>
        <v/>
      </c>
      <c r="C307" s="67" t="str">
        <f>IF(FILLME!$B$7="ISCO",FILLME!$E$4,IF(FILLME!$B$7="Grab",FILLME!$E$5))</f>
        <v>IS</v>
      </c>
      <c r="D307" t="str">
        <f>IF(FILLME!$B$4 = "", "", FILLME!$B$4)</f>
        <v>SSEMG</v>
      </c>
      <c r="E307" s="7" t="str">
        <f>TEXT(FILLME!$B$6,"yyyymmdd")</f>
        <v>20260223</v>
      </c>
      <c r="F307" s="8"/>
      <c r="G307" s="7">
        <f>IF(FILLME!$B$7="ISCO",FILLME!$B$6+FILLME!$B$11+(FILLME!$B$13*(H307-FILLME!$B$14)),FILLME!$B$6)</f>
        <v>46076.916666666664</v>
      </c>
      <c r="H307" s="8"/>
      <c r="I307" s="8"/>
      <c r="J307" s="2"/>
      <c r="K307" s="9" t="str">
        <f t="shared" si="12"/>
        <v>_00</v>
      </c>
      <c r="L307" s="10" t="str">
        <f t="shared" si="13"/>
        <v>SSEMG__20260223_00</v>
      </c>
      <c r="M307" s="10" t="str">
        <f t="shared" si="14"/>
        <v>SSEMG__IS_20260223_0000</v>
      </c>
      <c r="N307" t="b">
        <f>IF(ROW()-ROW($N$1) &lt;= FILLME!$G$4, TRUE, FALSE)</f>
        <v>0</v>
      </c>
      <c r="O307" t="b">
        <f>IF(ROW()-ROW($O$1) &lt;= FILLME!$G$5, TRUE, FALSE)</f>
        <v>0</v>
      </c>
      <c r="P307" t="b">
        <f>IF(ROW()-ROW($P$1) &lt;= FILLME!$G$7, TRUE, FALSE)</f>
        <v>0</v>
      </c>
      <c r="Q307" t="b">
        <f>IF(ROW()-ROW($Q$1) &lt;= FILLME!$G$6, TRUE, FALSE)</f>
        <v>0</v>
      </c>
      <c r="R307" t="b">
        <f>IF(ROW()-ROW($R$1) &lt;= FILLME!$G$8, TRUE, FALSE)</f>
        <v>0</v>
      </c>
      <c r="S307" t="b">
        <f>IF(ROW()-ROW($S$1) &lt;= FILLME!$G$9, TRUE, FALSE)</f>
        <v>0</v>
      </c>
      <c r="T307" t="b">
        <f>IF(ROW()-ROW($T$1) &lt;= FILLME!$G$10, TRUE, FALSE)</f>
        <v>0</v>
      </c>
      <c r="U307" t="b">
        <f>IF(ROW()-ROW($U$1) &lt;= FILLME!$G$11, TRUE, FALSE)</f>
        <v>0</v>
      </c>
    </row>
    <row r="308" spans="1:21" x14ac:dyDescent="0.25">
      <c r="A308" s="7" t="str">
        <f>FILLME!$B$7</f>
        <v>ISCO</v>
      </c>
      <c r="B308" t="str">
        <f>IF(FILLME!$B$3 = "", "", FILLME!$B$3)</f>
        <v/>
      </c>
      <c r="C308" s="67" t="str">
        <f>IF(FILLME!$B$7="ISCO",FILLME!$E$4,IF(FILLME!$B$7="Grab",FILLME!$E$5))</f>
        <v>IS</v>
      </c>
      <c r="D308" t="str">
        <f>IF(FILLME!$B$4 = "", "", FILLME!$B$4)</f>
        <v>SSEMG</v>
      </c>
      <c r="E308" s="7" t="str">
        <f>TEXT(FILLME!$B$6,"yyyymmdd")</f>
        <v>20260223</v>
      </c>
      <c r="F308" s="8"/>
      <c r="G308" s="7">
        <f>IF(FILLME!$B$7="ISCO",FILLME!$B$6+FILLME!$B$11+(FILLME!$B$13*(H308-FILLME!$B$14)),FILLME!$B$6)</f>
        <v>46076.916666666664</v>
      </c>
      <c r="H308" s="8"/>
      <c r="I308" s="8"/>
      <c r="J308" s="2"/>
      <c r="K308" s="9" t="str">
        <f t="shared" si="12"/>
        <v>_00</v>
      </c>
      <c r="L308" s="10" t="str">
        <f t="shared" si="13"/>
        <v>SSEMG__20260223_00</v>
      </c>
      <c r="M308" s="10" t="str">
        <f t="shared" si="14"/>
        <v>SSEMG__IS_20260223_0000</v>
      </c>
      <c r="N308" t="b">
        <f>IF(ROW()-ROW($N$1) &lt;= FILLME!$G$4, TRUE, FALSE)</f>
        <v>0</v>
      </c>
      <c r="O308" t="b">
        <f>IF(ROW()-ROW($O$1) &lt;= FILLME!$G$5, TRUE, FALSE)</f>
        <v>0</v>
      </c>
      <c r="P308" t="b">
        <f>IF(ROW()-ROW($P$1) &lt;= FILLME!$G$7, TRUE, FALSE)</f>
        <v>0</v>
      </c>
      <c r="Q308" t="b">
        <f>IF(ROW()-ROW($Q$1) &lt;= FILLME!$G$6, TRUE, FALSE)</f>
        <v>0</v>
      </c>
      <c r="R308" t="b">
        <f>IF(ROW()-ROW($R$1) &lt;= FILLME!$G$8, TRUE, FALSE)</f>
        <v>0</v>
      </c>
      <c r="S308" t="b">
        <f>IF(ROW()-ROW($S$1) &lt;= FILLME!$G$9, TRUE, FALSE)</f>
        <v>0</v>
      </c>
      <c r="T308" t="b">
        <f>IF(ROW()-ROW($T$1) &lt;= FILLME!$G$10, TRUE, FALSE)</f>
        <v>0</v>
      </c>
      <c r="U308" t="b">
        <f>IF(ROW()-ROW($U$1) &lt;= FILLME!$G$11, TRUE, FALSE)</f>
        <v>0</v>
      </c>
    </row>
    <row r="309" spans="1:21" x14ac:dyDescent="0.25">
      <c r="A309" s="7" t="str">
        <f>FILLME!$B$7</f>
        <v>ISCO</v>
      </c>
      <c r="B309" t="str">
        <f>IF(FILLME!$B$3 = "", "", FILLME!$B$3)</f>
        <v/>
      </c>
      <c r="C309" s="67" t="str">
        <f>IF(FILLME!$B$7="ISCO",FILLME!$E$4,IF(FILLME!$B$7="Grab",FILLME!$E$5))</f>
        <v>IS</v>
      </c>
      <c r="D309" t="str">
        <f>IF(FILLME!$B$4 = "", "", FILLME!$B$4)</f>
        <v>SSEMG</v>
      </c>
      <c r="E309" s="7" t="str">
        <f>TEXT(FILLME!$B$6,"yyyymmdd")</f>
        <v>20260223</v>
      </c>
      <c r="F309" s="8"/>
      <c r="G309" s="7">
        <f>IF(FILLME!$B$7="ISCO",FILLME!$B$6+FILLME!$B$11+(FILLME!$B$13*(H309-FILLME!$B$14)),FILLME!$B$6)</f>
        <v>46076.916666666664</v>
      </c>
      <c r="H309" s="8"/>
      <c r="I309" s="8"/>
      <c r="J309" s="2"/>
      <c r="K309" s="9" t="str">
        <f t="shared" si="12"/>
        <v>_00</v>
      </c>
      <c r="L309" s="10" t="str">
        <f t="shared" si="13"/>
        <v>SSEMG__20260223_00</v>
      </c>
      <c r="M309" s="10" t="str">
        <f t="shared" si="14"/>
        <v>SSEMG__IS_20260223_0000</v>
      </c>
      <c r="N309" t="b">
        <f>IF(ROW()-ROW($N$1) &lt;= FILLME!$G$4, TRUE, FALSE)</f>
        <v>0</v>
      </c>
      <c r="O309" t="b">
        <f>IF(ROW()-ROW($O$1) &lt;= FILLME!$G$5, TRUE, FALSE)</f>
        <v>0</v>
      </c>
      <c r="P309" t="b">
        <f>IF(ROW()-ROW($P$1) &lt;= FILLME!$G$7, TRUE, FALSE)</f>
        <v>0</v>
      </c>
      <c r="Q309" t="b">
        <f>IF(ROW()-ROW($Q$1) &lt;= FILLME!$G$6, TRUE, FALSE)</f>
        <v>0</v>
      </c>
      <c r="R309" t="b">
        <f>IF(ROW()-ROW($R$1) &lt;= FILLME!$G$8, TRUE, FALSE)</f>
        <v>0</v>
      </c>
      <c r="S309" t="b">
        <f>IF(ROW()-ROW($S$1) &lt;= FILLME!$G$9, TRUE, FALSE)</f>
        <v>0</v>
      </c>
      <c r="T309" t="b">
        <f>IF(ROW()-ROW($T$1) &lt;= FILLME!$G$10, TRUE, FALSE)</f>
        <v>0</v>
      </c>
      <c r="U309" t="b">
        <f>IF(ROW()-ROW($U$1) &lt;= FILLME!$G$11, TRUE, FALSE)</f>
        <v>0</v>
      </c>
    </row>
    <row r="310" spans="1:21" x14ac:dyDescent="0.25">
      <c r="A310" s="7" t="str">
        <f>FILLME!$B$7</f>
        <v>ISCO</v>
      </c>
      <c r="B310" t="str">
        <f>IF(FILLME!$B$3 = "", "", FILLME!$B$3)</f>
        <v/>
      </c>
      <c r="C310" s="67" t="str">
        <f>IF(FILLME!$B$7="ISCO",FILLME!$E$4,IF(FILLME!$B$7="Grab",FILLME!$E$5))</f>
        <v>IS</v>
      </c>
      <c r="D310" t="str">
        <f>IF(FILLME!$B$4 = "", "", FILLME!$B$4)</f>
        <v>SSEMG</v>
      </c>
      <c r="E310" s="7" t="str">
        <f>TEXT(FILLME!$B$6,"yyyymmdd")</f>
        <v>20260223</v>
      </c>
      <c r="F310" s="8"/>
      <c r="G310" s="7">
        <f>IF(FILLME!$B$7="ISCO",FILLME!$B$6+FILLME!$B$11+(FILLME!$B$13*(H310-FILLME!$B$14)),FILLME!$B$6)</f>
        <v>46076.916666666664</v>
      </c>
      <c r="H310" s="8"/>
      <c r="I310" s="8"/>
      <c r="J310" s="2"/>
      <c r="K310" s="9" t="str">
        <f t="shared" si="12"/>
        <v>_00</v>
      </c>
      <c r="L310" s="10" t="str">
        <f t="shared" si="13"/>
        <v>SSEMG__20260223_00</v>
      </c>
      <c r="M310" s="10" t="str">
        <f t="shared" si="14"/>
        <v>SSEMG__IS_20260223_0000</v>
      </c>
      <c r="N310" t="b">
        <f>IF(ROW()-ROW($N$1) &lt;= FILLME!$G$4, TRUE, FALSE)</f>
        <v>0</v>
      </c>
      <c r="O310" t="b">
        <f>IF(ROW()-ROW($O$1) &lt;= FILLME!$G$5, TRUE, FALSE)</f>
        <v>0</v>
      </c>
      <c r="P310" t="b">
        <f>IF(ROW()-ROW($P$1) &lt;= FILLME!$G$7, TRUE, FALSE)</f>
        <v>0</v>
      </c>
      <c r="Q310" t="b">
        <f>IF(ROW()-ROW($Q$1) &lt;= FILLME!$G$6, TRUE, FALSE)</f>
        <v>0</v>
      </c>
      <c r="R310" t="b">
        <f>IF(ROW()-ROW($R$1) &lt;= FILLME!$G$8, TRUE, FALSE)</f>
        <v>0</v>
      </c>
      <c r="S310" t="b">
        <f>IF(ROW()-ROW($S$1) &lt;= FILLME!$G$9, TRUE, FALSE)</f>
        <v>0</v>
      </c>
      <c r="T310" t="b">
        <f>IF(ROW()-ROW($T$1) &lt;= FILLME!$G$10, TRUE, FALSE)</f>
        <v>0</v>
      </c>
      <c r="U310" t="b">
        <f>IF(ROW()-ROW($U$1) &lt;= FILLME!$G$11, TRUE, FALSE)</f>
        <v>0</v>
      </c>
    </row>
    <row r="311" spans="1:21" x14ac:dyDescent="0.25">
      <c r="A311" s="7" t="str">
        <f>FILLME!$B$7</f>
        <v>ISCO</v>
      </c>
      <c r="B311" t="str">
        <f>IF(FILLME!$B$3 = "", "", FILLME!$B$3)</f>
        <v/>
      </c>
      <c r="C311" s="67" t="str">
        <f>IF(FILLME!$B$7="ISCO",FILLME!$E$4,IF(FILLME!$B$7="Grab",FILLME!$E$5))</f>
        <v>IS</v>
      </c>
      <c r="D311" t="str">
        <f>IF(FILLME!$B$4 = "", "", FILLME!$B$4)</f>
        <v>SSEMG</v>
      </c>
      <c r="E311" s="7" t="str">
        <f>TEXT(FILLME!$B$6,"yyyymmdd")</f>
        <v>20260223</v>
      </c>
      <c r="F311" s="8"/>
      <c r="G311" s="7">
        <f>IF(FILLME!$B$7="ISCO",FILLME!$B$6+FILLME!$B$11+(FILLME!$B$13*(H311-FILLME!$B$14)),FILLME!$B$6)</f>
        <v>46076.916666666664</v>
      </c>
      <c r="H311" s="8"/>
      <c r="I311" s="8"/>
      <c r="J311" s="2"/>
      <c r="K311" s="9" t="str">
        <f t="shared" si="12"/>
        <v>_00</v>
      </c>
      <c r="L311" s="10" t="str">
        <f t="shared" si="13"/>
        <v>SSEMG__20260223_00</v>
      </c>
      <c r="M311" s="10" t="str">
        <f t="shared" si="14"/>
        <v>SSEMG__IS_20260223_0000</v>
      </c>
      <c r="N311" t="b">
        <f>IF(ROW()-ROW($N$1) &lt;= FILLME!$G$4, TRUE, FALSE)</f>
        <v>0</v>
      </c>
      <c r="O311" t="b">
        <f>IF(ROW()-ROW($O$1) &lt;= FILLME!$G$5, TRUE, FALSE)</f>
        <v>0</v>
      </c>
      <c r="P311" t="b">
        <f>IF(ROW()-ROW($P$1) &lt;= FILLME!$G$7, TRUE, FALSE)</f>
        <v>0</v>
      </c>
      <c r="Q311" t="b">
        <f>IF(ROW()-ROW($Q$1) &lt;= FILLME!$G$6, TRUE, FALSE)</f>
        <v>0</v>
      </c>
      <c r="R311" t="b">
        <f>IF(ROW()-ROW($R$1) &lt;= FILLME!$G$8, TRUE, FALSE)</f>
        <v>0</v>
      </c>
      <c r="S311" t="b">
        <f>IF(ROW()-ROW($S$1) &lt;= FILLME!$G$9, TRUE, FALSE)</f>
        <v>0</v>
      </c>
      <c r="T311" t="b">
        <f>IF(ROW()-ROW($T$1) &lt;= FILLME!$G$10, TRUE, FALSE)</f>
        <v>0</v>
      </c>
      <c r="U311" t="b">
        <f>IF(ROW()-ROW($U$1) &lt;= FILLME!$G$11, TRUE, FALSE)</f>
        <v>0</v>
      </c>
    </row>
    <row r="312" spans="1:21" x14ac:dyDescent="0.25">
      <c r="A312" s="7" t="str">
        <f>FILLME!$B$7</f>
        <v>ISCO</v>
      </c>
      <c r="B312" t="str">
        <f>IF(FILLME!$B$3 = "", "", FILLME!$B$3)</f>
        <v/>
      </c>
      <c r="C312" s="67" t="str">
        <f>IF(FILLME!$B$7="ISCO",FILLME!$E$4,IF(FILLME!$B$7="Grab",FILLME!$E$5))</f>
        <v>IS</v>
      </c>
      <c r="D312" t="str">
        <f>IF(FILLME!$B$4 = "", "", FILLME!$B$4)</f>
        <v>SSEMG</v>
      </c>
      <c r="E312" s="7" t="str">
        <f>TEXT(FILLME!$B$6,"yyyymmdd")</f>
        <v>20260223</v>
      </c>
      <c r="F312" s="8"/>
      <c r="G312" s="7">
        <f>IF(FILLME!$B$7="ISCO",FILLME!$B$6+FILLME!$B$11+(FILLME!$B$13*(H312-FILLME!$B$14)),FILLME!$B$6)</f>
        <v>46076.916666666664</v>
      </c>
      <c r="H312" s="8"/>
      <c r="I312" s="8"/>
      <c r="J312" s="2"/>
      <c r="K312" s="9" t="str">
        <f t="shared" si="12"/>
        <v>_00</v>
      </c>
      <c r="L312" s="10" t="str">
        <f t="shared" si="13"/>
        <v>SSEMG__20260223_00</v>
      </c>
      <c r="M312" s="10" t="str">
        <f t="shared" si="14"/>
        <v>SSEMG__IS_20260223_0000</v>
      </c>
      <c r="N312" t="b">
        <f>IF(ROW()-ROW($N$1) &lt;= FILLME!$G$4, TRUE, FALSE)</f>
        <v>0</v>
      </c>
      <c r="O312" t="b">
        <f>IF(ROW()-ROW($O$1) &lt;= FILLME!$G$5, TRUE, FALSE)</f>
        <v>0</v>
      </c>
      <c r="P312" t="b">
        <f>IF(ROW()-ROW($P$1) &lt;= FILLME!$G$7, TRUE, FALSE)</f>
        <v>0</v>
      </c>
      <c r="Q312" t="b">
        <f>IF(ROW()-ROW($Q$1) &lt;= FILLME!$G$6, TRUE, FALSE)</f>
        <v>0</v>
      </c>
      <c r="R312" t="b">
        <f>IF(ROW()-ROW($R$1) &lt;= FILLME!$G$8, TRUE, FALSE)</f>
        <v>0</v>
      </c>
      <c r="S312" t="b">
        <f>IF(ROW()-ROW($S$1) &lt;= FILLME!$G$9, TRUE, FALSE)</f>
        <v>0</v>
      </c>
      <c r="T312" t="b">
        <f>IF(ROW()-ROW($T$1) &lt;= FILLME!$G$10, TRUE, FALSE)</f>
        <v>0</v>
      </c>
      <c r="U312" t="b">
        <f>IF(ROW()-ROW($U$1) &lt;= FILLME!$G$11, TRUE, FALSE)</f>
        <v>0</v>
      </c>
    </row>
    <row r="313" spans="1:21" x14ac:dyDescent="0.25">
      <c r="A313" s="7" t="str">
        <f>FILLME!$B$7</f>
        <v>ISCO</v>
      </c>
      <c r="B313" t="str">
        <f>IF(FILLME!$B$3 = "", "", FILLME!$B$3)</f>
        <v/>
      </c>
      <c r="C313" s="67" t="str">
        <f>IF(FILLME!$B$7="ISCO",FILLME!$E$4,IF(FILLME!$B$7="Grab",FILLME!$E$5))</f>
        <v>IS</v>
      </c>
      <c r="D313" t="str">
        <f>IF(FILLME!$B$4 = "", "", FILLME!$B$4)</f>
        <v>SSEMG</v>
      </c>
      <c r="E313" s="7" t="str">
        <f>TEXT(FILLME!$B$6,"yyyymmdd")</f>
        <v>20260223</v>
      </c>
      <c r="F313" s="8"/>
      <c r="G313" s="7">
        <f>IF(FILLME!$B$7="ISCO",FILLME!$B$6+FILLME!$B$11+(FILLME!$B$13*(H313-FILLME!$B$14)),FILLME!$B$6)</f>
        <v>46076.916666666664</v>
      </c>
      <c r="H313" s="8"/>
      <c r="I313" s="8"/>
      <c r="J313" s="2"/>
      <c r="K313" s="9" t="str">
        <f t="shared" si="12"/>
        <v>_00</v>
      </c>
      <c r="L313" s="10" t="str">
        <f t="shared" si="13"/>
        <v>SSEMG__20260223_00</v>
      </c>
      <c r="M313" s="10" t="str">
        <f t="shared" si="14"/>
        <v>SSEMG__IS_20260223_0000</v>
      </c>
      <c r="N313" t="b">
        <f>IF(ROW()-ROW($N$1) &lt;= FILLME!$G$4, TRUE, FALSE)</f>
        <v>0</v>
      </c>
      <c r="O313" t="b">
        <f>IF(ROW()-ROW($O$1) &lt;= FILLME!$G$5, TRUE, FALSE)</f>
        <v>0</v>
      </c>
      <c r="P313" t="b">
        <f>IF(ROW()-ROW($P$1) &lt;= FILLME!$G$7, TRUE, FALSE)</f>
        <v>0</v>
      </c>
      <c r="Q313" t="b">
        <f>IF(ROW()-ROW($Q$1) &lt;= FILLME!$G$6, TRUE, FALSE)</f>
        <v>0</v>
      </c>
      <c r="R313" t="b">
        <f>IF(ROW()-ROW($R$1) &lt;= FILLME!$G$8, TRUE, FALSE)</f>
        <v>0</v>
      </c>
      <c r="S313" t="b">
        <f>IF(ROW()-ROW($S$1) &lt;= FILLME!$G$9, TRUE, FALSE)</f>
        <v>0</v>
      </c>
      <c r="T313" t="b">
        <f>IF(ROW()-ROW($T$1) &lt;= FILLME!$G$10, TRUE, FALSE)</f>
        <v>0</v>
      </c>
      <c r="U313" t="b">
        <f>IF(ROW()-ROW($U$1) &lt;= FILLME!$G$11, TRUE, FALSE)</f>
        <v>0</v>
      </c>
    </row>
    <row r="314" spans="1:21" x14ac:dyDescent="0.25">
      <c r="A314" s="7" t="str">
        <f>FILLME!$B$7</f>
        <v>ISCO</v>
      </c>
      <c r="B314" t="str">
        <f>IF(FILLME!$B$3 = "", "", FILLME!$B$3)</f>
        <v/>
      </c>
      <c r="C314" s="67" t="str">
        <f>IF(FILLME!$B$7="ISCO",FILLME!$E$4,IF(FILLME!$B$7="Grab",FILLME!$E$5))</f>
        <v>IS</v>
      </c>
      <c r="D314" t="str">
        <f>IF(FILLME!$B$4 = "", "", FILLME!$B$4)</f>
        <v>SSEMG</v>
      </c>
      <c r="E314" s="7" t="str">
        <f>TEXT(FILLME!$B$6,"yyyymmdd")</f>
        <v>20260223</v>
      </c>
      <c r="F314" s="8"/>
      <c r="G314" s="7">
        <f>IF(FILLME!$B$7="ISCO",FILLME!$B$6+FILLME!$B$11+(FILLME!$B$13*(H314-FILLME!$B$14)),FILLME!$B$6)</f>
        <v>46076.916666666664</v>
      </c>
      <c r="H314" s="8"/>
      <c r="I314" s="8"/>
      <c r="J314" s="2"/>
      <c r="K314" s="9" t="str">
        <f t="shared" si="12"/>
        <v>_00</v>
      </c>
      <c r="L314" s="10" t="str">
        <f t="shared" si="13"/>
        <v>SSEMG__20260223_00</v>
      </c>
      <c r="M314" s="10" t="str">
        <f t="shared" si="14"/>
        <v>SSEMG__IS_20260223_0000</v>
      </c>
      <c r="N314" t="b">
        <f>IF(ROW()-ROW($N$1) &lt;= FILLME!$G$4, TRUE, FALSE)</f>
        <v>0</v>
      </c>
      <c r="O314" t="b">
        <f>IF(ROW()-ROW($O$1) &lt;= FILLME!$G$5, TRUE, FALSE)</f>
        <v>0</v>
      </c>
      <c r="P314" t="b">
        <f>IF(ROW()-ROW($P$1) &lt;= FILLME!$G$7, TRUE, FALSE)</f>
        <v>0</v>
      </c>
      <c r="Q314" t="b">
        <f>IF(ROW()-ROW($Q$1) &lt;= FILLME!$G$6, TRUE, FALSE)</f>
        <v>0</v>
      </c>
      <c r="R314" t="b">
        <f>IF(ROW()-ROW($R$1) &lt;= FILLME!$G$8, TRUE, FALSE)</f>
        <v>0</v>
      </c>
      <c r="S314" t="b">
        <f>IF(ROW()-ROW($S$1) &lt;= FILLME!$G$9, TRUE, FALSE)</f>
        <v>0</v>
      </c>
      <c r="T314" t="b">
        <f>IF(ROW()-ROW($T$1) &lt;= FILLME!$G$10, TRUE, FALSE)</f>
        <v>0</v>
      </c>
      <c r="U314" t="b">
        <f>IF(ROW()-ROW($U$1) &lt;= FILLME!$G$11, TRUE, FALSE)</f>
        <v>0</v>
      </c>
    </row>
    <row r="315" spans="1:21" x14ac:dyDescent="0.25">
      <c r="A315" s="7" t="str">
        <f>FILLME!$B$7</f>
        <v>ISCO</v>
      </c>
      <c r="B315" t="str">
        <f>IF(FILLME!$B$3 = "", "", FILLME!$B$3)</f>
        <v/>
      </c>
      <c r="C315" s="67" t="str">
        <f>IF(FILLME!$B$7="ISCO",FILLME!$E$4,IF(FILLME!$B$7="Grab",FILLME!$E$5))</f>
        <v>IS</v>
      </c>
      <c r="D315" t="str">
        <f>IF(FILLME!$B$4 = "", "", FILLME!$B$4)</f>
        <v>SSEMG</v>
      </c>
      <c r="E315" s="7" t="str">
        <f>TEXT(FILLME!$B$6,"yyyymmdd")</f>
        <v>20260223</v>
      </c>
      <c r="F315" s="8"/>
      <c r="G315" s="7">
        <f>IF(FILLME!$B$7="ISCO",FILLME!$B$6+FILLME!$B$11+(FILLME!$B$13*(H315-FILLME!$B$14)),FILLME!$B$6)</f>
        <v>46076.916666666664</v>
      </c>
      <c r="H315" s="8"/>
      <c r="I315" s="8"/>
      <c r="J315" s="2"/>
      <c r="K315" s="9" t="str">
        <f t="shared" si="12"/>
        <v>_00</v>
      </c>
      <c r="L315" s="10" t="str">
        <f t="shared" si="13"/>
        <v>SSEMG__20260223_00</v>
      </c>
      <c r="M315" s="10" t="str">
        <f t="shared" si="14"/>
        <v>SSEMG__IS_20260223_0000</v>
      </c>
      <c r="N315" t="b">
        <f>IF(ROW()-ROW($N$1) &lt;= FILLME!$G$4, TRUE, FALSE)</f>
        <v>0</v>
      </c>
      <c r="O315" t="b">
        <f>IF(ROW()-ROW($O$1) &lt;= FILLME!$G$5, TRUE, FALSE)</f>
        <v>0</v>
      </c>
      <c r="P315" t="b">
        <f>IF(ROW()-ROW($P$1) &lt;= FILLME!$G$7, TRUE, FALSE)</f>
        <v>0</v>
      </c>
      <c r="Q315" t="b">
        <f>IF(ROW()-ROW($Q$1) &lt;= FILLME!$G$6, TRUE, FALSE)</f>
        <v>0</v>
      </c>
      <c r="R315" t="b">
        <f>IF(ROW()-ROW($R$1) &lt;= FILLME!$G$8, TRUE, FALSE)</f>
        <v>0</v>
      </c>
      <c r="S315" t="b">
        <f>IF(ROW()-ROW($S$1) &lt;= FILLME!$G$9, TRUE, FALSE)</f>
        <v>0</v>
      </c>
      <c r="T315" t="b">
        <f>IF(ROW()-ROW($T$1) &lt;= FILLME!$G$10, TRUE, FALSE)</f>
        <v>0</v>
      </c>
      <c r="U315" t="b">
        <f>IF(ROW()-ROW($U$1) &lt;= FILLME!$G$11, TRUE, FALSE)</f>
        <v>0</v>
      </c>
    </row>
    <row r="316" spans="1:21" x14ac:dyDescent="0.25">
      <c r="A316" s="7" t="str">
        <f>FILLME!$B$7</f>
        <v>ISCO</v>
      </c>
      <c r="B316" t="str">
        <f>IF(FILLME!$B$3 = "", "", FILLME!$B$3)</f>
        <v/>
      </c>
      <c r="C316" s="67" t="str">
        <f>IF(FILLME!$B$7="ISCO",FILLME!$E$4,IF(FILLME!$B$7="Grab",FILLME!$E$5))</f>
        <v>IS</v>
      </c>
      <c r="D316" t="str">
        <f>IF(FILLME!$B$4 = "", "", FILLME!$B$4)</f>
        <v>SSEMG</v>
      </c>
      <c r="E316" s="7" t="str">
        <f>TEXT(FILLME!$B$6,"yyyymmdd")</f>
        <v>20260223</v>
      </c>
      <c r="F316" s="8"/>
      <c r="G316" s="7">
        <f>IF(FILLME!$B$7="ISCO",FILLME!$B$6+FILLME!$B$11+(FILLME!$B$13*(H316-FILLME!$B$14)),FILLME!$B$6)</f>
        <v>46076.916666666664</v>
      </c>
      <c r="H316" s="8"/>
      <c r="I316" s="8"/>
      <c r="J316" s="2"/>
      <c r="K316" s="9" t="str">
        <f t="shared" si="12"/>
        <v>_00</v>
      </c>
      <c r="L316" s="10" t="str">
        <f t="shared" si="13"/>
        <v>SSEMG__20260223_00</v>
      </c>
      <c r="M316" s="10" t="str">
        <f t="shared" si="14"/>
        <v>SSEMG__IS_20260223_0000</v>
      </c>
      <c r="N316" t="b">
        <f>IF(ROW()-ROW($N$1) &lt;= FILLME!$G$4, TRUE, FALSE)</f>
        <v>0</v>
      </c>
      <c r="O316" t="b">
        <f>IF(ROW()-ROW($O$1) &lt;= FILLME!$G$5, TRUE, FALSE)</f>
        <v>0</v>
      </c>
      <c r="P316" t="b">
        <f>IF(ROW()-ROW($P$1) &lt;= FILLME!$G$7, TRUE, FALSE)</f>
        <v>0</v>
      </c>
      <c r="Q316" t="b">
        <f>IF(ROW()-ROW($Q$1) &lt;= FILLME!$G$6, TRUE, FALSE)</f>
        <v>0</v>
      </c>
      <c r="R316" t="b">
        <f>IF(ROW()-ROW($R$1) &lt;= FILLME!$G$8, TRUE, FALSE)</f>
        <v>0</v>
      </c>
      <c r="S316" t="b">
        <f>IF(ROW()-ROW($S$1) &lt;= FILLME!$G$9, TRUE, FALSE)</f>
        <v>0</v>
      </c>
      <c r="T316" t="b">
        <f>IF(ROW()-ROW($T$1) &lt;= FILLME!$G$10, TRUE, FALSE)</f>
        <v>0</v>
      </c>
      <c r="U316" t="b">
        <f>IF(ROW()-ROW($U$1) &lt;= FILLME!$G$11, TRUE, FALSE)</f>
        <v>0</v>
      </c>
    </row>
    <row r="317" spans="1:21" x14ac:dyDescent="0.25">
      <c r="A317" s="7" t="str">
        <f>FILLME!$B$7</f>
        <v>ISCO</v>
      </c>
      <c r="B317" t="str">
        <f>IF(FILLME!$B$3 = "", "", FILLME!$B$3)</f>
        <v/>
      </c>
      <c r="C317" s="67" t="str">
        <f>IF(FILLME!$B$7="ISCO",FILLME!$E$4,IF(FILLME!$B$7="Grab",FILLME!$E$5))</f>
        <v>IS</v>
      </c>
      <c r="D317" t="str">
        <f>IF(FILLME!$B$4 = "", "", FILLME!$B$4)</f>
        <v>SSEMG</v>
      </c>
      <c r="E317" s="7" t="str">
        <f>TEXT(FILLME!$B$6,"yyyymmdd")</f>
        <v>20260223</v>
      </c>
      <c r="F317" s="8"/>
      <c r="G317" s="7">
        <f>IF(FILLME!$B$7="ISCO",FILLME!$B$6+FILLME!$B$11+(FILLME!$B$13*(H317-FILLME!$B$14)),FILLME!$B$6)</f>
        <v>46076.916666666664</v>
      </c>
      <c r="H317" s="8"/>
      <c r="I317" s="8"/>
      <c r="J317" s="2"/>
      <c r="K317" s="9" t="str">
        <f t="shared" si="12"/>
        <v>_00</v>
      </c>
      <c r="L317" s="10" t="str">
        <f t="shared" si="13"/>
        <v>SSEMG__20260223_00</v>
      </c>
      <c r="M317" s="10" t="str">
        <f t="shared" si="14"/>
        <v>SSEMG__IS_20260223_0000</v>
      </c>
      <c r="N317" t="b">
        <f>IF(ROW()-ROW($N$1) &lt;= FILLME!$G$4, TRUE, FALSE)</f>
        <v>0</v>
      </c>
      <c r="O317" t="b">
        <f>IF(ROW()-ROW($O$1) &lt;= FILLME!$G$5, TRUE, FALSE)</f>
        <v>0</v>
      </c>
      <c r="P317" t="b">
        <f>IF(ROW()-ROW($P$1) &lt;= FILLME!$G$7, TRUE, FALSE)</f>
        <v>0</v>
      </c>
      <c r="Q317" t="b">
        <f>IF(ROW()-ROW($Q$1) &lt;= FILLME!$G$6, TRUE, FALSE)</f>
        <v>0</v>
      </c>
      <c r="R317" t="b">
        <f>IF(ROW()-ROW($R$1) &lt;= FILLME!$G$8, TRUE, FALSE)</f>
        <v>0</v>
      </c>
      <c r="S317" t="b">
        <f>IF(ROW()-ROW($S$1) &lt;= FILLME!$G$9, TRUE, FALSE)</f>
        <v>0</v>
      </c>
      <c r="T317" t="b">
        <f>IF(ROW()-ROW($T$1) &lt;= FILLME!$G$10, TRUE, FALSE)</f>
        <v>0</v>
      </c>
      <c r="U317" t="b">
        <f>IF(ROW()-ROW($U$1) &lt;= FILLME!$G$11, TRUE, FALSE)</f>
        <v>0</v>
      </c>
    </row>
    <row r="318" spans="1:21" x14ac:dyDescent="0.25">
      <c r="A318" s="7" t="str">
        <f>FILLME!$B$7</f>
        <v>ISCO</v>
      </c>
      <c r="B318" t="str">
        <f>IF(FILLME!$B$3 = "", "", FILLME!$B$3)</f>
        <v/>
      </c>
      <c r="C318" s="67" t="str">
        <f>IF(FILLME!$B$7="ISCO",FILLME!$E$4,IF(FILLME!$B$7="Grab",FILLME!$E$5))</f>
        <v>IS</v>
      </c>
      <c r="D318" t="str">
        <f>IF(FILLME!$B$4 = "", "", FILLME!$B$4)</f>
        <v>SSEMG</v>
      </c>
      <c r="E318" s="7" t="str">
        <f>TEXT(FILLME!$B$6,"yyyymmdd")</f>
        <v>20260223</v>
      </c>
      <c r="F318" s="8"/>
      <c r="G318" s="7">
        <f>IF(FILLME!$B$7="ISCO",FILLME!$B$6+FILLME!$B$11+(FILLME!$B$13*(H318-FILLME!$B$14)),FILLME!$B$6)</f>
        <v>46076.916666666664</v>
      </c>
      <c r="H318" s="8"/>
      <c r="I318" s="8"/>
      <c r="J318" s="2"/>
      <c r="K318" s="9" t="str">
        <f t="shared" si="12"/>
        <v>_00</v>
      </c>
      <c r="L318" s="10" t="str">
        <f t="shared" si="13"/>
        <v>SSEMG__20260223_00</v>
      </c>
      <c r="M318" s="10" t="str">
        <f t="shared" si="14"/>
        <v>SSEMG__IS_20260223_0000</v>
      </c>
      <c r="N318" t="b">
        <f>IF(ROW()-ROW($N$1) &lt;= FILLME!$G$4, TRUE, FALSE)</f>
        <v>0</v>
      </c>
      <c r="O318" t="b">
        <f>IF(ROW()-ROW($O$1) &lt;= FILLME!$G$5, TRUE, FALSE)</f>
        <v>0</v>
      </c>
      <c r="P318" t="b">
        <f>IF(ROW()-ROW($P$1) &lt;= FILLME!$G$7, TRUE, FALSE)</f>
        <v>0</v>
      </c>
      <c r="Q318" t="b">
        <f>IF(ROW()-ROW($Q$1) &lt;= FILLME!$G$6, TRUE, FALSE)</f>
        <v>0</v>
      </c>
      <c r="R318" t="b">
        <f>IF(ROW()-ROW($R$1) &lt;= FILLME!$G$8, TRUE, FALSE)</f>
        <v>0</v>
      </c>
      <c r="S318" t="b">
        <f>IF(ROW()-ROW($S$1) &lt;= FILLME!$G$9, TRUE, FALSE)</f>
        <v>0</v>
      </c>
      <c r="T318" t="b">
        <f>IF(ROW()-ROW($T$1) &lt;= FILLME!$G$10, TRUE, FALSE)</f>
        <v>0</v>
      </c>
      <c r="U318" t="b">
        <f>IF(ROW()-ROW($U$1) &lt;= FILLME!$G$11, TRUE, FALSE)</f>
        <v>0</v>
      </c>
    </row>
    <row r="319" spans="1:21" x14ac:dyDescent="0.25">
      <c r="A319" s="7" t="str">
        <f>FILLME!$B$7</f>
        <v>ISCO</v>
      </c>
      <c r="B319" t="str">
        <f>IF(FILLME!$B$3 = "", "", FILLME!$B$3)</f>
        <v/>
      </c>
      <c r="C319" s="67" t="str">
        <f>IF(FILLME!$B$7="ISCO",FILLME!$E$4,IF(FILLME!$B$7="Grab",FILLME!$E$5))</f>
        <v>IS</v>
      </c>
      <c r="D319" t="str">
        <f>IF(FILLME!$B$4 = "", "", FILLME!$B$4)</f>
        <v>SSEMG</v>
      </c>
      <c r="E319" s="7" t="str">
        <f>TEXT(FILLME!$B$6,"yyyymmdd")</f>
        <v>20260223</v>
      </c>
      <c r="F319" s="8"/>
      <c r="G319" s="7">
        <f>IF(FILLME!$B$7="ISCO",FILLME!$B$6+FILLME!$B$11+(FILLME!$B$13*(H319-FILLME!$B$14)),FILLME!$B$6)</f>
        <v>46076.916666666664</v>
      </c>
      <c r="H319" s="8"/>
      <c r="I319" s="8"/>
      <c r="J319" s="2"/>
      <c r="K319" s="9" t="str">
        <f t="shared" si="12"/>
        <v>_00</v>
      </c>
      <c r="L319" s="10" t="str">
        <f t="shared" si="13"/>
        <v>SSEMG__20260223_00</v>
      </c>
      <c r="M319" s="10" t="str">
        <f t="shared" si="14"/>
        <v>SSEMG__IS_20260223_0000</v>
      </c>
      <c r="N319" t="b">
        <f>IF(ROW()-ROW($N$1) &lt;= FILLME!$G$4, TRUE, FALSE)</f>
        <v>0</v>
      </c>
      <c r="O319" t="b">
        <f>IF(ROW()-ROW($O$1) &lt;= FILLME!$G$5, TRUE, FALSE)</f>
        <v>0</v>
      </c>
      <c r="P319" t="b">
        <f>IF(ROW()-ROW($P$1) &lt;= FILLME!$G$7, TRUE, FALSE)</f>
        <v>0</v>
      </c>
      <c r="Q319" t="b">
        <f>IF(ROW()-ROW($Q$1) &lt;= FILLME!$G$6, TRUE, FALSE)</f>
        <v>0</v>
      </c>
      <c r="R319" t="b">
        <f>IF(ROW()-ROW($R$1) &lt;= FILLME!$G$8, TRUE, FALSE)</f>
        <v>0</v>
      </c>
      <c r="S319" t="b">
        <f>IF(ROW()-ROW($S$1) &lt;= FILLME!$G$9, TRUE, FALSE)</f>
        <v>0</v>
      </c>
      <c r="T319" t="b">
        <f>IF(ROW()-ROW($T$1) &lt;= FILLME!$G$10, TRUE, FALSE)</f>
        <v>0</v>
      </c>
      <c r="U319" t="b">
        <f>IF(ROW()-ROW($U$1) &lt;= FILLME!$G$11, TRUE, FALSE)</f>
        <v>0</v>
      </c>
    </row>
    <row r="320" spans="1:21" x14ac:dyDescent="0.25">
      <c r="A320" s="7" t="str">
        <f>FILLME!$B$7</f>
        <v>ISCO</v>
      </c>
      <c r="B320" t="str">
        <f>IF(FILLME!$B$3 = "", "", FILLME!$B$3)</f>
        <v/>
      </c>
      <c r="C320" s="67" t="str">
        <f>IF(FILLME!$B$7="ISCO",FILLME!$E$4,IF(FILLME!$B$7="Grab",FILLME!$E$5))</f>
        <v>IS</v>
      </c>
      <c r="D320" t="str">
        <f>IF(FILLME!$B$4 = "", "", FILLME!$B$4)</f>
        <v>SSEMG</v>
      </c>
      <c r="E320" s="7" t="str">
        <f>TEXT(FILLME!$B$6,"yyyymmdd")</f>
        <v>20260223</v>
      </c>
      <c r="F320" s="8"/>
      <c r="G320" s="7">
        <f>IF(FILLME!$B$7="ISCO",FILLME!$B$6+FILLME!$B$11+(FILLME!$B$13*(H320-FILLME!$B$14)),FILLME!$B$6)</f>
        <v>46076.916666666664</v>
      </c>
      <c r="H320" s="8"/>
      <c r="I320" s="8"/>
      <c r="J320" s="2"/>
      <c r="K320" s="9" t="str">
        <f t="shared" si="12"/>
        <v>_00</v>
      </c>
      <c r="L320" s="10" t="str">
        <f t="shared" si="13"/>
        <v>SSEMG__20260223_00</v>
      </c>
      <c r="M320" s="10" t="str">
        <f t="shared" si="14"/>
        <v>SSEMG__IS_20260223_0000</v>
      </c>
      <c r="N320" t="b">
        <f>IF(ROW()-ROW($N$1) &lt;= FILLME!$G$4, TRUE, FALSE)</f>
        <v>0</v>
      </c>
      <c r="O320" t="b">
        <f>IF(ROW()-ROW($O$1) &lt;= FILLME!$G$5, TRUE, FALSE)</f>
        <v>0</v>
      </c>
      <c r="P320" t="b">
        <f>IF(ROW()-ROW($P$1) &lt;= FILLME!$G$7, TRUE, FALSE)</f>
        <v>0</v>
      </c>
      <c r="Q320" t="b">
        <f>IF(ROW()-ROW($Q$1) &lt;= FILLME!$G$6, TRUE, FALSE)</f>
        <v>0</v>
      </c>
      <c r="R320" t="b">
        <f>IF(ROW()-ROW($R$1) &lt;= FILLME!$G$8, TRUE, FALSE)</f>
        <v>0</v>
      </c>
      <c r="S320" t="b">
        <f>IF(ROW()-ROW($S$1) &lt;= FILLME!$G$9, TRUE, FALSE)</f>
        <v>0</v>
      </c>
      <c r="T320" t="b">
        <f>IF(ROW()-ROW($T$1) &lt;= FILLME!$G$10, TRUE, FALSE)</f>
        <v>0</v>
      </c>
      <c r="U320" t="b">
        <f>IF(ROW()-ROW($U$1) &lt;= FILLME!$G$11, TRUE, FALSE)</f>
        <v>0</v>
      </c>
    </row>
    <row r="321" spans="1:21" x14ac:dyDescent="0.25">
      <c r="A321" s="7" t="str">
        <f>FILLME!$B$7</f>
        <v>ISCO</v>
      </c>
      <c r="B321" t="str">
        <f>IF(FILLME!$B$3 = "", "", FILLME!$B$3)</f>
        <v/>
      </c>
      <c r="C321" s="67" t="str">
        <f>IF(FILLME!$B$7="ISCO",FILLME!$E$4,IF(FILLME!$B$7="Grab",FILLME!$E$5))</f>
        <v>IS</v>
      </c>
      <c r="D321" t="str">
        <f>IF(FILLME!$B$4 = "", "", FILLME!$B$4)</f>
        <v>SSEMG</v>
      </c>
      <c r="E321" s="7" t="str">
        <f>TEXT(FILLME!$B$6,"yyyymmdd")</f>
        <v>20260223</v>
      </c>
      <c r="F321" s="8"/>
      <c r="G321" s="7">
        <f>IF(FILLME!$B$7="ISCO",FILLME!$B$6+FILLME!$B$11+(FILLME!$B$13*(H321-FILLME!$B$14)),FILLME!$B$6)</f>
        <v>46076.916666666664</v>
      </c>
      <c r="H321" s="8"/>
      <c r="I321" s="8"/>
      <c r="J321" s="2"/>
      <c r="K321" s="9" t="str">
        <f t="shared" si="12"/>
        <v>_00</v>
      </c>
      <c r="L321" s="10" t="str">
        <f t="shared" si="13"/>
        <v>SSEMG__20260223_00</v>
      </c>
      <c r="M321" s="10" t="str">
        <f t="shared" si="14"/>
        <v>SSEMG__IS_20260223_0000</v>
      </c>
      <c r="N321" t="b">
        <f>IF(ROW()-ROW($N$1) &lt;= FILLME!$G$4, TRUE, FALSE)</f>
        <v>0</v>
      </c>
      <c r="O321" t="b">
        <f>IF(ROW()-ROW($O$1) &lt;= FILLME!$G$5, TRUE, FALSE)</f>
        <v>0</v>
      </c>
      <c r="P321" t="b">
        <f>IF(ROW()-ROW($P$1) &lt;= FILLME!$G$7, TRUE, FALSE)</f>
        <v>0</v>
      </c>
      <c r="Q321" t="b">
        <f>IF(ROW()-ROW($Q$1) &lt;= FILLME!$G$6, TRUE, FALSE)</f>
        <v>0</v>
      </c>
      <c r="R321" t="b">
        <f>IF(ROW()-ROW($R$1) &lt;= FILLME!$G$8, TRUE, FALSE)</f>
        <v>0</v>
      </c>
      <c r="S321" t="b">
        <f>IF(ROW()-ROW($S$1) &lt;= FILLME!$G$9, TRUE, FALSE)</f>
        <v>0</v>
      </c>
      <c r="T321" t="b">
        <f>IF(ROW()-ROW($T$1) &lt;= FILLME!$G$10, TRUE, FALSE)</f>
        <v>0</v>
      </c>
      <c r="U321" t="b">
        <f>IF(ROW()-ROW($U$1) &lt;= FILLME!$G$11, TRUE, FALSE)</f>
        <v>0</v>
      </c>
    </row>
  </sheetData>
  <conditionalFormatting sqref="A1:D1 A2:A321">
    <cfRule type="expression" dxfId="23" priority="5">
      <formula>#REF!="Shipped"</formula>
    </cfRule>
  </conditionalFormatting>
  <conditionalFormatting sqref="B1:G1 A1:A321">
    <cfRule type="expression" dxfId="22" priority="4">
      <formula>#REF!="Aqualog"</formula>
    </cfRule>
  </conditionalFormatting>
  <conditionalFormatting sqref="E1:G1 J1">
    <cfRule type="expression" dxfId="21" priority="6">
      <formula>$B1048576="Shipped"</formula>
    </cfRule>
  </conditionalFormatting>
  <conditionalFormatting sqref="J1:L321 M2:M321">
    <cfRule type="expression" dxfId="20" priority="3">
      <formula>#REF!="Shipped"</formula>
    </cfRule>
  </conditionalFormatting>
  <conditionalFormatting sqref="J1:M1 J2:L321">
    <cfRule type="expression" dxfId="19" priority="7">
      <formula>#REF!="Aqualog"</formula>
    </cfRule>
  </conditionalFormatting>
  <conditionalFormatting sqref="M2:M321">
    <cfRule type="expression" dxfId="18" priority="8">
      <formula>$J3="Aqualog"</formula>
    </cfRule>
  </conditionalFormatting>
  <conditionalFormatting sqref="N2:U321">
    <cfRule type="cellIs" dxfId="17" priority="1" operator="equal">
      <formula>TRUE</formula>
    </cfRule>
    <cfRule type="cellIs" dxfId="16" priority="2" operator="equal">
      <formula>FALSE</formula>
    </cfRule>
  </conditionalFormatting>
  <conditionalFormatting sqref="P1:U1">
    <cfRule type="expression" dxfId="15" priority="9">
      <formula>$G1="Aqualog"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E055-B7C3-44FA-A188-01D6876646C4}">
  <dimension ref="A1:B321"/>
  <sheetViews>
    <sheetView topLeftCell="A10" workbookViewId="0">
      <selection activeCell="D19" sqref="D19"/>
    </sheetView>
  </sheetViews>
  <sheetFormatPr defaultRowHeight="15" x14ac:dyDescent="0.25"/>
  <cols>
    <col min="1" max="1" width="14.42578125" style="2" customWidth="1"/>
    <col min="2" max="2" width="8.7109375" customWidth="1"/>
  </cols>
  <sheetData>
    <row r="1" spans="1:2" x14ac:dyDescent="0.25">
      <c r="A1" s="3" t="s">
        <v>92</v>
      </c>
      <c r="B1" s="69" t="s">
        <v>93</v>
      </c>
    </row>
    <row r="2" spans="1:2" x14ac:dyDescent="0.25">
      <c r="A2" s="2" cm="1">
        <f t="array" aca="1" ref="A2:A101" ca="1">_xlfn.SORTBY(_xlfn.SEQUENCE((FILLME!B16*FILLME!B5+FILLME!B18),1,1,1),_xlfn.RANDARRAY(FILLME!B16*FILLME!B5+FILLME!B18))</f>
        <v>89</v>
      </c>
      <c r="B2">
        <v>41</v>
      </c>
    </row>
    <row r="3" spans="1:2" x14ac:dyDescent="0.25">
      <c r="A3" s="2">
        <f ca="1"/>
        <v>24</v>
      </c>
      <c r="B3">
        <v>90</v>
      </c>
    </row>
    <row r="4" spans="1:2" x14ac:dyDescent="0.25">
      <c r="A4" s="2">
        <f ca="1"/>
        <v>25</v>
      </c>
      <c r="B4">
        <v>30</v>
      </c>
    </row>
    <row r="5" spans="1:2" x14ac:dyDescent="0.25">
      <c r="A5" s="2">
        <f ca="1"/>
        <v>75</v>
      </c>
      <c r="B5">
        <v>37</v>
      </c>
    </row>
    <row r="6" spans="1:2" x14ac:dyDescent="0.25">
      <c r="A6" s="2">
        <f ca="1"/>
        <v>12</v>
      </c>
      <c r="B6">
        <v>2</v>
      </c>
    </row>
    <row r="7" spans="1:2" x14ac:dyDescent="0.25">
      <c r="A7" s="2">
        <f ca="1"/>
        <v>73</v>
      </c>
      <c r="B7">
        <v>61</v>
      </c>
    </row>
    <row r="8" spans="1:2" x14ac:dyDescent="0.25">
      <c r="A8" s="2">
        <f ca="1"/>
        <v>42</v>
      </c>
      <c r="B8">
        <v>38</v>
      </c>
    </row>
    <row r="9" spans="1:2" x14ac:dyDescent="0.25">
      <c r="A9" s="2">
        <f ca="1"/>
        <v>43</v>
      </c>
      <c r="B9">
        <v>10</v>
      </c>
    </row>
    <row r="10" spans="1:2" x14ac:dyDescent="0.25">
      <c r="A10" s="2">
        <f ca="1"/>
        <v>11</v>
      </c>
      <c r="B10">
        <v>21</v>
      </c>
    </row>
    <row r="11" spans="1:2" x14ac:dyDescent="0.25">
      <c r="A11" s="2">
        <f ca="1"/>
        <v>1</v>
      </c>
      <c r="B11">
        <v>72</v>
      </c>
    </row>
    <row r="12" spans="1:2" x14ac:dyDescent="0.25">
      <c r="A12" s="2">
        <f ca="1"/>
        <v>2</v>
      </c>
      <c r="B12">
        <v>3</v>
      </c>
    </row>
    <row r="13" spans="1:2" x14ac:dyDescent="0.25">
      <c r="A13" s="2">
        <f ca="1"/>
        <v>98</v>
      </c>
      <c r="B13">
        <v>56</v>
      </c>
    </row>
    <row r="14" spans="1:2" x14ac:dyDescent="0.25">
      <c r="A14" s="2">
        <f ca="1"/>
        <v>39</v>
      </c>
      <c r="B14">
        <v>77</v>
      </c>
    </row>
    <row r="15" spans="1:2" x14ac:dyDescent="0.25">
      <c r="A15" s="2">
        <f ca="1"/>
        <v>95</v>
      </c>
      <c r="B15">
        <v>67</v>
      </c>
    </row>
    <row r="16" spans="1:2" x14ac:dyDescent="0.25">
      <c r="A16" s="2">
        <f ca="1"/>
        <v>57</v>
      </c>
      <c r="B16">
        <v>91</v>
      </c>
    </row>
    <row r="17" spans="1:2" x14ac:dyDescent="0.25">
      <c r="A17" s="2">
        <f ca="1"/>
        <v>37</v>
      </c>
      <c r="B17">
        <v>44</v>
      </c>
    </row>
    <row r="18" spans="1:2" x14ac:dyDescent="0.25">
      <c r="A18" s="2">
        <f ca="1"/>
        <v>28</v>
      </c>
      <c r="B18">
        <v>73</v>
      </c>
    </row>
    <row r="19" spans="1:2" x14ac:dyDescent="0.25">
      <c r="A19" s="2">
        <f ca="1"/>
        <v>52</v>
      </c>
      <c r="B19">
        <v>42</v>
      </c>
    </row>
    <row r="20" spans="1:2" x14ac:dyDescent="0.25">
      <c r="A20" s="2">
        <f ca="1"/>
        <v>88</v>
      </c>
      <c r="B20">
        <v>20</v>
      </c>
    </row>
    <row r="21" spans="1:2" x14ac:dyDescent="0.25">
      <c r="A21" s="2">
        <f ca="1"/>
        <v>91</v>
      </c>
      <c r="B21">
        <v>58</v>
      </c>
    </row>
    <row r="22" spans="1:2" x14ac:dyDescent="0.25">
      <c r="A22" s="2">
        <f ca="1"/>
        <v>100</v>
      </c>
      <c r="B22">
        <v>50</v>
      </c>
    </row>
    <row r="23" spans="1:2" x14ac:dyDescent="0.25">
      <c r="A23" s="2">
        <f ca="1"/>
        <v>87</v>
      </c>
      <c r="B23">
        <v>5</v>
      </c>
    </row>
    <row r="24" spans="1:2" x14ac:dyDescent="0.25">
      <c r="A24" s="2">
        <f ca="1"/>
        <v>83</v>
      </c>
      <c r="B24">
        <v>16</v>
      </c>
    </row>
    <row r="25" spans="1:2" x14ac:dyDescent="0.25">
      <c r="A25" s="2">
        <f ca="1"/>
        <v>81</v>
      </c>
      <c r="B25">
        <v>46</v>
      </c>
    </row>
    <row r="26" spans="1:2" x14ac:dyDescent="0.25">
      <c r="A26" s="2">
        <f ca="1"/>
        <v>30</v>
      </c>
      <c r="B26">
        <v>87</v>
      </c>
    </row>
    <row r="27" spans="1:2" x14ac:dyDescent="0.25">
      <c r="A27" s="2">
        <f ca="1"/>
        <v>38</v>
      </c>
      <c r="B27">
        <v>9</v>
      </c>
    </row>
    <row r="28" spans="1:2" x14ac:dyDescent="0.25">
      <c r="A28" s="2">
        <f ca="1"/>
        <v>44</v>
      </c>
      <c r="B28">
        <v>52</v>
      </c>
    </row>
    <row r="29" spans="1:2" x14ac:dyDescent="0.25">
      <c r="A29" s="2">
        <f ca="1"/>
        <v>35</v>
      </c>
      <c r="B29">
        <v>1</v>
      </c>
    </row>
    <row r="30" spans="1:2" x14ac:dyDescent="0.25">
      <c r="A30" s="2">
        <f ca="1"/>
        <v>5</v>
      </c>
      <c r="B30">
        <v>96</v>
      </c>
    </row>
    <row r="31" spans="1:2" x14ac:dyDescent="0.25">
      <c r="A31" s="2">
        <f ca="1"/>
        <v>18</v>
      </c>
      <c r="B31">
        <v>18</v>
      </c>
    </row>
    <row r="32" spans="1:2" x14ac:dyDescent="0.25">
      <c r="A32" s="2">
        <f ca="1"/>
        <v>85</v>
      </c>
      <c r="B32">
        <v>57</v>
      </c>
    </row>
    <row r="33" spans="1:2" x14ac:dyDescent="0.25">
      <c r="A33" s="2">
        <f ca="1"/>
        <v>84</v>
      </c>
      <c r="B33">
        <v>66</v>
      </c>
    </row>
    <row r="34" spans="1:2" x14ac:dyDescent="0.25">
      <c r="A34" s="2">
        <f ca="1"/>
        <v>49</v>
      </c>
      <c r="B34">
        <v>92</v>
      </c>
    </row>
    <row r="35" spans="1:2" x14ac:dyDescent="0.25">
      <c r="A35" s="2">
        <f ca="1"/>
        <v>41</v>
      </c>
      <c r="B35">
        <v>94</v>
      </c>
    </row>
    <row r="36" spans="1:2" x14ac:dyDescent="0.25">
      <c r="A36" s="2">
        <f ca="1"/>
        <v>50</v>
      </c>
      <c r="B36">
        <v>40</v>
      </c>
    </row>
    <row r="37" spans="1:2" x14ac:dyDescent="0.25">
      <c r="A37" s="2">
        <f ca="1"/>
        <v>20</v>
      </c>
      <c r="B37">
        <v>39</v>
      </c>
    </row>
    <row r="38" spans="1:2" x14ac:dyDescent="0.25">
      <c r="A38" s="2">
        <f ca="1"/>
        <v>45</v>
      </c>
      <c r="B38">
        <v>35</v>
      </c>
    </row>
    <row r="39" spans="1:2" x14ac:dyDescent="0.25">
      <c r="A39" s="2">
        <f ca="1"/>
        <v>90</v>
      </c>
      <c r="B39">
        <v>89</v>
      </c>
    </row>
    <row r="40" spans="1:2" x14ac:dyDescent="0.25">
      <c r="A40" s="2">
        <f ca="1"/>
        <v>94</v>
      </c>
      <c r="B40">
        <v>97</v>
      </c>
    </row>
    <row r="41" spans="1:2" x14ac:dyDescent="0.25">
      <c r="A41" s="2">
        <f ca="1"/>
        <v>60</v>
      </c>
      <c r="B41">
        <v>78</v>
      </c>
    </row>
    <row r="42" spans="1:2" x14ac:dyDescent="0.25">
      <c r="A42" s="2">
        <f ca="1"/>
        <v>54</v>
      </c>
      <c r="B42">
        <v>29</v>
      </c>
    </row>
    <row r="43" spans="1:2" x14ac:dyDescent="0.25">
      <c r="A43" s="2">
        <f ca="1"/>
        <v>82</v>
      </c>
      <c r="B43">
        <v>7</v>
      </c>
    </row>
    <row r="44" spans="1:2" x14ac:dyDescent="0.25">
      <c r="A44" s="2">
        <f ca="1"/>
        <v>29</v>
      </c>
      <c r="B44">
        <v>99</v>
      </c>
    </row>
    <row r="45" spans="1:2" x14ac:dyDescent="0.25">
      <c r="A45" s="2">
        <f ca="1"/>
        <v>3</v>
      </c>
      <c r="B45">
        <v>81</v>
      </c>
    </row>
    <row r="46" spans="1:2" x14ac:dyDescent="0.25">
      <c r="A46" s="2">
        <f ca="1"/>
        <v>16</v>
      </c>
      <c r="B46">
        <v>22</v>
      </c>
    </row>
    <row r="47" spans="1:2" x14ac:dyDescent="0.25">
      <c r="A47" s="2">
        <f ca="1"/>
        <v>71</v>
      </c>
      <c r="B47">
        <v>65</v>
      </c>
    </row>
    <row r="48" spans="1:2" x14ac:dyDescent="0.25">
      <c r="A48" s="2">
        <f ca="1"/>
        <v>53</v>
      </c>
      <c r="B48">
        <v>28</v>
      </c>
    </row>
    <row r="49" spans="1:2" x14ac:dyDescent="0.25">
      <c r="A49" s="2">
        <f ca="1"/>
        <v>74</v>
      </c>
      <c r="B49">
        <v>4</v>
      </c>
    </row>
    <row r="50" spans="1:2" x14ac:dyDescent="0.25">
      <c r="A50" s="2">
        <f ca="1"/>
        <v>15</v>
      </c>
      <c r="B50">
        <v>33</v>
      </c>
    </row>
    <row r="51" spans="1:2" x14ac:dyDescent="0.25">
      <c r="A51" s="2">
        <f ca="1"/>
        <v>14</v>
      </c>
      <c r="B51">
        <v>95</v>
      </c>
    </row>
    <row r="52" spans="1:2" x14ac:dyDescent="0.25">
      <c r="A52" s="2">
        <f ca="1"/>
        <v>19</v>
      </c>
      <c r="B52">
        <v>32</v>
      </c>
    </row>
    <row r="53" spans="1:2" x14ac:dyDescent="0.25">
      <c r="A53" s="2">
        <f ca="1"/>
        <v>32</v>
      </c>
      <c r="B53">
        <v>8</v>
      </c>
    </row>
    <row r="54" spans="1:2" x14ac:dyDescent="0.25">
      <c r="A54" s="2">
        <f ca="1"/>
        <v>48</v>
      </c>
      <c r="B54">
        <v>84</v>
      </c>
    </row>
    <row r="55" spans="1:2" x14ac:dyDescent="0.25">
      <c r="A55" s="2">
        <f ca="1"/>
        <v>92</v>
      </c>
      <c r="B55">
        <v>27</v>
      </c>
    </row>
    <row r="56" spans="1:2" x14ac:dyDescent="0.25">
      <c r="A56" s="2">
        <f ca="1"/>
        <v>23</v>
      </c>
      <c r="B56">
        <v>6</v>
      </c>
    </row>
    <row r="57" spans="1:2" x14ac:dyDescent="0.25">
      <c r="A57" s="2">
        <f ca="1"/>
        <v>78</v>
      </c>
      <c r="B57">
        <v>100</v>
      </c>
    </row>
    <row r="58" spans="1:2" x14ac:dyDescent="0.25">
      <c r="A58" s="2">
        <f ca="1"/>
        <v>59</v>
      </c>
      <c r="B58">
        <v>74</v>
      </c>
    </row>
    <row r="59" spans="1:2" x14ac:dyDescent="0.25">
      <c r="A59" s="2">
        <f ca="1"/>
        <v>93</v>
      </c>
      <c r="B59">
        <v>53</v>
      </c>
    </row>
    <row r="60" spans="1:2" x14ac:dyDescent="0.25">
      <c r="A60" s="2">
        <f ca="1"/>
        <v>99</v>
      </c>
      <c r="B60">
        <v>36</v>
      </c>
    </row>
    <row r="61" spans="1:2" x14ac:dyDescent="0.25">
      <c r="A61" s="2">
        <f ca="1"/>
        <v>34</v>
      </c>
      <c r="B61">
        <v>98</v>
      </c>
    </row>
    <row r="62" spans="1:2" x14ac:dyDescent="0.25">
      <c r="A62" s="2">
        <f ca="1"/>
        <v>36</v>
      </c>
      <c r="B62">
        <v>26</v>
      </c>
    </row>
    <row r="63" spans="1:2" x14ac:dyDescent="0.25">
      <c r="A63" s="2">
        <f ca="1"/>
        <v>70</v>
      </c>
      <c r="B63">
        <v>88</v>
      </c>
    </row>
    <row r="64" spans="1:2" x14ac:dyDescent="0.25">
      <c r="A64" s="2">
        <f ca="1"/>
        <v>56</v>
      </c>
      <c r="B64">
        <v>51</v>
      </c>
    </row>
    <row r="65" spans="1:2" x14ac:dyDescent="0.25">
      <c r="A65" s="2">
        <f ca="1"/>
        <v>63</v>
      </c>
      <c r="B65">
        <v>76</v>
      </c>
    </row>
    <row r="66" spans="1:2" x14ac:dyDescent="0.25">
      <c r="A66" s="2">
        <f ca="1"/>
        <v>22</v>
      </c>
      <c r="B66">
        <v>85</v>
      </c>
    </row>
    <row r="67" spans="1:2" x14ac:dyDescent="0.25">
      <c r="A67" s="2">
        <f ca="1"/>
        <v>40</v>
      </c>
      <c r="B67">
        <v>45</v>
      </c>
    </row>
    <row r="68" spans="1:2" x14ac:dyDescent="0.25">
      <c r="A68" s="2">
        <f ca="1"/>
        <v>61</v>
      </c>
      <c r="B68">
        <v>83</v>
      </c>
    </row>
    <row r="69" spans="1:2" x14ac:dyDescent="0.25">
      <c r="A69" s="2">
        <f ca="1"/>
        <v>69</v>
      </c>
      <c r="B69">
        <v>82</v>
      </c>
    </row>
    <row r="70" spans="1:2" x14ac:dyDescent="0.25">
      <c r="A70" s="2">
        <f ca="1"/>
        <v>67</v>
      </c>
      <c r="B70">
        <v>34</v>
      </c>
    </row>
    <row r="71" spans="1:2" x14ac:dyDescent="0.25">
      <c r="A71" s="2">
        <f ca="1"/>
        <v>26</v>
      </c>
      <c r="B71">
        <v>48</v>
      </c>
    </row>
    <row r="72" spans="1:2" x14ac:dyDescent="0.25">
      <c r="A72" s="2">
        <f ca="1"/>
        <v>7</v>
      </c>
      <c r="B72">
        <v>70</v>
      </c>
    </row>
    <row r="73" spans="1:2" x14ac:dyDescent="0.25">
      <c r="A73" s="2">
        <f ca="1"/>
        <v>55</v>
      </c>
      <c r="B73">
        <v>75</v>
      </c>
    </row>
    <row r="74" spans="1:2" x14ac:dyDescent="0.25">
      <c r="A74" s="2">
        <f ca="1"/>
        <v>58</v>
      </c>
      <c r="B74">
        <v>19</v>
      </c>
    </row>
    <row r="75" spans="1:2" x14ac:dyDescent="0.25">
      <c r="A75" s="2">
        <f ca="1"/>
        <v>80</v>
      </c>
      <c r="B75">
        <v>49</v>
      </c>
    </row>
    <row r="76" spans="1:2" x14ac:dyDescent="0.25">
      <c r="A76" s="2">
        <f ca="1"/>
        <v>96</v>
      </c>
      <c r="B76">
        <v>60</v>
      </c>
    </row>
    <row r="77" spans="1:2" x14ac:dyDescent="0.25">
      <c r="A77" s="2">
        <f ca="1"/>
        <v>47</v>
      </c>
      <c r="B77">
        <v>80</v>
      </c>
    </row>
    <row r="78" spans="1:2" x14ac:dyDescent="0.25">
      <c r="A78" s="2">
        <f ca="1"/>
        <v>68</v>
      </c>
      <c r="B78">
        <v>23</v>
      </c>
    </row>
    <row r="79" spans="1:2" x14ac:dyDescent="0.25">
      <c r="A79" s="2">
        <f ca="1"/>
        <v>27</v>
      </c>
      <c r="B79">
        <v>24</v>
      </c>
    </row>
    <row r="80" spans="1:2" x14ac:dyDescent="0.25">
      <c r="A80" s="2">
        <f ca="1"/>
        <v>97</v>
      </c>
      <c r="B80">
        <v>13</v>
      </c>
    </row>
    <row r="81" spans="1:2" x14ac:dyDescent="0.25">
      <c r="A81" s="2">
        <f ca="1"/>
        <v>6</v>
      </c>
      <c r="B81">
        <v>14</v>
      </c>
    </row>
    <row r="82" spans="1:2" x14ac:dyDescent="0.25">
      <c r="A82" s="2">
        <f ca="1"/>
        <v>79</v>
      </c>
      <c r="B82">
        <v>63</v>
      </c>
    </row>
    <row r="83" spans="1:2" x14ac:dyDescent="0.25">
      <c r="A83" s="2">
        <f ca="1"/>
        <v>62</v>
      </c>
      <c r="B83">
        <v>43</v>
      </c>
    </row>
    <row r="84" spans="1:2" x14ac:dyDescent="0.25">
      <c r="A84" s="2">
        <f ca="1"/>
        <v>4</v>
      </c>
      <c r="B84">
        <v>17</v>
      </c>
    </row>
    <row r="85" spans="1:2" x14ac:dyDescent="0.25">
      <c r="A85" s="2">
        <f ca="1"/>
        <v>72</v>
      </c>
      <c r="B85">
        <v>64</v>
      </c>
    </row>
    <row r="86" spans="1:2" x14ac:dyDescent="0.25">
      <c r="A86" s="2">
        <f ca="1"/>
        <v>76</v>
      </c>
      <c r="B86">
        <v>69</v>
      </c>
    </row>
    <row r="87" spans="1:2" x14ac:dyDescent="0.25">
      <c r="A87" s="2">
        <f ca="1"/>
        <v>66</v>
      </c>
      <c r="B87">
        <v>47</v>
      </c>
    </row>
    <row r="88" spans="1:2" x14ac:dyDescent="0.25">
      <c r="A88" s="2">
        <f ca="1"/>
        <v>46</v>
      </c>
      <c r="B88">
        <v>55</v>
      </c>
    </row>
    <row r="89" spans="1:2" x14ac:dyDescent="0.25">
      <c r="A89" s="2">
        <f ca="1"/>
        <v>9</v>
      </c>
      <c r="B89">
        <v>79</v>
      </c>
    </row>
    <row r="90" spans="1:2" x14ac:dyDescent="0.25">
      <c r="A90" s="2">
        <f ca="1"/>
        <v>17</v>
      </c>
      <c r="B90">
        <v>15</v>
      </c>
    </row>
    <row r="91" spans="1:2" x14ac:dyDescent="0.25">
      <c r="A91" s="2">
        <f ca="1"/>
        <v>33</v>
      </c>
      <c r="B91">
        <v>93</v>
      </c>
    </row>
    <row r="92" spans="1:2" x14ac:dyDescent="0.25">
      <c r="A92" s="2">
        <f ca="1"/>
        <v>65</v>
      </c>
      <c r="B92">
        <v>12</v>
      </c>
    </row>
    <row r="93" spans="1:2" x14ac:dyDescent="0.25">
      <c r="A93" s="2">
        <f ca="1"/>
        <v>51</v>
      </c>
      <c r="B93">
        <v>62</v>
      </c>
    </row>
    <row r="94" spans="1:2" x14ac:dyDescent="0.25">
      <c r="A94" s="2">
        <f ca="1"/>
        <v>13</v>
      </c>
      <c r="B94">
        <v>25</v>
      </c>
    </row>
    <row r="95" spans="1:2" x14ac:dyDescent="0.25">
      <c r="A95" s="2">
        <f ca="1"/>
        <v>8</v>
      </c>
      <c r="B95">
        <v>31</v>
      </c>
    </row>
    <row r="96" spans="1:2" x14ac:dyDescent="0.25">
      <c r="A96" s="2">
        <f ca="1"/>
        <v>64</v>
      </c>
      <c r="B96">
        <v>11</v>
      </c>
    </row>
    <row r="97" spans="1:2" x14ac:dyDescent="0.25">
      <c r="A97" s="2">
        <f ca="1"/>
        <v>10</v>
      </c>
      <c r="B97">
        <v>54</v>
      </c>
    </row>
    <row r="98" spans="1:2" x14ac:dyDescent="0.25">
      <c r="A98" s="2">
        <f ca="1"/>
        <v>21</v>
      </c>
      <c r="B98">
        <v>86</v>
      </c>
    </row>
    <row r="99" spans="1:2" x14ac:dyDescent="0.25">
      <c r="A99" s="2">
        <f ca="1"/>
        <v>77</v>
      </c>
      <c r="B99">
        <v>59</v>
      </c>
    </row>
    <row r="100" spans="1:2" x14ac:dyDescent="0.25">
      <c r="A100" s="2">
        <f ca="1"/>
        <v>86</v>
      </c>
      <c r="B100">
        <v>68</v>
      </c>
    </row>
    <row r="101" spans="1:2" x14ac:dyDescent="0.25">
      <c r="A101" s="2">
        <f ca="1"/>
        <v>31</v>
      </c>
      <c r="B101">
        <v>71</v>
      </c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F0D1-F35D-46A9-AB3E-79F4F5A54491}">
  <dimension ref="A1:D103"/>
  <sheetViews>
    <sheetView workbookViewId="0">
      <selection activeCell="H10" sqref="H10"/>
    </sheetView>
  </sheetViews>
  <sheetFormatPr defaultRowHeight="15" x14ac:dyDescent="0.25"/>
  <cols>
    <col min="2" max="2" width="29.28515625" customWidth="1"/>
    <col min="3" max="3" width="17.42578125" style="2" customWidth="1"/>
    <col min="4" max="4" width="19" style="2" customWidth="1"/>
  </cols>
  <sheetData>
    <row r="1" spans="1:4" x14ac:dyDescent="0.25">
      <c r="A1" s="31" t="s">
        <v>41</v>
      </c>
      <c r="B1" s="31" t="s">
        <v>42</v>
      </c>
      <c r="C1" s="71" t="s">
        <v>91</v>
      </c>
      <c r="D1" s="71" t="s">
        <v>95</v>
      </c>
    </row>
    <row r="2" spans="1:4" x14ac:dyDescent="0.25">
      <c r="A2" t="str" cm="1">
        <f t="array" ref="A2:B103">_xlfn._xlws.SORT(
    _xlfn.LET(
        _xlpm.data, 'Label IDs'!N2:P321,
        _xlpm.headers, 'Label IDs'!N1:P1,
        _xlpm.values, IF(FILLME!B8 = "Bottle Number", 'Label IDs'!K2:K321, IF(FILLME!B8 = "Sample Date/Time", 'Label IDs'!M2:M321,'Label IDs'!L2:L321)),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_xlpm.empty, CHOOSE({1,2}, "", ""),
        _xlpm.base, _xlfn._xlws.FILTER(CHOOSE({1,2}, _xlpm.hdr, _xlpm.val), _xlpm.flag, _xlpm.empty),
        _xlpm.normal, _xlfn._xlws.FILTER(_xlpm.base, INDEX(_xlpm.base,,1)&lt;&gt;"BPCA", _xlpm.empty),
        _xlpm.bpca, _xlfn._xlws.FILTER(_xlpm.base, INDEX(_xlpm.base,,1)="BPCA", _xlpm.empty),
        IF(COUNTA(_xlpm.base)=0,
            _xlpm.empty,
            IF(COUNTA(_xlpm.bpca)=0,
                _xlpm.normal,
                _xlfn.VSTACK(_xlpm.normal, _xlpm.bpca, _xlpm.bpca)
            )
        )
    ),
    {1,2},
    {-1,1}
)</f>
        <v>ISCO</v>
      </c>
      <c r="B2" t="str">
        <v>SSEMG_STA_IS_20260224_0000</v>
      </c>
      <c r="C2" s="2">
        <f>'Label IDs'!I2</f>
        <v>1</v>
      </c>
    </row>
    <row r="3" spans="1:4" x14ac:dyDescent="0.25">
      <c r="A3" t="str">
        <v>ISCO</v>
      </c>
      <c r="B3" t="str">
        <v>SSEMG_STA_IS_20260224_0200</v>
      </c>
      <c r="C3" s="2">
        <f>'Label IDs'!I3</f>
        <v>2</v>
      </c>
    </row>
    <row r="4" spans="1:4" x14ac:dyDescent="0.25">
      <c r="A4" t="str">
        <v>ISCO</v>
      </c>
      <c r="B4" t="str">
        <v>SSEMG_STA_IS_20260224_0400</v>
      </c>
      <c r="C4" s="2">
        <f>'Label IDs'!I4</f>
        <v>3</v>
      </c>
    </row>
    <row r="5" spans="1:4" x14ac:dyDescent="0.25">
      <c r="A5" t="str">
        <v>ISCO</v>
      </c>
      <c r="B5" t="str">
        <v>SSEMG_STA_IS_20260224_0600</v>
      </c>
      <c r="C5" s="2">
        <f>'Label IDs'!I5</f>
        <v>4</v>
      </c>
    </row>
    <row r="6" spans="1:4" x14ac:dyDescent="0.25">
      <c r="A6" t="str">
        <v>ISCO</v>
      </c>
      <c r="B6" t="str">
        <v>SSEMG_STA_IS_20260224_0800</v>
      </c>
      <c r="C6" s="2">
        <f>'Label IDs'!I6</f>
        <v>5</v>
      </c>
    </row>
    <row r="7" spans="1:4" x14ac:dyDescent="0.25">
      <c r="A7" t="str">
        <v>ISCO</v>
      </c>
      <c r="B7" t="str">
        <v>SSEMG_STA_IS_20260224_1000</v>
      </c>
      <c r="C7" s="2">
        <f>'Label IDs'!I7</f>
        <v>6</v>
      </c>
    </row>
    <row r="8" spans="1:4" x14ac:dyDescent="0.25">
      <c r="A8" t="str">
        <v>ISCO</v>
      </c>
      <c r="B8" t="str">
        <v>SSEMG_STA_IS_20260224_1200</v>
      </c>
      <c r="C8" s="2">
        <f>'Label IDs'!I8</f>
        <v>7</v>
      </c>
    </row>
    <row r="9" spans="1:4" x14ac:dyDescent="0.25">
      <c r="A9" t="str">
        <v>ISCO</v>
      </c>
      <c r="B9" t="str">
        <v>SSEMG_STA_IS_20260224_1400</v>
      </c>
      <c r="C9" s="2">
        <f>'Label IDs'!I9</f>
        <v>8</v>
      </c>
    </row>
    <row r="10" spans="1:4" x14ac:dyDescent="0.25">
      <c r="A10" t="str">
        <v>ISCO</v>
      </c>
      <c r="B10" t="str">
        <v>SSEMG_STA_IS_20260224_1600</v>
      </c>
      <c r="C10" s="2">
        <f>'Label IDs'!I10</f>
        <v>9</v>
      </c>
    </row>
    <row r="11" spans="1:4" x14ac:dyDescent="0.25">
      <c r="A11" t="str">
        <v>ISCO</v>
      </c>
      <c r="B11" t="str">
        <v>SSEMG_STA_IS_20260224_1800</v>
      </c>
      <c r="C11" s="2">
        <f>'Label IDs'!I11</f>
        <v>10</v>
      </c>
    </row>
    <row r="12" spans="1:4" x14ac:dyDescent="0.25">
      <c r="A12" t="str">
        <v>ISCO</v>
      </c>
      <c r="B12" t="str">
        <v>SSEMG_STA_IS_20260224_2000</v>
      </c>
      <c r="C12" s="2">
        <f>'Label IDs'!I12</f>
        <v>11</v>
      </c>
    </row>
    <row r="13" spans="1:4" x14ac:dyDescent="0.25">
      <c r="A13" t="str">
        <v>ISCO</v>
      </c>
      <c r="B13" t="str">
        <v>SSEMG_STA_IS_20260224_2200</v>
      </c>
      <c r="C13" s="2">
        <f>'Label IDs'!I13</f>
        <v>12</v>
      </c>
    </row>
    <row r="14" spans="1:4" x14ac:dyDescent="0.25">
      <c r="A14" t="str">
        <v>ISCO</v>
      </c>
      <c r="B14" t="str">
        <v>SSEMG_STA_IS_20260225_0000</v>
      </c>
      <c r="C14" s="2">
        <f>'Label IDs'!I14</f>
        <v>13</v>
      </c>
    </row>
    <row r="15" spans="1:4" x14ac:dyDescent="0.25">
      <c r="A15" t="str">
        <v>ISCO</v>
      </c>
      <c r="B15" t="str">
        <v>SSEMG_STA_IS_20260225_0200</v>
      </c>
      <c r="C15" s="2">
        <f>'Label IDs'!I15</f>
        <v>14</v>
      </c>
    </row>
    <row r="16" spans="1:4" x14ac:dyDescent="0.25">
      <c r="A16" t="str">
        <v>ISCO</v>
      </c>
      <c r="B16" t="str">
        <v>SSEMG_STA_IS_20260225_0400</v>
      </c>
      <c r="C16" s="2">
        <f>'Label IDs'!I16</f>
        <v>15</v>
      </c>
    </row>
    <row r="17" spans="1:3" x14ac:dyDescent="0.25">
      <c r="A17" t="str">
        <v>ISCO</v>
      </c>
      <c r="B17" t="str">
        <v>SSEMG_STA_IS_20260225_0600</v>
      </c>
      <c r="C17" s="2">
        <f>'Label IDs'!I17</f>
        <v>16</v>
      </c>
    </row>
    <row r="18" spans="1:3" x14ac:dyDescent="0.25">
      <c r="A18" t="str">
        <v>ISCO</v>
      </c>
      <c r="B18" t="str">
        <v>SSEMG_STA_IS_20260225_0800</v>
      </c>
      <c r="C18" s="2">
        <f>'Label IDs'!I18</f>
        <v>17</v>
      </c>
    </row>
    <row r="19" spans="1:3" x14ac:dyDescent="0.25">
      <c r="A19" t="str">
        <v>ISCO</v>
      </c>
      <c r="B19" t="str">
        <v>SSEMG_STA_IS_20260225_1000</v>
      </c>
      <c r="C19" s="2">
        <f>'Label IDs'!I19</f>
        <v>18</v>
      </c>
    </row>
    <row r="20" spans="1:3" x14ac:dyDescent="0.25">
      <c r="A20" t="str">
        <v>ISCO</v>
      </c>
      <c r="B20" t="str">
        <v>SSEMG_STA_IS_20260225_1200</v>
      </c>
      <c r="C20" s="2">
        <f>'Label IDs'!I20</f>
        <v>19</v>
      </c>
    </row>
    <row r="21" spans="1:3" x14ac:dyDescent="0.25">
      <c r="A21" t="str">
        <v>ISCO</v>
      </c>
      <c r="B21" t="str">
        <v>SSEMG_STA_IS_20260225_1400</v>
      </c>
      <c r="C21" s="2">
        <f>'Label IDs'!I21</f>
        <v>20</v>
      </c>
    </row>
    <row r="22" spans="1:3" x14ac:dyDescent="0.25">
      <c r="A22" t="str">
        <v>ISCO</v>
      </c>
      <c r="B22" t="str">
        <v>SSEMG_STA_IS_20260225_1600</v>
      </c>
      <c r="C22" s="2">
        <f>'Label IDs'!I22</f>
        <v>21</v>
      </c>
    </row>
    <row r="23" spans="1:3" x14ac:dyDescent="0.25">
      <c r="A23" t="str">
        <v>ISCO</v>
      </c>
      <c r="B23" t="str">
        <v>SSEMG_STA_IS_20260225_1800</v>
      </c>
      <c r="C23" s="2">
        <f>'Label IDs'!I23</f>
        <v>22</v>
      </c>
    </row>
    <row r="24" spans="1:3" x14ac:dyDescent="0.25">
      <c r="A24" t="str">
        <v>ISCO</v>
      </c>
      <c r="B24" t="str">
        <v>SSEMG_STA_IS_20260225_2000</v>
      </c>
      <c r="C24" s="2">
        <f>'Label IDs'!I24</f>
        <v>23</v>
      </c>
    </row>
    <row r="25" spans="1:3" x14ac:dyDescent="0.25">
      <c r="A25" t="str">
        <v>ISCO</v>
      </c>
      <c r="B25" t="str">
        <v>SSEMG_STA_IS_20260225_2200</v>
      </c>
      <c r="C25" s="2">
        <f>'Label IDs'!I25</f>
        <v>24</v>
      </c>
    </row>
    <row r="26" spans="1:3" x14ac:dyDescent="0.25">
      <c r="A26" t="str">
        <v>ISCO</v>
      </c>
      <c r="B26" t="str">
        <v>SSEMG_STA_IS_20260226_0000</v>
      </c>
      <c r="C26" s="2">
        <f>'Label IDs'!I26</f>
        <v>1</v>
      </c>
    </row>
    <row r="27" spans="1:3" x14ac:dyDescent="0.25">
      <c r="A27" t="str">
        <v>ISCO</v>
      </c>
      <c r="B27" t="str">
        <v>SSEMG_STA_IS_20260226_0200</v>
      </c>
      <c r="C27" s="2">
        <f>'Label IDs'!I27</f>
        <v>2</v>
      </c>
    </row>
    <row r="28" spans="1:3" x14ac:dyDescent="0.25">
      <c r="A28" t="str">
        <v>ISCO</v>
      </c>
      <c r="B28" t="str">
        <v>SSEMG_STA_IS_20260226_0400</v>
      </c>
      <c r="C28" s="2">
        <f>'Label IDs'!I28</f>
        <v>3</v>
      </c>
    </row>
    <row r="29" spans="1:3" x14ac:dyDescent="0.25">
      <c r="A29" t="str">
        <v>ISCO</v>
      </c>
      <c r="B29" t="str">
        <v>SSEMG_STA_IS_20260226_0600</v>
      </c>
      <c r="C29" s="2">
        <f>'Label IDs'!I29</f>
        <v>4</v>
      </c>
    </row>
    <row r="30" spans="1:3" x14ac:dyDescent="0.25">
      <c r="A30" t="str">
        <v>ISCO</v>
      </c>
      <c r="B30" t="str">
        <v>SSEMG_STA_IS_20260226_0800</v>
      </c>
      <c r="C30" s="2">
        <f>'Label IDs'!I30</f>
        <v>5</v>
      </c>
    </row>
    <row r="31" spans="1:3" x14ac:dyDescent="0.25">
      <c r="A31" t="str">
        <v>ISCO</v>
      </c>
      <c r="B31" t="str">
        <v>SSEMG_STA_IS_20260226_1000</v>
      </c>
      <c r="C31" s="2">
        <f>'Label IDs'!I31</f>
        <v>6</v>
      </c>
    </row>
    <row r="32" spans="1:3" x14ac:dyDescent="0.25">
      <c r="A32" t="str">
        <v>ISCO</v>
      </c>
      <c r="B32" t="str">
        <v>SSEMG_STA_IS_20260226_1200</v>
      </c>
      <c r="C32" s="2">
        <f>'Label IDs'!I32</f>
        <v>7</v>
      </c>
    </row>
    <row r="33" spans="1:3" x14ac:dyDescent="0.25">
      <c r="A33" t="str">
        <v>ISCO</v>
      </c>
      <c r="B33" t="str">
        <v>SSEMG_STA_IS_20260226_1400</v>
      </c>
      <c r="C33" s="2">
        <f>'Label IDs'!I33</f>
        <v>8</v>
      </c>
    </row>
    <row r="34" spans="1:3" x14ac:dyDescent="0.25">
      <c r="A34" t="str">
        <v>ISCO</v>
      </c>
      <c r="B34" t="str">
        <v>SSEMG_STA_IS_20260226_1600</v>
      </c>
      <c r="C34" s="2">
        <f>'Label IDs'!I34</f>
        <v>9</v>
      </c>
    </row>
    <row r="35" spans="1:3" x14ac:dyDescent="0.25">
      <c r="A35" t="str">
        <v>ISCO</v>
      </c>
      <c r="B35" t="str">
        <v>SSEMG_STA_IS_20260226_1800</v>
      </c>
      <c r="C35" s="2">
        <f>'Label IDs'!I35</f>
        <v>10</v>
      </c>
    </row>
    <row r="36" spans="1:3" x14ac:dyDescent="0.25">
      <c r="A36" t="str">
        <v>ISCO</v>
      </c>
      <c r="B36" t="str">
        <v>SSEMG_STA_IS_20260226_2000</v>
      </c>
      <c r="C36" s="2">
        <f>'Label IDs'!I36</f>
        <v>11</v>
      </c>
    </row>
    <row r="37" spans="1:3" x14ac:dyDescent="0.25">
      <c r="A37" t="str">
        <v>ISCO</v>
      </c>
      <c r="B37" t="str">
        <v>SSEMG_STA_IS_20260226_2200</v>
      </c>
      <c r="C37" s="2">
        <f>'Label IDs'!I37</f>
        <v>12</v>
      </c>
    </row>
    <row r="38" spans="1:3" x14ac:dyDescent="0.25">
      <c r="A38" t="str">
        <v>ISCO</v>
      </c>
      <c r="B38" t="str">
        <v>SSEMG_STA_IS_20260227_0000</v>
      </c>
      <c r="C38" s="2">
        <f>'Label IDs'!I38</f>
        <v>13</v>
      </c>
    </row>
    <row r="39" spans="1:3" x14ac:dyDescent="0.25">
      <c r="A39" t="str">
        <v>ISCO</v>
      </c>
      <c r="B39" t="str">
        <v>SSEMG_STA_IS_20260227_0200</v>
      </c>
      <c r="C39" s="2">
        <f>'Label IDs'!I39</f>
        <v>14</v>
      </c>
    </row>
    <row r="40" spans="1:3" x14ac:dyDescent="0.25">
      <c r="A40" t="str">
        <v>ISCO</v>
      </c>
      <c r="B40" t="str">
        <v>SSEMG_STA_IS_20260227_0400</v>
      </c>
      <c r="C40" s="2">
        <f>'Label IDs'!I40</f>
        <v>15</v>
      </c>
    </row>
    <row r="41" spans="1:3" x14ac:dyDescent="0.25">
      <c r="A41" t="str">
        <v>ISCO</v>
      </c>
      <c r="B41" t="str">
        <v>SSEMG_STA_IS_20260227_0600</v>
      </c>
      <c r="C41" s="2">
        <f>'Label IDs'!I41</f>
        <v>16</v>
      </c>
    </row>
    <row r="42" spans="1:3" x14ac:dyDescent="0.25">
      <c r="A42" t="str">
        <v>ISCO</v>
      </c>
      <c r="B42" t="str">
        <v>SSEMG_STA_IS_20260227_0800</v>
      </c>
      <c r="C42" s="2">
        <f>'Label IDs'!I42</f>
        <v>17</v>
      </c>
    </row>
    <row r="43" spans="1:3" x14ac:dyDescent="0.25">
      <c r="A43" t="str">
        <v>ISCO</v>
      </c>
      <c r="B43" t="str">
        <v>SSEMG_STA_IS_20260227_1000</v>
      </c>
      <c r="C43" s="2">
        <f>'Label IDs'!I43</f>
        <v>18</v>
      </c>
    </row>
    <row r="44" spans="1:3" x14ac:dyDescent="0.25">
      <c r="A44" t="str">
        <v>ISCO</v>
      </c>
      <c r="B44" t="str">
        <v>SSEMG_STA_IS_20260227_1200</v>
      </c>
      <c r="C44" s="2">
        <f>'Label IDs'!I44</f>
        <v>19</v>
      </c>
    </row>
    <row r="45" spans="1:3" x14ac:dyDescent="0.25">
      <c r="A45" t="str">
        <v>ISCO</v>
      </c>
      <c r="B45" t="str">
        <v>SSEMG_STA_IS_20260227_1400</v>
      </c>
      <c r="C45" s="2">
        <f>'Label IDs'!I45</f>
        <v>20</v>
      </c>
    </row>
    <row r="46" spans="1:3" x14ac:dyDescent="0.25">
      <c r="A46" t="str">
        <v>ISCO</v>
      </c>
      <c r="B46" t="str">
        <v>SSEMG_STA_IS_20260227_1600</v>
      </c>
      <c r="C46" s="2">
        <f>'Label IDs'!I46</f>
        <v>21</v>
      </c>
    </row>
    <row r="47" spans="1:3" x14ac:dyDescent="0.25">
      <c r="A47" t="str">
        <v>ISCO</v>
      </c>
      <c r="B47" t="str">
        <v>SSEMG_STA_IS_20260227_1800</v>
      </c>
      <c r="C47" s="2">
        <f>'Label IDs'!I47</f>
        <v>22</v>
      </c>
    </row>
    <row r="48" spans="1:3" x14ac:dyDescent="0.25">
      <c r="A48" t="str">
        <v>ISCO</v>
      </c>
      <c r="B48" t="str">
        <v>SSEMG_STA_IS_20260227_2000</v>
      </c>
      <c r="C48" s="2">
        <f>'Label IDs'!I48</f>
        <v>23</v>
      </c>
    </row>
    <row r="49" spans="1:3" x14ac:dyDescent="0.25">
      <c r="A49" t="str">
        <v>ISCO</v>
      </c>
      <c r="B49" t="str">
        <v>SSEMG_STA_IS_20260227_2200</v>
      </c>
      <c r="C49" s="2">
        <f>'Label IDs'!I49</f>
        <v>24</v>
      </c>
    </row>
    <row r="50" spans="1:3" x14ac:dyDescent="0.25">
      <c r="A50" t="str">
        <v>ISCO</v>
      </c>
      <c r="B50" t="str">
        <v>SSEMG_STA_IS_20260228_0000</v>
      </c>
      <c r="C50" s="2">
        <f>'Label IDs'!I50</f>
        <v>1</v>
      </c>
    </row>
    <row r="51" spans="1:3" x14ac:dyDescent="0.25">
      <c r="A51" t="str">
        <v>ISCO</v>
      </c>
      <c r="B51" t="str">
        <v>SSEMG_STA_IS_20260228_0200</v>
      </c>
      <c r="C51" s="2">
        <f>'Label IDs'!I51</f>
        <v>2</v>
      </c>
    </row>
    <row r="52" spans="1:3" x14ac:dyDescent="0.25">
      <c r="A52" t="str">
        <v>ISCO</v>
      </c>
      <c r="B52" t="str">
        <v>SSEMG_STA_IS_20260228_0400</v>
      </c>
      <c r="C52" s="2">
        <f>'Label IDs'!I52</f>
        <v>3</v>
      </c>
    </row>
    <row r="53" spans="1:3" x14ac:dyDescent="0.25">
      <c r="A53" t="str">
        <v>ISCO</v>
      </c>
      <c r="B53" t="str">
        <v>SSEMG_STA_IS_20260228_0600</v>
      </c>
      <c r="C53" s="2">
        <f>'Label IDs'!I53</f>
        <v>4</v>
      </c>
    </row>
    <row r="54" spans="1:3" x14ac:dyDescent="0.25">
      <c r="A54" t="str">
        <v>ISCO</v>
      </c>
      <c r="B54" t="str">
        <v>SSEMG_STA_IS_20260228_0800</v>
      </c>
      <c r="C54" s="2">
        <f>'Label IDs'!I54</f>
        <v>5</v>
      </c>
    </row>
    <row r="55" spans="1:3" x14ac:dyDescent="0.25">
      <c r="A55" t="str">
        <v>ISCO</v>
      </c>
      <c r="B55" t="str">
        <v>SSEMG_STA_IS_20260228_1000</v>
      </c>
      <c r="C55" s="2">
        <f>'Label IDs'!I55</f>
        <v>6</v>
      </c>
    </row>
    <row r="56" spans="1:3" x14ac:dyDescent="0.25">
      <c r="A56" t="str">
        <v>ISCO</v>
      </c>
      <c r="B56" t="str">
        <v>SSEMG_STA_IS_20260228_1200</v>
      </c>
      <c r="C56" s="2">
        <f>'Label IDs'!I56</f>
        <v>7</v>
      </c>
    </row>
    <row r="57" spans="1:3" x14ac:dyDescent="0.25">
      <c r="A57" t="str">
        <v>ISCO</v>
      </c>
      <c r="B57" t="str">
        <v>SSEMG_STA_IS_20260228_1400</v>
      </c>
      <c r="C57" s="2">
        <f>'Label IDs'!I57</f>
        <v>8</v>
      </c>
    </row>
    <row r="58" spans="1:3" x14ac:dyDescent="0.25">
      <c r="A58" t="str">
        <v>ISCO</v>
      </c>
      <c r="B58" t="str">
        <v>SSEMG_STA_IS_20260228_1600</v>
      </c>
      <c r="C58" s="2">
        <f>'Label IDs'!I58</f>
        <v>9</v>
      </c>
    </row>
    <row r="59" spans="1:3" x14ac:dyDescent="0.25">
      <c r="A59" t="str">
        <v>ISCO</v>
      </c>
      <c r="B59" t="str">
        <v>SSEMG_STA_IS_20260228_1800</v>
      </c>
      <c r="C59" s="2">
        <f>'Label IDs'!I59</f>
        <v>10</v>
      </c>
    </row>
    <row r="60" spans="1:3" x14ac:dyDescent="0.25">
      <c r="A60" t="str">
        <v>ISCO</v>
      </c>
      <c r="B60" t="str">
        <v>SSEMG_STA_IS_20260228_2000</v>
      </c>
      <c r="C60" s="2">
        <f>'Label IDs'!I60</f>
        <v>11</v>
      </c>
    </row>
    <row r="61" spans="1:3" x14ac:dyDescent="0.25">
      <c r="A61" t="str">
        <v>ISCO</v>
      </c>
      <c r="B61" t="str">
        <v>SSEMG_STA_IS_20260228_2200</v>
      </c>
      <c r="C61" s="2">
        <f>'Label IDs'!I61</f>
        <v>12</v>
      </c>
    </row>
    <row r="62" spans="1:3" x14ac:dyDescent="0.25">
      <c r="A62" t="str">
        <v>ISCO</v>
      </c>
      <c r="B62" t="str">
        <v>SSEMG_STA_IS_20260301_0000</v>
      </c>
      <c r="C62" s="2">
        <f>'Label IDs'!I62</f>
        <v>13</v>
      </c>
    </row>
    <row r="63" spans="1:3" x14ac:dyDescent="0.25">
      <c r="A63" t="str">
        <v>ISCO</v>
      </c>
      <c r="B63" t="str">
        <v>SSEMG_STA_IS_20260301_0200</v>
      </c>
      <c r="C63" s="2">
        <f>'Label IDs'!I63</f>
        <v>14</v>
      </c>
    </row>
    <row r="64" spans="1:3" x14ac:dyDescent="0.25">
      <c r="A64" t="str">
        <v>ISCO</v>
      </c>
      <c r="B64" t="str">
        <v>SSEMG_STA_IS_20260301_0400</v>
      </c>
      <c r="C64" s="2">
        <f>'Label IDs'!I64</f>
        <v>15</v>
      </c>
    </row>
    <row r="65" spans="1:3" x14ac:dyDescent="0.25">
      <c r="A65" t="str">
        <v>ISCO</v>
      </c>
      <c r="B65" t="str">
        <v>SSEMG_STA_IS_20260301_0600</v>
      </c>
      <c r="C65" s="2">
        <f>'Label IDs'!I65</f>
        <v>16</v>
      </c>
    </row>
    <row r="66" spans="1:3" x14ac:dyDescent="0.25">
      <c r="A66" t="str">
        <v>ISCO</v>
      </c>
      <c r="B66" t="str">
        <v>SSEMG_STA_IS_20260301_0800</v>
      </c>
      <c r="C66" s="2">
        <f>'Label IDs'!I66</f>
        <v>17</v>
      </c>
    </row>
    <row r="67" spans="1:3" x14ac:dyDescent="0.25">
      <c r="A67" t="str">
        <v>ISCO</v>
      </c>
      <c r="B67" t="str">
        <v>SSEMG_STA_IS_20260301_1000</v>
      </c>
      <c r="C67" s="2">
        <f>'Label IDs'!I67</f>
        <v>18</v>
      </c>
    </row>
    <row r="68" spans="1:3" x14ac:dyDescent="0.25">
      <c r="A68" t="str">
        <v>ISCO</v>
      </c>
      <c r="B68" t="str">
        <v>SSEMG_STA_IS_20260301_1200</v>
      </c>
      <c r="C68" s="2">
        <f>'Label IDs'!I68</f>
        <v>19</v>
      </c>
    </row>
    <row r="69" spans="1:3" x14ac:dyDescent="0.25">
      <c r="A69" t="str">
        <v>ISCO</v>
      </c>
      <c r="B69" t="str">
        <v>SSEMG_STA_IS_20260301_1400</v>
      </c>
      <c r="C69" s="2">
        <f>'Label IDs'!I69</f>
        <v>20</v>
      </c>
    </row>
    <row r="70" spans="1:3" x14ac:dyDescent="0.25">
      <c r="A70" t="str">
        <v>ISCO</v>
      </c>
      <c r="B70" t="str">
        <v>SSEMG_STA_IS_20260301_1600</v>
      </c>
      <c r="C70" s="2">
        <f>'Label IDs'!I70</f>
        <v>21</v>
      </c>
    </row>
    <row r="71" spans="1:3" x14ac:dyDescent="0.25">
      <c r="A71" t="str">
        <v>ISCO</v>
      </c>
      <c r="B71" t="str">
        <v>SSEMG_STA_IS_20260301_1800</v>
      </c>
      <c r="C71" s="2">
        <f>'Label IDs'!I71</f>
        <v>22</v>
      </c>
    </row>
    <row r="72" spans="1:3" x14ac:dyDescent="0.25">
      <c r="A72" t="str">
        <v>ISCO</v>
      </c>
      <c r="B72" t="str">
        <v>SSEMG_STA_IS_20260301_2000</v>
      </c>
      <c r="C72" s="2">
        <f>'Label IDs'!I72</f>
        <v>23</v>
      </c>
    </row>
    <row r="73" spans="1:3" x14ac:dyDescent="0.25">
      <c r="A73" t="str">
        <v>ISCO</v>
      </c>
      <c r="B73" t="str">
        <v>SSEMG_STA_IS_20260301_2200</v>
      </c>
      <c r="C73" s="2">
        <f>'Label IDs'!I73</f>
        <v>24</v>
      </c>
    </row>
    <row r="74" spans="1:3" x14ac:dyDescent="0.25">
      <c r="A74" t="str">
        <v>ISCO</v>
      </c>
      <c r="B74" t="str">
        <v>SSEMG_STA_IS_20260302_0000</v>
      </c>
      <c r="C74" s="2">
        <f>'Label IDs'!I74</f>
        <v>1</v>
      </c>
    </row>
    <row r="75" spans="1:3" x14ac:dyDescent="0.25">
      <c r="A75" t="str">
        <v>ISCO</v>
      </c>
      <c r="B75" t="str">
        <v>SSEMG_STA_IS_20260302_0200</v>
      </c>
      <c r="C75" s="2">
        <f>'Label IDs'!I75</f>
        <v>2</v>
      </c>
    </row>
    <row r="76" spans="1:3" x14ac:dyDescent="0.25">
      <c r="A76" t="str">
        <v>ISCO</v>
      </c>
      <c r="B76" t="str">
        <v>SSEMG_STA_IS_20260302_0400</v>
      </c>
      <c r="C76" s="2">
        <f>'Label IDs'!I76</f>
        <v>3</v>
      </c>
    </row>
    <row r="77" spans="1:3" x14ac:dyDescent="0.25">
      <c r="A77" t="str">
        <v>ISCO</v>
      </c>
      <c r="B77" t="str">
        <v>SSEMG_STA_IS_20260302_0600</v>
      </c>
      <c r="C77" s="2">
        <f>'Label IDs'!I77</f>
        <v>4</v>
      </c>
    </row>
    <row r="78" spans="1:3" x14ac:dyDescent="0.25">
      <c r="A78" t="str">
        <v>ISCO</v>
      </c>
      <c r="B78" t="str">
        <v>SSEMG_STA_IS_20260302_0800</v>
      </c>
      <c r="C78" s="2">
        <f>'Label IDs'!I78</f>
        <v>5</v>
      </c>
    </row>
    <row r="79" spans="1:3" x14ac:dyDescent="0.25">
      <c r="A79" t="str">
        <v>ISCO</v>
      </c>
      <c r="B79" t="str">
        <v>SSEMG_STA_IS_20260302_1000</v>
      </c>
      <c r="C79" s="2">
        <f>'Label IDs'!I79</f>
        <v>6</v>
      </c>
    </row>
    <row r="80" spans="1:3" x14ac:dyDescent="0.25">
      <c r="A80" t="str">
        <v>ISCO</v>
      </c>
      <c r="B80" t="str">
        <v>SSEMG_STA_IS_20260302_1200</v>
      </c>
      <c r="C80" s="2">
        <f>'Label IDs'!I80</f>
        <v>7</v>
      </c>
    </row>
    <row r="81" spans="1:3" x14ac:dyDescent="0.25">
      <c r="A81" t="str">
        <v>ISCO</v>
      </c>
      <c r="B81" t="str">
        <v>SSEMG_STA_IS_20260302_1400</v>
      </c>
      <c r="C81" s="2">
        <f>'Label IDs'!I81</f>
        <v>8</v>
      </c>
    </row>
    <row r="82" spans="1:3" x14ac:dyDescent="0.25">
      <c r="A82" t="str">
        <v>ISCO</v>
      </c>
      <c r="B82" t="str">
        <v>SSEMG_STA_IS_20260302_1600</v>
      </c>
      <c r="C82" s="2">
        <f>'Label IDs'!I82</f>
        <v>9</v>
      </c>
    </row>
    <row r="83" spans="1:3" x14ac:dyDescent="0.25">
      <c r="A83" t="str">
        <v>ISCO</v>
      </c>
      <c r="B83" t="str">
        <v>SSEMG_STA_IS_20260302_1800</v>
      </c>
      <c r="C83" s="2">
        <f>'Label IDs'!I83</f>
        <v>10</v>
      </c>
    </row>
    <row r="84" spans="1:3" x14ac:dyDescent="0.25">
      <c r="A84" t="str">
        <v>ISCO</v>
      </c>
      <c r="B84" t="str">
        <v>SSEMG_STA_IS_20260302_2000</v>
      </c>
      <c r="C84" s="2">
        <f>'Label IDs'!I84</f>
        <v>11</v>
      </c>
    </row>
    <row r="85" spans="1:3" x14ac:dyDescent="0.25">
      <c r="A85" t="str">
        <v>ISCO</v>
      </c>
      <c r="B85" t="str">
        <v>SSEMG_STA_IS_20260302_2200</v>
      </c>
      <c r="C85" s="2">
        <f>'Label IDs'!I85</f>
        <v>12</v>
      </c>
    </row>
    <row r="86" spans="1:3" x14ac:dyDescent="0.25">
      <c r="A86" t="str">
        <v>ISCO</v>
      </c>
      <c r="B86" t="str">
        <v>SSEMG_STA_IS_20260303_0000</v>
      </c>
      <c r="C86" s="2">
        <f>'Label IDs'!I86</f>
        <v>13</v>
      </c>
    </row>
    <row r="87" spans="1:3" x14ac:dyDescent="0.25">
      <c r="A87" t="str">
        <v>ISCO</v>
      </c>
      <c r="B87" t="str">
        <v>SSEMG_STA_IS_20260303_0200</v>
      </c>
      <c r="C87" s="2">
        <f>'Label IDs'!I87</f>
        <v>14</v>
      </c>
    </row>
    <row r="88" spans="1:3" x14ac:dyDescent="0.25">
      <c r="A88" t="str">
        <v>ISCO</v>
      </c>
      <c r="B88" t="str">
        <v>SSEMG_STA_IS_20260303_0400</v>
      </c>
      <c r="C88" s="2">
        <f>'Label IDs'!I88</f>
        <v>15</v>
      </c>
    </row>
    <row r="89" spans="1:3" x14ac:dyDescent="0.25">
      <c r="A89" t="str">
        <v>ISCO</v>
      </c>
      <c r="B89" t="str">
        <v>SSEMG_STA_IS_20260303_0600</v>
      </c>
      <c r="C89" s="2">
        <f>'Label IDs'!I89</f>
        <v>16</v>
      </c>
    </row>
    <row r="90" spans="1:3" x14ac:dyDescent="0.25">
      <c r="A90" t="str">
        <v>ISCO</v>
      </c>
      <c r="B90" t="str">
        <v>SSEMG_STA_IS_20260303_0800</v>
      </c>
      <c r="C90" s="2">
        <f>'Label IDs'!I90</f>
        <v>17</v>
      </c>
    </row>
    <row r="91" spans="1:3" x14ac:dyDescent="0.25">
      <c r="A91" t="str">
        <v>ISCO</v>
      </c>
      <c r="B91" t="str">
        <v>SSEMG_STA_IS_20260303_1000</v>
      </c>
      <c r="C91" s="2">
        <f>'Label IDs'!I91</f>
        <v>18</v>
      </c>
    </row>
    <row r="92" spans="1:3" x14ac:dyDescent="0.25">
      <c r="A92" t="str">
        <v>ISCO</v>
      </c>
      <c r="B92" t="str">
        <v>SSEMG_STA_IS_20260303_1200</v>
      </c>
      <c r="C92" s="2">
        <f>'Label IDs'!I92</f>
        <v>19</v>
      </c>
    </row>
    <row r="93" spans="1:3" x14ac:dyDescent="0.25">
      <c r="A93" t="str">
        <v>ISCO</v>
      </c>
      <c r="B93" t="str">
        <v>SSEMG_STA_IS_20260303_1400</v>
      </c>
      <c r="C93" s="2">
        <f>'Label IDs'!I93</f>
        <v>20</v>
      </c>
    </row>
    <row r="94" spans="1:3" x14ac:dyDescent="0.25">
      <c r="A94" t="str">
        <v>ISCO</v>
      </c>
      <c r="B94" t="str">
        <v>SSEMG_STA_IS_20260303_1600</v>
      </c>
      <c r="C94" s="2">
        <f>'Label IDs'!I94</f>
        <v>21</v>
      </c>
    </row>
    <row r="95" spans="1:3" x14ac:dyDescent="0.25">
      <c r="A95" t="str">
        <v>ISCO</v>
      </c>
      <c r="B95" t="str">
        <v>SSEMG_STA_IS_20260303_1800</v>
      </c>
      <c r="C95" s="2">
        <f>'Label IDs'!I95</f>
        <v>22</v>
      </c>
    </row>
    <row r="96" spans="1:3" x14ac:dyDescent="0.25">
      <c r="A96" t="str">
        <v>ISCO</v>
      </c>
      <c r="B96" t="str">
        <v>SSEMG_STA_IS_20260303_2000</v>
      </c>
      <c r="C96" s="2">
        <f>'Label IDs'!I96</f>
        <v>23</v>
      </c>
    </row>
    <row r="97" spans="1:3" x14ac:dyDescent="0.25">
      <c r="A97" t="str">
        <v>ISCO</v>
      </c>
      <c r="B97" t="str">
        <v>SSEMG_STA_IS_20260303_2200</v>
      </c>
      <c r="C97" s="2">
        <f>'Label IDs'!I97</f>
        <v>24</v>
      </c>
    </row>
    <row r="98" spans="1:3" x14ac:dyDescent="0.25">
      <c r="A98" t="str">
        <v>ISCO</v>
      </c>
      <c r="B98" t="str">
        <v>SSEMG_STA_IS_20260304_0000</v>
      </c>
      <c r="C98" s="2">
        <f>'Label IDs'!I98</f>
        <v>1</v>
      </c>
    </row>
    <row r="99" spans="1:3" x14ac:dyDescent="0.25">
      <c r="A99" t="str">
        <v>ISCO</v>
      </c>
      <c r="B99" t="str">
        <v>SSEMG_STA_IS_20260304_0200</v>
      </c>
      <c r="C99" s="2">
        <f>'Label IDs'!I99</f>
        <v>2</v>
      </c>
    </row>
    <row r="100" spans="1:3" x14ac:dyDescent="0.25">
      <c r="A100" t="str">
        <v>ISCO</v>
      </c>
      <c r="B100" t="str">
        <v>SSEMG_STA_IS_20260304_0400</v>
      </c>
      <c r="C100" s="2">
        <f>'Label IDs'!I100</f>
        <v>3</v>
      </c>
    </row>
    <row r="101" spans="1:3" x14ac:dyDescent="0.25">
      <c r="A101" t="str">
        <v>ISCO</v>
      </c>
      <c r="B101" t="str">
        <v>SSEMG_STA_IS_20260304_0600</v>
      </c>
      <c r="C101" s="2">
        <f>'Label IDs'!I101</f>
        <v>4</v>
      </c>
    </row>
    <row r="102" spans="1:3" x14ac:dyDescent="0.25">
      <c r="A102" t="str">
        <v/>
      </c>
      <c r="B102" t="str">
        <v/>
      </c>
      <c r="C102" s="2">
        <f>'Label IDs'!I102</f>
        <v>0</v>
      </c>
    </row>
    <row r="103" spans="1:3" x14ac:dyDescent="0.25">
      <c r="A103" t="str">
        <v/>
      </c>
      <c r="B103" t="str">
        <v/>
      </c>
      <c r="C103" s="2">
        <f>'Label IDs'!I103</f>
        <v>0</v>
      </c>
    </row>
  </sheetData>
  <conditionalFormatting sqref="A1:A283">
    <cfRule type="cellIs" dxfId="14" priority="1" operator="equal">
      <formula>"BPCA"</formula>
    </cfRule>
    <cfRule type="cellIs" dxfId="13" priority="2" operator="equal">
      <formula>"Grab"</formula>
    </cfRule>
    <cfRule type="cellIs" dxfId="12" priority="3" operator="equal">
      <formula>"ISCO"</formula>
    </cfRule>
    <cfRule type="cellIs" dxfId="11" priority="4" operator="equal">
      <formula>"Excess"</formula>
    </cfRule>
    <cfRule type="cellIs" dxfId="10" priority="5" operator="equal">
      <formula>"CCAL"</formula>
    </cfRule>
    <cfRule type="cellIs" dxfId="9" priority="6" operator="equal">
      <formula>"Levoglucosan"</formula>
    </cfRule>
    <cfRule type="cellIs" dxfId="8" priority="7" operator="equal">
      <formula>"Aqualog"</formula>
    </cfRule>
    <cfRule type="cellIs" dxfId="7" priority="8" operator="equal">
      <formula>"Shimadzu"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C501"/>
  <sheetViews>
    <sheetView showFormulas="1" zoomScaleNormal="100" workbookViewId="0">
      <selection activeCell="B8" sqref="B8"/>
    </sheetView>
  </sheetViews>
  <sheetFormatPr defaultRowHeight="15" x14ac:dyDescent="0.25"/>
  <cols>
    <col min="1" max="1" width="13.28515625" customWidth="1"/>
    <col min="2" max="2" width="32.5703125" customWidth="1"/>
  </cols>
  <sheetData>
    <row r="1" spans="1:3" x14ac:dyDescent="0.25">
      <c r="A1" s="31" t="s">
        <v>41</v>
      </c>
      <c r="B1" s="31" t="s">
        <v>42</v>
      </c>
      <c r="C1" s="31" t="s">
        <v>89</v>
      </c>
    </row>
    <row r="2" spans="1:3" x14ac:dyDescent="0.25">
      <c r="A2" t="str" cm="1">
        <f t="array" ref="A2:B501">_xlfn._xlws.SORT(
    _xlfn.LET(
        _xlpm.data, 'Label IDs'!Q2:U321,
        _xlpm.headers, 'Label IDs'!Q1:U1,
        _xlpm.values, IF(FILLME!B9 = "Bottle Number", 'Label IDs'!L2:L321, 'Label IDs'!M2:M321),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_xlfn._xlws.FILTER(CHOOSE({1,2}, _xlpm.hdr, _xlpm.val), _xlpm.flag)
    ),
    1, 1
)</f>
        <v>Aqualog</v>
      </c>
      <c r="B2" t="str">
        <v>SSEMG_STA_IS_20260224_0000</v>
      </c>
      <c r="C2" t="str">
        <f>IF(A2='Label IDs'!$Q$1,FILLME!$E$6,IF(A2='Label IDs'!$R$1,FILLME!$E$8,IF(A2='Label IDs'!$S$1,FILLME!$E$9,IF(A2='Label IDs'!$T$1,FILLME!$E$10,IF(A2='Label IDs'!$U$1,FILLME!$E$11)))))</f>
        <v>AQ</v>
      </c>
    </row>
    <row r="3" spans="1:3" x14ac:dyDescent="0.25">
      <c r="A3" t="str">
        <v>Aqualog</v>
      </c>
      <c r="B3" t="str">
        <v>SSEMG_STA_IS_20260224_0200</v>
      </c>
      <c r="C3" t="str">
        <f>IF(A3='Label IDs'!$Q$1,FILLME!$E$6,IF(A3='Label IDs'!$R$1,FILLME!$E$8,IF(A3='Label IDs'!$S$1,FILLME!$E$9,IF(A3='Label IDs'!$T$1,FILLME!$E$10,IF(A3='Label IDs'!$U$1,FILLME!$E$11)))))</f>
        <v>AQ</v>
      </c>
    </row>
    <row r="4" spans="1:3" x14ac:dyDescent="0.25">
      <c r="A4" t="str">
        <v>Aqualog</v>
      </c>
      <c r="B4" t="str">
        <v>SSEMG_STA_IS_20260224_0400</v>
      </c>
      <c r="C4" t="str">
        <f>IF(A4='Label IDs'!$Q$1,FILLME!$E$6,IF(A4='Label IDs'!$R$1,FILLME!$E$8,IF(A4='Label IDs'!$S$1,FILLME!$E$9,IF(A4='Label IDs'!$T$1,FILLME!$E$10,IF(A4='Label IDs'!$U$1,FILLME!$E$11)))))</f>
        <v>AQ</v>
      </c>
    </row>
    <row r="5" spans="1:3" x14ac:dyDescent="0.25">
      <c r="A5" t="str">
        <v>Aqualog</v>
      </c>
      <c r="B5" t="str">
        <v>SSEMG_STA_IS_20260224_0600</v>
      </c>
      <c r="C5" t="str">
        <f>IF(A5='Label IDs'!$Q$1,FILLME!$E$6,IF(A5='Label IDs'!$R$1,FILLME!$E$8,IF(A5='Label IDs'!$S$1,FILLME!$E$9,IF(A5='Label IDs'!$T$1,FILLME!$E$10,IF(A5='Label IDs'!$U$1,FILLME!$E$11)))))</f>
        <v>AQ</v>
      </c>
    </row>
    <row r="6" spans="1:3" x14ac:dyDescent="0.25">
      <c r="A6" t="str">
        <v>Aqualog</v>
      </c>
      <c r="B6" t="str">
        <v>SSEMG_STA_IS_20260224_0800</v>
      </c>
      <c r="C6" t="str">
        <f>IF(A6='Label IDs'!$Q$1,FILLME!$E$6,IF(A6='Label IDs'!$R$1,FILLME!$E$8,IF(A6='Label IDs'!$S$1,FILLME!$E$9,IF(A6='Label IDs'!$T$1,FILLME!$E$10,IF(A6='Label IDs'!$U$1,FILLME!$E$11)))))</f>
        <v>AQ</v>
      </c>
    </row>
    <row r="7" spans="1:3" x14ac:dyDescent="0.25">
      <c r="A7" t="str">
        <v>Aqualog</v>
      </c>
      <c r="B7" t="str">
        <v>SSEMG_STA_IS_20260224_1000</v>
      </c>
      <c r="C7" t="str">
        <f>IF(A7='Label IDs'!$Q$1,FILLME!$E$6,IF(A7='Label IDs'!$R$1,FILLME!$E$8,IF(A7='Label IDs'!$S$1,FILLME!$E$9,IF(A7='Label IDs'!$T$1,FILLME!$E$10,IF(A7='Label IDs'!$U$1,FILLME!$E$11)))))</f>
        <v>AQ</v>
      </c>
    </row>
    <row r="8" spans="1:3" x14ac:dyDescent="0.25">
      <c r="A8" t="str">
        <v>Aqualog</v>
      </c>
      <c r="B8" t="str">
        <v>SSEMG_STA_IS_20260224_1200</v>
      </c>
      <c r="C8" t="str">
        <f>IF(A8='Label IDs'!$Q$1,FILLME!$E$6,IF(A8='Label IDs'!$R$1,FILLME!$E$8,IF(A8='Label IDs'!$S$1,FILLME!$E$9,IF(A8='Label IDs'!$T$1,FILLME!$E$10,IF(A8='Label IDs'!$U$1,FILLME!$E$11)))))</f>
        <v>AQ</v>
      </c>
    </row>
    <row r="9" spans="1:3" x14ac:dyDescent="0.25">
      <c r="A9" t="str">
        <v>Aqualog</v>
      </c>
      <c r="B9" t="str">
        <v>SSEMG_STA_IS_20260224_1400</v>
      </c>
      <c r="C9" t="str">
        <f>IF(A9='Label IDs'!$Q$1,FILLME!$E$6,IF(A9='Label IDs'!$R$1,FILLME!$E$8,IF(A9='Label IDs'!$S$1,FILLME!$E$9,IF(A9='Label IDs'!$T$1,FILLME!$E$10,IF(A9='Label IDs'!$U$1,FILLME!$E$11)))))</f>
        <v>AQ</v>
      </c>
    </row>
    <row r="10" spans="1:3" x14ac:dyDescent="0.25">
      <c r="A10" t="str">
        <v>Aqualog</v>
      </c>
      <c r="B10" t="str">
        <v>SSEMG_STA_IS_20260224_1600</v>
      </c>
      <c r="C10" t="str">
        <f>IF(A10='Label IDs'!$Q$1,FILLME!$E$6,IF(A10='Label IDs'!$R$1,FILLME!$E$8,IF(A10='Label IDs'!$S$1,FILLME!$E$9,IF(A10='Label IDs'!$T$1,FILLME!$E$10,IF(A10='Label IDs'!$U$1,FILLME!$E$11)))))</f>
        <v>AQ</v>
      </c>
    </row>
    <row r="11" spans="1:3" x14ac:dyDescent="0.25">
      <c r="A11" t="str">
        <v>Aqualog</v>
      </c>
      <c r="B11" t="str">
        <v>SSEMG_STA_IS_20260224_1800</v>
      </c>
      <c r="C11" t="str">
        <f>IF(A11='Label IDs'!$Q$1,FILLME!$E$6,IF(A11='Label IDs'!$R$1,FILLME!$E$8,IF(A11='Label IDs'!$S$1,FILLME!$E$9,IF(A11='Label IDs'!$T$1,FILLME!$E$10,IF(A11='Label IDs'!$U$1,FILLME!$E$11)))))</f>
        <v>AQ</v>
      </c>
    </row>
    <row r="12" spans="1:3" x14ac:dyDescent="0.25">
      <c r="A12" t="str">
        <v>Aqualog</v>
      </c>
      <c r="B12" t="str">
        <v>SSEMG_STA_IS_20260224_2000</v>
      </c>
      <c r="C12" t="str">
        <f>IF(A12='Label IDs'!$Q$1,FILLME!$E$6,IF(A12='Label IDs'!$R$1,FILLME!$E$8,IF(A12='Label IDs'!$S$1,FILLME!$E$9,IF(A12='Label IDs'!$T$1,FILLME!$E$10,IF(A12='Label IDs'!$U$1,FILLME!$E$11)))))</f>
        <v>AQ</v>
      </c>
    </row>
    <row r="13" spans="1:3" x14ac:dyDescent="0.25">
      <c r="A13" t="str">
        <v>Aqualog</v>
      </c>
      <c r="B13" t="str">
        <v>SSEMG_STA_IS_20260224_2200</v>
      </c>
      <c r="C13" t="str">
        <f>IF(A13='Label IDs'!$Q$1,FILLME!$E$6,IF(A13='Label IDs'!$R$1,FILLME!$E$8,IF(A13='Label IDs'!$S$1,FILLME!$E$9,IF(A13='Label IDs'!$T$1,FILLME!$E$10,IF(A13='Label IDs'!$U$1,FILLME!$E$11)))))</f>
        <v>AQ</v>
      </c>
    </row>
    <row r="14" spans="1:3" x14ac:dyDescent="0.25">
      <c r="A14" t="str">
        <v>Aqualog</v>
      </c>
      <c r="B14" t="str">
        <v>SSEMG_STA_IS_20260225_0000</v>
      </c>
      <c r="C14" t="str">
        <f>IF(A14='Label IDs'!$Q$1,FILLME!$E$6,IF(A14='Label IDs'!$R$1,FILLME!$E$8,IF(A14='Label IDs'!$S$1,FILLME!$E$9,IF(A14='Label IDs'!$T$1,FILLME!$E$10,IF(A14='Label IDs'!$U$1,FILLME!$E$11)))))</f>
        <v>AQ</v>
      </c>
    </row>
    <row r="15" spans="1:3" x14ac:dyDescent="0.25">
      <c r="A15" t="str">
        <v>Aqualog</v>
      </c>
      <c r="B15" t="str">
        <v>SSEMG_STA_IS_20260225_0200</v>
      </c>
      <c r="C15" t="str">
        <f>IF(A15='Label IDs'!$Q$1,FILLME!$E$6,IF(A15='Label IDs'!$R$1,FILLME!$E$8,IF(A15='Label IDs'!$S$1,FILLME!$E$9,IF(A15='Label IDs'!$T$1,FILLME!$E$10,IF(A15='Label IDs'!$U$1,FILLME!$E$11)))))</f>
        <v>AQ</v>
      </c>
    </row>
    <row r="16" spans="1:3" x14ac:dyDescent="0.25">
      <c r="A16" t="str">
        <v>Aqualog</v>
      </c>
      <c r="B16" t="str">
        <v>SSEMG_STA_IS_20260225_0400</v>
      </c>
      <c r="C16" t="str">
        <f>IF(A16='Label IDs'!$Q$1,FILLME!$E$6,IF(A16='Label IDs'!$R$1,FILLME!$E$8,IF(A16='Label IDs'!$S$1,FILLME!$E$9,IF(A16='Label IDs'!$T$1,FILLME!$E$10,IF(A16='Label IDs'!$U$1,FILLME!$E$11)))))</f>
        <v>AQ</v>
      </c>
    </row>
    <row r="17" spans="1:3" x14ac:dyDescent="0.25">
      <c r="A17" t="str">
        <v>Aqualog</v>
      </c>
      <c r="B17" t="str">
        <v>SSEMG_STA_IS_20260225_0600</v>
      </c>
      <c r="C17" t="str">
        <f>IF(A17='Label IDs'!$Q$1,FILLME!$E$6,IF(A17='Label IDs'!$R$1,FILLME!$E$8,IF(A17='Label IDs'!$S$1,FILLME!$E$9,IF(A17='Label IDs'!$T$1,FILLME!$E$10,IF(A17='Label IDs'!$U$1,FILLME!$E$11)))))</f>
        <v>AQ</v>
      </c>
    </row>
    <row r="18" spans="1:3" x14ac:dyDescent="0.25">
      <c r="A18" t="str">
        <v>Aqualog</v>
      </c>
      <c r="B18" t="str">
        <v>SSEMG_STA_IS_20260225_0800</v>
      </c>
      <c r="C18" t="str">
        <f>IF(A18='Label IDs'!$Q$1,FILLME!$E$6,IF(A18='Label IDs'!$R$1,FILLME!$E$8,IF(A18='Label IDs'!$S$1,FILLME!$E$9,IF(A18='Label IDs'!$T$1,FILLME!$E$10,IF(A18='Label IDs'!$U$1,FILLME!$E$11)))))</f>
        <v>AQ</v>
      </c>
    </row>
    <row r="19" spans="1:3" x14ac:dyDescent="0.25">
      <c r="A19" t="str">
        <v>Aqualog</v>
      </c>
      <c r="B19" t="str">
        <v>SSEMG_STA_IS_20260225_1000</v>
      </c>
      <c r="C19" t="str">
        <f>IF(A19='Label IDs'!$Q$1,FILLME!$E$6,IF(A19='Label IDs'!$R$1,FILLME!$E$8,IF(A19='Label IDs'!$S$1,FILLME!$E$9,IF(A19='Label IDs'!$T$1,FILLME!$E$10,IF(A19='Label IDs'!$U$1,FILLME!$E$11)))))</f>
        <v>AQ</v>
      </c>
    </row>
    <row r="20" spans="1:3" x14ac:dyDescent="0.25">
      <c r="A20" t="str">
        <v>Aqualog</v>
      </c>
      <c r="B20" t="str">
        <v>SSEMG_STA_IS_20260225_1200</v>
      </c>
      <c r="C20" t="str">
        <f>IF(A20='Label IDs'!$Q$1,FILLME!$E$6,IF(A20='Label IDs'!$R$1,FILLME!$E$8,IF(A20='Label IDs'!$S$1,FILLME!$E$9,IF(A20='Label IDs'!$T$1,FILLME!$E$10,IF(A20='Label IDs'!$U$1,FILLME!$E$11)))))</f>
        <v>AQ</v>
      </c>
    </row>
    <row r="21" spans="1:3" x14ac:dyDescent="0.25">
      <c r="A21" t="str">
        <v>Aqualog</v>
      </c>
      <c r="B21" t="str">
        <v>SSEMG_STA_IS_20260225_1400</v>
      </c>
      <c r="C21" t="str">
        <f>IF(A21='Label IDs'!$Q$1,FILLME!$E$6,IF(A21='Label IDs'!$R$1,FILLME!$E$8,IF(A21='Label IDs'!$S$1,FILLME!$E$9,IF(A21='Label IDs'!$T$1,FILLME!$E$10,IF(A21='Label IDs'!$U$1,FILLME!$E$11)))))</f>
        <v>AQ</v>
      </c>
    </row>
    <row r="22" spans="1:3" x14ac:dyDescent="0.25">
      <c r="A22" t="str">
        <v>Aqualog</v>
      </c>
      <c r="B22" t="str">
        <v>SSEMG_STA_IS_20260225_1600</v>
      </c>
      <c r="C22" t="str">
        <f>IF(A22='Label IDs'!$Q$1,FILLME!$E$6,IF(A22='Label IDs'!$R$1,FILLME!$E$8,IF(A22='Label IDs'!$S$1,FILLME!$E$9,IF(A22='Label IDs'!$T$1,FILLME!$E$10,IF(A22='Label IDs'!$U$1,FILLME!$E$11)))))</f>
        <v>AQ</v>
      </c>
    </row>
    <row r="23" spans="1:3" x14ac:dyDescent="0.25">
      <c r="A23" t="str">
        <v>Aqualog</v>
      </c>
      <c r="B23" t="str">
        <v>SSEMG_STA_IS_20260225_1800</v>
      </c>
      <c r="C23" t="str">
        <f>IF(A23='Label IDs'!$Q$1,FILLME!$E$6,IF(A23='Label IDs'!$R$1,FILLME!$E$8,IF(A23='Label IDs'!$S$1,FILLME!$E$9,IF(A23='Label IDs'!$T$1,FILLME!$E$10,IF(A23='Label IDs'!$U$1,FILLME!$E$11)))))</f>
        <v>AQ</v>
      </c>
    </row>
    <row r="24" spans="1:3" x14ac:dyDescent="0.25">
      <c r="A24" t="str">
        <v>Aqualog</v>
      </c>
      <c r="B24" t="str">
        <v>SSEMG_STA_IS_20260225_2000</v>
      </c>
      <c r="C24" t="str">
        <f>IF(A24='Label IDs'!$Q$1,FILLME!$E$6,IF(A24='Label IDs'!$R$1,FILLME!$E$8,IF(A24='Label IDs'!$S$1,FILLME!$E$9,IF(A24='Label IDs'!$T$1,FILLME!$E$10,IF(A24='Label IDs'!$U$1,FILLME!$E$11)))))</f>
        <v>AQ</v>
      </c>
    </row>
    <row r="25" spans="1:3" x14ac:dyDescent="0.25">
      <c r="A25" t="str">
        <v>Aqualog</v>
      </c>
      <c r="B25" t="str">
        <v>SSEMG_STA_IS_20260225_2200</v>
      </c>
      <c r="C25" t="str">
        <f>IF(A25='Label IDs'!$Q$1,FILLME!$E$6,IF(A25='Label IDs'!$R$1,FILLME!$E$8,IF(A25='Label IDs'!$S$1,FILLME!$E$9,IF(A25='Label IDs'!$T$1,FILLME!$E$10,IF(A25='Label IDs'!$U$1,FILLME!$E$11)))))</f>
        <v>AQ</v>
      </c>
    </row>
    <row r="26" spans="1:3" x14ac:dyDescent="0.25">
      <c r="A26" t="str">
        <v>Aqualog</v>
      </c>
      <c r="B26" t="str">
        <v>SSEMG_STA_IS_20260226_0000</v>
      </c>
      <c r="C26" t="str">
        <f>IF(A26='Label IDs'!$Q$1,FILLME!$E$6,IF(A26='Label IDs'!$R$1,FILLME!$E$8,IF(A26='Label IDs'!$S$1,FILLME!$E$9,IF(A26='Label IDs'!$T$1,FILLME!$E$10,IF(A26='Label IDs'!$U$1,FILLME!$E$11)))))</f>
        <v>AQ</v>
      </c>
    </row>
    <row r="27" spans="1:3" x14ac:dyDescent="0.25">
      <c r="A27" t="str">
        <v>Aqualog</v>
      </c>
      <c r="B27" t="str">
        <v>SSEMG_STA_IS_20260226_0200</v>
      </c>
      <c r="C27" t="str">
        <f>IF(A27='Label IDs'!$Q$1,FILLME!$E$6,IF(A27='Label IDs'!$R$1,FILLME!$E$8,IF(A27='Label IDs'!$S$1,FILLME!$E$9,IF(A27='Label IDs'!$T$1,FILLME!$E$10,IF(A27='Label IDs'!$U$1,FILLME!$E$11)))))</f>
        <v>AQ</v>
      </c>
    </row>
    <row r="28" spans="1:3" x14ac:dyDescent="0.25">
      <c r="A28" t="str">
        <v>Aqualog</v>
      </c>
      <c r="B28" t="str">
        <v>SSEMG_STA_IS_20260226_0400</v>
      </c>
      <c r="C28" t="str">
        <f>IF(A28='Label IDs'!$Q$1,FILLME!$E$6,IF(A28='Label IDs'!$R$1,FILLME!$E$8,IF(A28='Label IDs'!$S$1,FILLME!$E$9,IF(A28='Label IDs'!$T$1,FILLME!$E$10,IF(A28='Label IDs'!$U$1,FILLME!$E$11)))))</f>
        <v>AQ</v>
      </c>
    </row>
    <row r="29" spans="1:3" x14ac:dyDescent="0.25">
      <c r="A29" t="str">
        <v>Aqualog</v>
      </c>
      <c r="B29" t="str">
        <v>SSEMG_STA_IS_20260226_0600</v>
      </c>
      <c r="C29" t="str">
        <f>IF(A29='Label IDs'!$Q$1,FILLME!$E$6,IF(A29='Label IDs'!$R$1,FILLME!$E$8,IF(A29='Label IDs'!$S$1,FILLME!$E$9,IF(A29='Label IDs'!$T$1,FILLME!$E$10,IF(A29='Label IDs'!$U$1,FILLME!$E$11)))))</f>
        <v>AQ</v>
      </c>
    </row>
    <row r="30" spans="1:3" x14ac:dyDescent="0.25">
      <c r="A30" t="str">
        <v>Aqualog</v>
      </c>
      <c r="B30" t="str">
        <v>SSEMG_STA_IS_20260226_0800</v>
      </c>
      <c r="C30" t="str">
        <f>IF(A30='Label IDs'!$Q$1,FILLME!$E$6,IF(A30='Label IDs'!$R$1,FILLME!$E$8,IF(A30='Label IDs'!$S$1,FILLME!$E$9,IF(A30='Label IDs'!$T$1,FILLME!$E$10,IF(A30='Label IDs'!$U$1,FILLME!$E$11)))))</f>
        <v>AQ</v>
      </c>
    </row>
    <row r="31" spans="1:3" x14ac:dyDescent="0.25">
      <c r="A31" t="str">
        <v>Aqualog</v>
      </c>
      <c r="B31" t="str">
        <v>SSEMG_STA_IS_20260226_1000</v>
      </c>
      <c r="C31" t="str">
        <f>IF(A31='Label IDs'!$Q$1,FILLME!$E$6,IF(A31='Label IDs'!$R$1,FILLME!$E$8,IF(A31='Label IDs'!$S$1,FILLME!$E$9,IF(A31='Label IDs'!$T$1,FILLME!$E$10,IF(A31='Label IDs'!$U$1,FILLME!$E$11)))))</f>
        <v>AQ</v>
      </c>
    </row>
    <row r="32" spans="1:3" x14ac:dyDescent="0.25">
      <c r="A32" t="str">
        <v>Aqualog</v>
      </c>
      <c r="B32" t="str">
        <v>SSEMG_STA_IS_20260226_1200</v>
      </c>
      <c r="C32" t="str">
        <f>IF(A32='Label IDs'!$Q$1,FILLME!$E$6,IF(A32='Label IDs'!$R$1,FILLME!$E$8,IF(A32='Label IDs'!$S$1,FILLME!$E$9,IF(A32='Label IDs'!$T$1,FILLME!$E$10,IF(A32='Label IDs'!$U$1,FILLME!$E$11)))))</f>
        <v>AQ</v>
      </c>
    </row>
    <row r="33" spans="1:3" x14ac:dyDescent="0.25">
      <c r="A33" t="str">
        <v>Aqualog</v>
      </c>
      <c r="B33" t="str">
        <v>SSEMG_STA_IS_20260226_1400</v>
      </c>
      <c r="C33" t="str">
        <f>IF(A33='Label IDs'!$Q$1,FILLME!$E$6,IF(A33='Label IDs'!$R$1,FILLME!$E$8,IF(A33='Label IDs'!$S$1,FILLME!$E$9,IF(A33='Label IDs'!$T$1,FILLME!$E$10,IF(A33='Label IDs'!$U$1,FILLME!$E$11)))))</f>
        <v>AQ</v>
      </c>
    </row>
    <row r="34" spans="1:3" x14ac:dyDescent="0.25">
      <c r="A34" t="str">
        <v>Aqualog</v>
      </c>
      <c r="B34" t="str">
        <v>SSEMG_STA_IS_20260226_1600</v>
      </c>
      <c r="C34" t="str">
        <f>IF(A34='Label IDs'!$Q$1,FILLME!$E$6,IF(A34='Label IDs'!$R$1,FILLME!$E$8,IF(A34='Label IDs'!$S$1,FILLME!$E$9,IF(A34='Label IDs'!$T$1,FILLME!$E$10,IF(A34='Label IDs'!$U$1,FILLME!$E$11)))))</f>
        <v>AQ</v>
      </c>
    </row>
    <row r="35" spans="1:3" x14ac:dyDescent="0.25">
      <c r="A35" t="str">
        <v>Aqualog</v>
      </c>
      <c r="B35" t="str">
        <v>SSEMG_STA_IS_20260226_1800</v>
      </c>
      <c r="C35" t="str">
        <f>IF(A35='Label IDs'!$Q$1,FILLME!$E$6,IF(A35='Label IDs'!$R$1,FILLME!$E$8,IF(A35='Label IDs'!$S$1,FILLME!$E$9,IF(A35='Label IDs'!$T$1,FILLME!$E$10,IF(A35='Label IDs'!$U$1,FILLME!$E$11)))))</f>
        <v>AQ</v>
      </c>
    </row>
    <row r="36" spans="1:3" x14ac:dyDescent="0.25">
      <c r="A36" t="str">
        <v>Aqualog</v>
      </c>
      <c r="B36" t="str">
        <v>SSEMG_STA_IS_20260226_2000</v>
      </c>
      <c r="C36" t="str">
        <f>IF(A36='Label IDs'!$Q$1,FILLME!$E$6,IF(A36='Label IDs'!$R$1,FILLME!$E$8,IF(A36='Label IDs'!$S$1,FILLME!$E$9,IF(A36='Label IDs'!$T$1,FILLME!$E$10,IF(A36='Label IDs'!$U$1,FILLME!$E$11)))))</f>
        <v>AQ</v>
      </c>
    </row>
    <row r="37" spans="1:3" x14ac:dyDescent="0.25">
      <c r="A37" t="str">
        <v>Aqualog</v>
      </c>
      <c r="B37" t="str">
        <v>SSEMG_STA_IS_20260226_2200</v>
      </c>
      <c r="C37" t="str">
        <f>IF(A37='Label IDs'!$Q$1,FILLME!$E$6,IF(A37='Label IDs'!$R$1,FILLME!$E$8,IF(A37='Label IDs'!$S$1,FILLME!$E$9,IF(A37='Label IDs'!$T$1,FILLME!$E$10,IF(A37='Label IDs'!$U$1,FILLME!$E$11)))))</f>
        <v>AQ</v>
      </c>
    </row>
    <row r="38" spans="1:3" x14ac:dyDescent="0.25">
      <c r="A38" t="str">
        <v>Aqualog</v>
      </c>
      <c r="B38" t="str">
        <v>SSEMG_STA_IS_20260227_0000</v>
      </c>
      <c r="C38" t="str">
        <f>IF(A38='Label IDs'!$Q$1,FILLME!$E$6,IF(A38='Label IDs'!$R$1,FILLME!$E$8,IF(A38='Label IDs'!$S$1,FILLME!$E$9,IF(A38='Label IDs'!$T$1,FILLME!$E$10,IF(A38='Label IDs'!$U$1,FILLME!$E$11)))))</f>
        <v>AQ</v>
      </c>
    </row>
    <row r="39" spans="1:3" x14ac:dyDescent="0.25">
      <c r="A39" t="str">
        <v>Aqualog</v>
      </c>
      <c r="B39" t="str">
        <v>SSEMG_STA_IS_20260227_0200</v>
      </c>
      <c r="C39" t="str">
        <f>IF(A39='Label IDs'!$Q$1,FILLME!$E$6,IF(A39='Label IDs'!$R$1,FILLME!$E$8,IF(A39='Label IDs'!$S$1,FILLME!$E$9,IF(A39='Label IDs'!$T$1,FILLME!$E$10,IF(A39='Label IDs'!$U$1,FILLME!$E$11)))))</f>
        <v>AQ</v>
      </c>
    </row>
    <row r="40" spans="1:3" x14ac:dyDescent="0.25">
      <c r="A40" t="str">
        <v>Aqualog</v>
      </c>
      <c r="B40" t="str">
        <v>SSEMG_STA_IS_20260227_0400</v>
      </c>
      <c r="C40" t="str">
        <f>IF(A40='Label IDs'!$Q$1,FILLME!$E$6,IF(A40='Label IDs'!$R$1,FILLME!$E$8,IF(A40='Label IDs'!$S$1,FILLME!$E$9,IF(A40='Label IDs'!$T$1,FILLME!$E$10,IF(A40='Label IDs'!$U$1,FILLME!$E$11)))))</f>
        <v>AQ</v>
      </c>
    </row>
    <row r="41" spans="1:3" x14ac:dyDescent="0.25">
      <c r="A41" t="str">
        <v>Aqualog</v>
      </c>
      <c r="B41" t="str">
        <v>SSEMG_STA_IS_20260227_0600</v>
      </c>
      <c r="C41" t="str">
        <f>IF(A41='Label IDs'!$Q$1,FILLME!$E$6,IF(A41='Label IDs'!$R$1,FILLME!$E$8,IF(A41='Label IDs'!$S$1,FILLME!$E$9,IF(A41='Label IDs'!$T$1,FILLME!$E$10,IF(A41='Label IDs'!$U$1,FILLME!$E$11)))))</f>
        <v>AQ</v>
      </c>
    </row>
    <row r="42" spans="1:3" x14ac:dyDescent="0.25">
      <c r="A42" t="str">
        <v>Aqualog</v>
      </c>
      <c r="B42" t="str">
        <v>SSEMG_STA_IS_20260227_0800</v>
      </c>
      <c r="C42" t="str">
        <f>IF(A42='Label IDs'!$Q$1,FILLME!$E$6,IF(A42='Label IDs'!$R$1,FILLME!$E$8,IF(A42='Label IDs'!$S$1,FILLME!$E$9,IF(A42='Label IDs'!$T$1,FILLME!$E$10,IF(A42='Label IDs'!$U$1,FILLME!$E$11)))))</f>
        <v>AQ</v>
      </c>
    </row>
    <row r="43" spans="1:3" x14ac:dyDescent="0.25">
      <c r="A43" t="str">
        <v>Aqualog</v>
      </c>
      <c r="B43" t="str">
        <v>SSEMG_STA_IS_20260227_1000</v>
      </c>
      <c r="C43" t="str">
        <f>IF(A43='Label IDs'!$Q$1,FILLME!$E$6,IF(A43='Label IDs'!$R$1,FILLME!$E$8,IF(A43='Label IDs'!$S$1,FILLME!$E$9,IF(A43='Label IDs'!$T$1,FILLME!$E$10,IF(A43='Label IDs'!$U$1,FILLME!$E$11)))))</f>
        <v>AQ</v>
      </c>
    </row>
    <row r="44" spans="1:3" x14ac:dyDescent="0.25">
      <c r="A44" t="str">
        <v>Aqualog</v>
      </c>
      <c r="B44" t="str">
        <v>SSEMG_STA_IS_20260227_1200</v>
      </c>
      <c r="C44" t="str">
        <f>IF(A44='Label IDs'!$Q$1,FILLME!$E$6,IF(A44='Label IDs'!$R$1,FILLME!$E$8,IF(A44='Label IDs'!$S$1,FILLME!$E$9,IF(A44='Label IDs'!$T$1,FILLME!$E$10,IF(A44='Label IDs'!$U$1,FILLME!$E$11)))))</f>
        <v>AQ</v>
      </c>
    </row>
    <row r="45" spans="1:3" x14ac:dyDescent="0.25">
      <c r="A45" t="str">
        <v>Aqualog</v>
      </c>
      <c r="B45" t="str">
        <v>SSEMG_STA_IS_20260227_1400</v>
      </c>
      <c r="C45" t="str">
        <f>IF(A45='Label IDs'!$Q$1,FILLME!$E$6,IF(A45='Label IDs'!$R$1,FILLME!$E$8,IF(A45='Label IDs'!$S$1,FILLME!$E$9,IF(A45='Label IDs'!$T$1,FILLME!$E$10,IF(A45='Label IDs'!$U$1,FILLME!$E$11)))))</f>
        <v>AQ</v>
      </c>
    </row>
    <row r="46" spans="1:3" x14ac:dyDescent="0.25">
      <c r="A46" t="str">
        <v>Aqualog</v>
      </c>
      <c r="B46" t="str">
        <v>SSEMG_STA_IS_20260227_1600</v>
      </c>
      <c r="C46" t="str">
        <f>IF(A46='Label IDs'!$Q$1,FILLME!$E$6,IF(A46='Label IDs'!$R$1,FILLME!$E$8,IF(A46='Label IDs'!$S$1,FILLME!$E$9,IF(A46='Label IDs'!$T$1,FILLME!$E$10,IF(A46='Label IDs'!$U$1,FILLME!$E$11)))))</f>
        <v>AQ</v>
      </c>
    </row>
    <row r="47" spans="1:3" x14ac:dyDescent="0.25">
      <c r="A47" t="str">
        <v>Aqualog</v>
      </c>
      <c r="B47" t="str">
        <v>SSEMG_STA_IS_20260227_1800</v>
      </c>
      <c r="C47" t="str">
        <f>IF(A47='Label IDs'!$Q$1,FILLME!$E$6,IF(A47='Label IDs'!$R$1,FILLME!$E$8,IF(A47='Label IDs'!$S$1,FILLME!$E$9,IF(A47='Label IDs'!$T$1,FILLME!$E$10,IF(A47='Label IDs'!$U$1,FILLME!$E$11)))))</f>
        <v>AQ</v>
      </c>
    </row>
    <row r="48" spans="1:3" x14ac:dyDescent="0.25">
      <c r="A48" t="str">
        <v>Aqualog</v>
      </c>
      <c r="B48" t="str">
        <v>SSEMG_STA_IS_20260227_2000</v>
      </c>
      <c r="C48" t="str">
        <f>IF(A48='Label IDs'!$Q$1,FILLME!$E$6,IF(A48='Label IDs'!$R$1,FILLME!$E$8,IF(A48='Label IDs'!$S$1,FILLME!$E$9,IF(A48='Label IDs'!$T$1,FILLME!$E$10,IF(A48='Label IDs'!$U$1,FILLME!$E$11)))))</f>
        <v>AQ</v>
      </c>
    </row>
    <row r="49" spans="1:3" x14ac:dyDescent="0.25">
      <c r="A49" t="str">
        <v>Aqualog</v>
      </c>
      <c r="B49" t="str">
        <v>SSEMG_STA_IS_20260227_2200</v>
      </c>
      <c r="C49" t="str">
        <f>IF(A49='Label IDs'!$Q$1,FILLME!$E$6,IF(A49='Label IDs'!$R$1,FILLME!$E$8,IF(A49='Label IDs'!$S$1,FILLME!$E$9,IF(A49='Label IDs'!$T$1,FILLME!$E$10,IF(A49='Label IDs'!$U$1,FILLME!$E$11)))))</f>
        <v>AQ</v>
      </c>
    </row>
    <row r="50" spans="1:3" x14ac:dyDescent="0.25">
      <c r="A50" t="str">
        <v>Aqualog</v>
      </c>
      <c r="B50" t="str">
        <v>SSEMG_STA_IS_20260228_0000</v>
      </c>
      <c r="C50" t="str">
        <f>IF(A50='Label IDs'!$Q$1,FILLME!$E$6,IF(A50='Label IDs'!$R$1,FILLME!$E$8,IF(A50='Label IDs'!$S$1,FILLME!$E$9,IF(A50='Label IDs'!$T$1,FILLME!$E$10,IF(A50='Label IDs'!$U$1,FILLME!$E$11)))))</f>
        <v>AQ</v>
      </c>
    </row>
    <row r="51" spans="1:3" x14ac:dyDescent="0.25">
      <c r="A51" t="str">
        <v>Aqualog</v>
      </c>
      <c r="B51" t="str">
        <v>SSEMG_STA_IS_20260228_0200</v>
      </c>
      <c r="C51" t="str">
        <f>IF(A51='Label IDs'!$Q$1,FILLME!$E$6,IF(A51='Label IDs'!$R$1,FILLME!$E$8,IF(A51='Label IDs'!$S$1,FILLME!$E$9,IF(A51='Label IDs'!$T$1,FILLME!$E$10,IF(A51='Label IDs'!$U$1,FILLME!$E$11)))))</f>
        <v>AQ</v>
      </c>
    </row>
    <row r="52" spans="1:3" x14ac:dyDescent="0.25">
      <c r="A52" t="str">
        <v>Aqualog</v>
      </c>
      <c r="B52" t="str">
        <v>SSEMG_STA_IS_20260228_0400</v>
      </c>
      <c r="C52" t="str">
        <f>IF(A52='Label IDs'!$Q$1,FILLME!$E$6,IF(A52='Label IDs'!$R$1,FILLME!$E$8,IF(A52='Label IDs'!$S$1,FILLME!$E$9,IF(A52='Label IDs'!$T$1,FILLME!$E$10,IF(A52='Label IDs'!$U$1,FILLME!$E$11)))))</f>
        <v>AQ</v>
      </c>
    </row>
    <row r="53" spans="1:3" x14ac:dyDescent="0.25">
      <c r="A53" t="str">
        <v>Aqualog</v>
      </c>
      <c r="B53" t="str">
        <v>SSEMG_STA_IS_20260228_0600</v>
      </c>
      <c r="C53" t="str">
        <f>IF(A53='Label IDs'!$Q$1,FILLME!$E$6,IF(A53='Label IDs'!$R$1,FILLME!$E$8,IF(A53='Label IDs'!$S$1,FILLME!$E$9,IF(A53='Label IDs'!$T$1,FILLME!$E$10,IF(A53='Label IDs'!$U$1,FILLME!$E$11)))))</f>
        <v>AQ</v>
      </c>
    </row>
    <row r="54" spans="1:3" x14ac:dyDescent="0.25">
      <c r="A54" t="str">
        <v>Aqualog</v>
      </c>
      <c r="B54" t="str">
        <v>SSEMG_STA_IS_20260228_0800</v>
      </c>
      <c r="C54" t="str">
        <f>IF(A54='Label IDs'!$Q$1,FILLME!$E$6,IF(A54='Label IDs'!$R$1,FILLME!$E$8,IF(A54='Label IDs'!$S$1,FILLME!$E$9,IF(A54='Label IDs'!$T$1,FILLME!$E$10,IF(A54='Label IDs'!$U$1,FILLME!$E$11)))))</f>
        <v>AQ</v>
      </c>
    </row>
    <row r="55" spans="1:3" x14ac:dyDescent="0.25">
      <c r="A55" t="str">
        <v>Aqualog</v>
      </c>
      <c r="B55" t="str">
        <v>SSEMG_STA_IS_20260228_1000</v>
      </c>
      <c r="C55" t="str">
        <f>IF(A55='Label IDs'!$Q$1,FILLME!$E$6,IF(A55='Label IDs'!$R$1,FILLME!$E$8,IF(A55='Label IDs'!$S$1,FILLME!$E$9,IF(A55='Label IDs'!$T$1,FILLME!$E$10,IF(A55='Label IDs'!$U$1,FILLME!$E$11)))))</f>
        <v>AQ</v>
      </c>
    </row>
    <row r="56" spans="1:3" x14ac:dyDescent="0.25">
      <c r="A56" t="str">
        <v>Aqualog</v>
      </c>
      <c r="B56" t="str">
        <v>SSEMG_STA_IS_20260228_1200</v>
      </c>
      <c r="C56" t="str">
        <f>IF(A56='Label IDs'!$Q$1,FILLME!$E$6,IF(A56='Label IDs'!$R$1,FILLME!$E$8,IF(A56='Label IDs'!$S$1,FILLME!$E$9,IF(A56='Label IDs'!$T$1,FILLME!$E$10,IF(A56='Label IDs'!$U$1,FILLME!$E$11)))))</f>
        <v>AQ</v>
      </c>
    </row>
    <row r="57" spans="1:3" x14ac:dyDescent="0.25">
      <c r="A57" t="str">
        <v>Aqualog</v>
      </c>
      <c r="B57" t="str">
        <v>SSEMG_STA_IS_20260228_1400</v>
      </c>
      <c r="C57" t="str">
        <f>IF(A57='Label IDs'!$Q$1,FILLME!$E$6,IF(A57='Label IDs'!$R$1,FILLME!$E$8,IF(A57='Label IDs'!$S$1,FILLME!$E$9,IF(A57='Label IDs'!$T$1,FILLME!$E$10,IF(A57='Label IDs'!$U$1,FILLME!$E$11)))))</f>
        <v>AQ</v>
      </c>
    </row>
    <row r="58" spans="1:3" x14ac:dyDescent="0.25">
      <c r="A58" t="str">
        <v>Aqualog</v>
      </c>
      <c r="B58" t="str">
        <v>SSEMG_STA_IS_20260228_1600</v>
      </c>
      <c r="C58" t="str">
        <f>IF(A58='Label IDs'!$Q$1,FILLME!$E$6,IF(A58='Label IDs'!$R$1,FILLME!$E$8,IF(A58='Label IDs'!$S$1,FILLME!$E$9,IF(A58='Label IDs'!$T$1,FILLME!$E$10,IF(A58='Label IDs'!$U$1,FILLME!$E$11)))))</f>
        <v>AQ</v>
      </c>
    </row>
    <row r="59" spans="1:3" x14ac:dyDescent="0.25">
      <c r="A59" t="str">
        <v>Aqualog</v>
      </c>
      <c r="B59" t="str">
        <v>SSEMG_STA_IS_20260228_1800</v>
      </c>
      <c r="C59" t="str">
        <f>IF(A59='Label IDs'!$Q$1,FILLME!$E$6,IF(A59='Label IDs'!$R$1,FILLME!$E$8,IF(A59='Label IDs'!$S$1,FILLME!$E$9,IF(A59='Label IDs'!$T$1,FILLME!$E$10,IF(A59='Label IDs'!$U$1,FILLME!$E$11)))))</f>
        <v>AQ</v>
      </c>
    </row>
    <row r="60" spans="1:3" x14ac:dyDescent="0.25">
      <c r="A60" t="str">
        <v>Aqualog</v>
      </c>
      <c r="B60" t="str">
        <v>SSEMG_STA_IS_20260228_2000</v>
      </c>
      <c r="C60" t="str">
        <f>IF(A60='Label IDs'!$Q$1,FILLME!$E$6,IF(A60='Label IDs'!$R$1,FILLME!$E$8,IF(A60='Label IDs'!$S$1,FILLME!$E$9,IF(A60='Label IDs'!$T$1,FILLME!$E$10,IF(A60='Label IDs'!$U$1,FILLME!$E$11)))))</f>
        <v>AQ</v>
      </c>
    </row>
    <row r="61" spans="1:3" x14ac:dyDescent="0.25">
      <c r="A61" t="str">
        <v>Aqualog</v>
      </c>
      <c r="B61" t="str">
        <v>SSEMG_STA_IS_20260228_2200</v>
      </c>
      <c r="C61" t="str">
        <f>IF(A61='Label IDs'!$Q$1,FILLME!$E$6,IF(A61='Label IDs'!$R$1,FILLME!$E$8,IF(A61='Label IDs'!$S$1,FILLME!$E$9,IF(A61='Label IDs'!$T$1,FILLME!$E$10,IF(A61='Label IDs'!$U$1,FILLME!$E$11)))))</f>
        <v>AQ</v>
      </c>
    </row>
    <row r="62" spans="1:3" x14ac:dyDescent="0.25">
      <c r="A62" t="str">
        <v>Aqualog</v>
      </c>
      <c r="B62" t="str">
        <v>SSEMG_STA_IS_20260301_0000</v>
      </c>
      <c r="C62" t="str">
        <f>IF(A62='Label IDs'!$Q$1,FILLME!$E$6,IF(A62='Label IDs'!$R$1,FILLME!$E$8,IF(A62='Label IDs'!$S$1,FILLME!$E$9,IF(A62='Label IDs'!$T$1,FILLME!$E$10,IF(A62='Label IDs'!$U$1,FILLME!$E$11)))))</f>
        <v>AQ</v>
      </c>
    </row>
    <row r="63" spans="1:3" x14ac:dyDescent="0.25">
      <c r="A63" t="str">
        <v>Aqualog</v>
      </c>
      <c r="B63" t="str">
        <v>SSEMG_STA_IS_20260301_0200</v>
      </c>
      <c r="C63" t="str">
        <f>IF(A63='Label IDs'!$Q$1,FILLME!$E$6,IF(A63='Label IDs'!$R$1,FILLME!$E$8,IF(A63='Label IDs'!$S$1,FILLME!$E$9,IF(A63='Label IDs'!$T$1,FILLME!$E$10,IF(A63='Label IDs'!$U$1,FILLME!$E$11)))))</f>
        <v>AQ</v>
      </c>
    </row>
    <row r="64" spans="1:3" x14ac:dyDescent="0.25">
      <c r="A64" t="str">
        <v>Aqualog</v>
      </c>
      <c r="B64" t="str">
        <v>SSEMG_STA_IS_20260301_0400</v>
      </c>
      <c r="C64" t="str">
        <f>IF(A64='Label IDs'!$Q$1,FILLME!$E$6,IF(A64='Label IDs'!$R$1,FILLME!$E$8,IF(A64='Label IDs'!$S$1,FILLME!$E$9,IF(A64='Label IDs'!$T$1,FILLME!$E$10,IF(A64='Label IDs'!$U$1,FILLME!$E$11)))))</f>
        <v>AQ</v>
      </c>
    </row>
    <row r="65" spans="1:3" x14ac:dyDescent="0.25">
      <c r="A65" t="str">
        <v>Aqualog</v>
      </c>
      <c r="B65" t="str">
        <v>SSEMG_STA_IS_20260301_0600</v>
      </c>
      <c r="C65" t="str">
        <f>IF(A65='Label IDs'!$Q$1,FILLME!$E$6,IF(A65='Label IDs'!$R$1,FILLME!$E$8,IF(A65='Label IDs'!$S$1,FILLME!$E$9,IF(A65='Label IDs'!$T$1,FILLME!$E$10,IF(A65='Label IDs'!$U$1,FILLME!$E$11)))))</f>
        <v>AQ</v>
      </c>
    </row>
    <row r="66" spans="1:3" x14ac:dyDescent="0.25">
      <c r="A66" t="str">
        <v>Aqualog</v>
      </c>
      <c r="B66" t="str">
        <v>SSEMG_STA_IS_20260301_0800</v>
      </c>
      <c r="C66" t="str">
        <f>IF(A66='Label IDs'!$Q$1,FILLME!$E$6,IF(A66='Label IDs'!$R$1,FILLME!$E$8,IF(A66='Label IDs'!$S$1,FILLME!$E$9,IF(A66='Label IDs'!$T$1,FILLME!$E$10,IF(A66='Label IDs'!$U$1,FILLME!$E$11)))))</f>
        <v>AQ</v>
      </c>
    </row>
    <row r="67" spans="1:3" x14ac:dyDescent="0.25">
      <c r="A67" t="str">
        <v>Aqualog</v>
      </c>
      <c r="B67" t="str">
        <v>SSEMG_STA_IS_20260301_1000</v>
      </c>
      <c r="C67" t="str">
        <f>IF(A67='Label IDs'!$Q$1,FILLME!$E$6,IF(A67='Label IDs'!$R$1,FILLME!$E$8,IF(A67='Label IDs'!$S$1,FILLME!$E$9,IF(A67='Label IDs'!$T$1,FILLME!$E$10,IF(A67='Label IDs'!$U$1,FILLME!$E$11)))))</f>
        <v>AQ</v>
      </c>
    </row>
    <row r="68" spans="1:3" x14ac:dyDescent="0.25">
      <c r="A68" t="str">
        <v>Aqualog</v>
      </c>
      <c r="B68" t="str">
        <v>SSEMG_STA_IS_20260301_1200</v>
      </c>
      <c r="C68" t="str">
        <f>IF(A68='Label IDs'!$Q$1,FILLME!$E$6,IF(A68='Label IDs'!$R$1,FILLME!$E$8,IF(A68='Label IDs'!$S$1,FILLME!$E$9,IF(A68='Label IDs'!$T$1,FILLME!$E$10,IF(A68='Label IDs'!$U$1,FILLME!$E$11)))))</f>
        <v>AQ</v>
      </c>
    </row>
    <row r="69" spans="1:3" x14ac:dyDescent="0.25">
      <c r="A69" t="str">
        <v>Aqualog</v>
      </c>
      <c r="B69" t="str">
        <v>SSEMG_STA_IS_20260301_1400</v>
      </c>
      <c r="C69" t="str">
        <f>IF(A69='Label IDs'!$Q$1,FILLME!$E$6,IF(A69='Label IDs'!$R$1,FILLME!$E$8,IF(A69='Label IDs'!$S$1,FILLME!$E$9,IF(A69='Label IDs'!$T$1,FILLME!$E$10,IF(A69='Label IDs'!$U$1,FILLME!$E$11)))))</f>
        <v>AQ</v>
      </c>
    </row>
    <row r="70" spans="1:3" x14ac:dyDescent="0.25">
      <c r="A70" t="str">
        <v>Aqualog</v>
      </c>
      <c r="B70" t="str">
        <v>SSEMG_STA_IS_20260301_1600</v>
      </c>
      <c r="C70" t="str">
        <f>IF(A70='Label IDs'!$Q$1,FILLME!$E$6,IF(A70='Label IDs'!$R$1,FILLME!$E$8,IF(A70='Label IDs'!$S$1,FILLME!$E$9,IF(A70='Label IDs'!$T$1,FILLME!$E$10,IF(A70='Label IDs'!$U$1,FILLME!$E$11)))))</f>
        <v>AQ</v>
      </c>
    </row>
    <row r="71" spans="1:3" x14ac:dyDescent="0.25">
      <c r="A71" t="str">
        <v>Aqualog</v>
      </c>
      <c r="B71" t="str">
        <v>SSEMG_STA_IS_20260301_1800</v>
      </c>
      <c r="C71" t="str">
        <f>IF(A71='Label IDs'!$Q$1,FILLME!$E$6,IF(A71='Label IDs'!$R$1,FILLME!$E$8,IF(A71='Label IDs'!$S$1,FILLME!$E$9,IF(A71='Label IDs'!$T$1,FILLME!$E$10,IF(A71='Label IDs'!$U$1,FILLME!$E$11)))))</f>
        <v>AQ</v>
      </c>
    </row>
    <row r="72" spans="1:3" x14ac:dyDescent="0.25">
      <c r="A72" t="str">
        <v>Aqualog</v>
      </c>
      <c r="B72" t="str">
        <v>SSEMG_STA_IS_20260301_2000</v>
      </c>
      <c r="C72" t="str">
        <f>IF(A72='Label IDs'!$Q$1,FILLME!$E$6,IF(A72='Label IDs'!$R$1,FILLME!$E$8,IF(A72='Label IDs'!$S$1,FILLME!$E$9,IF(A72='Label IDs'!$T$1,FILLME!$E$10,IF(A72='Label IDs'!$U$1,FILLME!$E$11)))))</f>
        <v>AQ</v>
      </c>
    </row>
    <row r="73" spans="1:3" x14ac:dyDescent="0.25">
      <c r="A73" t="str">
        <v>Aqualog</v>
      </c>
      <c r="B73" t="str">
        <v>SSEMG_STA_IS_20260301_2200</v>
      </c>
      <c r="C73" t="str">
        <f>IF(A73='Label IDs'!$Q$1,FILLME!$E$6,IF(A73='Label IDs'!$R$1,FILLME!$E$8,IF(A73='Label IDs'!$S$1,FILLME!$E$9,IF(A73='Label IDs'!$T$1,FILLME!$E$10,IF(A73='Label IDs'!$U$1,FILLME!$E$11)))))</f>
        <v>AQ</v>
      </c>
    </row>
    <row r="74" spans="1:3" x14ac:dyDescent="0.25">
      <c r="A74" t="str">
        <v>Aqualog</v>
      </c>
      <c r="B74" t="str">
        <v>SSEMG_STA_IS_20260302_0000</v>
      </c>
      <c r="C74" t="str">
        <f>IF(A74='Label IDs'!$Q$1,FILLME!$E$6,IF(A74='Label IDs'!$R$1,FILLME!$E$8,IF(A74='Label IDs'!$S$1,FILLME!$E$9,IF(A74='Label IDs'!$T$1,FILLME!$E$10,IF(A74='Label IDs'!$U$1,FILLME!$E$11)))))</f>
        <v>AQ</v>
      </c>
    </row>
    <row r="75" spans="1:3" x14ac:dyDescent="0.25">
      <c r="A75" t="str">
        <v>Aqualog</v>
      </c>
      <c r="B75" t="str">
        <v>SSEMG_STA_IS_20260302_0200</v>
      </c>
      <c r="C75" t="str">
        <f>IF(A75='Label IDs'!$Q$1,FILLME!$E$6,IF(A75='Label IDs'!$R$1,FILLME!$E$8,IF(A75='Label IDs'!$S$1,FILLME!$E$9,IF(A75='Label IDs'!$T$1,FILLME!$E$10,IF(A75='Label IDs'!$U$1,FILLME!$E$11)))))</f>
        <v>AQ</v>
      </c>
    </row>
    <row r="76" spans="1:3" x14ac:dyDescent="0.25">
      <c r="A76" t="str">
        <v>Aqualog</v>
      </c>
      <c r="B76" t="str">
        <v>SSEMG_STA_IS_20260302_0400</v>
      </c>
      <c r="C76" t="str">
        <f>IF(A76='Label IDs'!$Q$1,FILLME!$E$6,IF(A76='Label IDs'!$R$1,FILLME!$E$8,IF(A76='Label IDs'!$S$1,FILLME!$E$9,IF(A76='Label IDs'!$T$1,FILLME!$E$10,IF(A76='Label IDs'!$U$1,FILLME!$E$11)))))</f>
        <v>AQ</v>
      </c>
    </row>
    <row r="77" spans="1:3" x14ac:dyDescent="0.25">
      <c r="A77" t="str">
        <v>Aqualog</v>
      </c>
      <c r="B77" t="str">
        <v>SSEMG_STA_IS_20260302_0600</v>
      </c>
      <c r="C77" t="str">
        <f>IF(A77='Label IDs'!$Q$1,FILLME!$E$6,IF(A77='Label IDs'!$R$1,FILLME!$E$8,IF(A77='Label IDs'!$S$1,FILLME!$E$9,IF(A77='Label IDs'!$T$1,FILLME!$E$10,IF(A77='Label IDs'!$U$1,FILLME!$E$11)))))</f>
        <v>AQ</v>
      </c>
    </row>
    <row r="78" spans="1:3" x14ac:dyDescent="0.25">
      <c r="A78" t="str">
        <v>Aqualog</v>
      </c>
      <c r="B78" t="str">
        <v>SSEMG_STA_IS_20260302_0800</v>
      </c>
      <c r="C78" t="str">
        <f>IF(A78='Label IDs'!$Q$1,FILLME!$E$6,IF(A78='Label IDs'!$R$1,FILLME!$E$8,IF(A78='Label IDs'!$S$1,FILLME!$E$9,IF(A78='Label IDs'!$T$1,FILLME!$E$10,IF(A78='Label IDs'!$U$1,FILLME!$E$11)))))</f>
        <v>AQ</v>
      </c>
    </row>
    <row r="79" spans="1:3" x14ac:dyDescent="0.25">
      <c r="A79" t="str">
        <v>Aqualog</v>
      </c>
      <c r="B79" t="str">
        <v>SSEMG_STA_IS_20260302_1000</v>
      </c>
      <c r="C79" t="str">
        <f>IF(A79='Label IDs'!$Q$1,FILLME!$E$6,IF(A79='Label IDs'!$R$1,FILLME!$E$8,IF(A79='Label IDs'!$S$1,FILLME!$E$9,IF(A79='Label IDs'!$T$1,FILLME!$E$10,IF(A79='Label IDs'!$U$1,FILLME!$E$11)))))</f>
        <v>AQ</v>
      </c>
    </row>
    <row r="80" spans="1:3" x14ac:dyDescent="0.25">
      <c r="A80" t="str">
        <v>Aqualog</v>
      </c>
      <c r="B80" t="str">
        <v>SSEMG_STA_IS_20260302_1200</v>
      </c>
      <c r="C80" t="str">
        <f>IF(A80='Label IDs'!$Q$1,FILLME!$E$6,IF(A80='Label IDs'!$R$1,FILLME!$E$8,IF(A80='Label IDs'!$S$1,FILLME!$E$9,IF(A80='Label IDs'!$T$1,FILLME!$E$10,IF(A80='Label IDs'!$U$1,FILLME!$E$11)))))</f>
        <v>AQ</v>
      </c>
    </row>
    <row r="81" spans="1:3" x14ac:dyDescent="0.25">
      <c r="A81" t="str">
        <v>Aqualog</v>
      </c>
      <c r="B81" t="str">
        <v>SSEMG_STA_IS_20260302_1400</v>
      </c>
      <c r="C81" t="str">
        <f>IF(A81='Label IDs'!$Q$1,FILLME!$E$6,IF(A81='Label IDs'!$R$1,FILLME!$E$8,IF(A81='Label IDs'!$S$1,FILLME!$E$9,IF(A81='Label IDs'!$T$1,FILLME!$E$10,IF(A81='Label IDs'!$U$1,FILLME!$E$11)))))</f>
        <v>AQ</v>
      </c>
    </row>
    <row r="82" spans="1:3" x14ac:dyDescent="0.25">
      <c r="A82" t="str">
        <v>Aqualog</v>
      </c>
      <c r="B82" t="str">
        <v>SSEMG_STA_IS_20260302_1600</v>
      </c>
      <c r="C82" t="str">
        <f>IF(A82='Label IDs'!$Q$1,FILLME!$E$6,IF(A82='Label IDs'!$R$1,FILLME!$E$8,IF(A82='Label IDs'!$S$1,FILLME!$E$9,IF(A82='Label IDs'!$T$1,FILLME!$E$10,IF(A82='Label IDs'!$U$1,FILLME!$E$11)))))</f>
        <v>AQ</v>
      </c>
    </row>
    <row r="83" spans="1:3" x14ac:dyDescent="0.25">
      <c r="A83" t="str">
        <v>Aqualog</v>
      </c>
      <c r="B83" t="str">
        <v>SSEMG_STA_IS_20260302_1800</v>
      </c>
      <c r="C83" t="str">
        <f>IF(A83='Label IDs'!$Q$1,FILLME!$E$6,IF(A83='Label IDs'!$R$1,FILLME!$E$8,IF(A83='Label IDs'!$S$1,FILLME!$E$9,IF(A83='Label IDs'!$T$1,FILLME!$E$10,IF(A83='Label IDs'!$U$1,FILLME!$E$11)))))</f>
        <v>AQ</v>
      </c>
    </row>
    <row r="84" spans="1:3" x14ac:dyDescent="0.25">
      <c r="A84" t="str">
        <v>Aqualog</v>
      </c>
      <c r="B84" t="str">
        <v>SSEMG_STA_IS_20260302_2000</v>
      </c>
      <c r="C84" t="str">
        <f>IF(A84='Label IDs'!$Q$1,FILLME!$E$6,IF(A84='Label IDs'!$R$1,FILLME!$E$8,IF(A84='Label IDs'!$S$1,FILLME!$E$9,IF(A84='Label IDs'!$T$1,FILLME!$E$10,IF(A84='Label IDs'!$U$1,FILLME!$E$11)))))</f>
        <v>AQ</v>
      </c>
    </row>
    <row r="85" spans="1:3" x14ac:dyDescent="0.25">
      <c r="A85" t="str">
        <v>Aqualog</v>
      </c>
      <c r="B85" t="str">
        <v>SSEMG_STA_IS_20260302_2200</v>
      </c>
      <c r="C85" t="str">
        <f>IF(A85='Label IDs'!$Q$1,FILLME!$E$6,IF(A85='Label IDs'!$R$1,FILLME!$E$8,IF(A85='Label IDs'!$S$1,FILLME!$E$9,IF(A85='Label IDs'!$T$1,FILLME!$E$10,IF(A85='Label IDs'!$U$1,FILLME!$E$11)))))</f>
        <v>AQ</v>
      </c>
    </row>
    <row r="86" spans="1:3" x14ac:dyDescent="0.25">
      <c r="A86" t="str">
        <v>Aqualog</v>
      </c>
      <c r="B86" t="str">
        <v>SSEMG_STA_IS_20260303_0000</v>
      </c>
      <c r="C86" t="str">
        <f>IF(A86='Label IDs'!$Q$1,FILLME!$E$6,IF(A86='Label IDs'!$R$1,FILLME!$E$8,IF(A86='Label IDs'!$S$1,FILLME!$E$9,IF(A86='Label IDs'!$T$1,FILLME!$E$10,IF(A86='Label IDs'!$U$1,FILLME!$E$11)))))</f>
        <v>AQ</v>
      </c>
    </row>
    <row r="87" spans="1:3" x14ac:dyDescent="0.25">
      <c r="A87" t="str">
        <v>Aqualog</v>
      </c>
      <c r="B87" t="str">
        <v>SSEMG_STA_IS_20260303_0200</v>
      </c>
      <c r="C87" t="str">
        <f>IF(A87='Label IDs'!$Q$1,FILLME!$E$6,IF(A87='Label IDs'!$R$1,FILLME!$E$8,IF(A87='Label IDs'!$S$1,FILLME!$E$9,IF(A87='Label IDs'!$T$1,FILLME!$E$10,IF(A87='Label IDs'!$U$1,FILLME!$E$11)))))</f>
        <v>AQ</v>
      </c>
    </row>
    <row r="88" spans="1:3" x14ac:dyDescent="0.25">
      <c r="A88" t="str">
        <v>Aqualog</v>
      </c>
      <c r="B88" t="str">
        <v>SSEMG_STA_IS_20260303_0400</v>
      </c>
      <c r="C88" t="str">
        <f>IF(A88='Label IDs'!$Q$1,FILLME!$E$6,IF(A88='Label IDs'!$R$1,FILLME!$E$8,IF(A88='Label IDs'!$S$1,FILLME!$E$9,IF(A88='Label IDs'!$T$1,FILLME!$E$10,IF(A88='Label IDs'!$U$1,FILLME!$E$11)))))</f>
        <v>AQ</v>
      </c>
    </row>
    <row r="89" spans="1:3" x14ac:dyDescent="0.25">
      <c r="A89" t="str">
        <v>Aqualog</v>
      </c>
      <c r="B89" t="str">
        <v>SSEMG_STA_IS_20260303_0600</v>
      </c>
      <c r="C89" t="str">
        <f>IF(A89='Label IDs'!$Q$1,FILLME!$E$6,IF(A89='Label IDs'!$R$1,FILLME!$E$8,IF(A89='Label IDs'!$S$1,FILLME!$E$9,IF(A89='Label IDs'!$T$1,FILLME!$E$10,IF(A89='Label IDs'!$U$1,FILLME!$E$11)))))</f>
        <v>AQ</v>
      </c>
    </row>
    <row r="90" spans="1:3" x14ac:dyDescent="0.25">
      <c r="A90" t="str">
        <v>Aqualog</v>
      </c>
      <c r="B90" t="str">
        <v>SSEMG_STA_IS_20260303_0800</v>
      </c>
      <c r="C90" t="str">
        <f>IF(A90='Label IDs'!$Q$1,FILLME!$E$6,IF(A90='Label IDs'!$R$1,FILLME!$E$8,IF(A90='Label IDs'!$S$1,FILLME!$E$9,IF(A90='Label IDs'!$T$1,FILLME!$E$10,IF(A90='Label IDs'!$U$1,FILLME!$E$11)))))</f>
        <v>AQ</v>
      </c>
    </row>
    <row r="91" spans="1:3" x14ac:dyDescent="0.25">
      <c r="A91" t="str">
        <v>Aqualog</v>
      </c>
      <c r="B91" t="str">
        <v>SSEMG_STA_IS_20260303_1000</v>
      </c>
      <c r="C91" t="str">
        <f>IF(A91='Label IDs'!$Q$1,FILLME!$E$6,IF(A91='Label IDs'!$R$1,FILLME!$E$8,IF(A91='Label IDs'!$S$1,FILLME!$E$9,IF(A91='Label IDs'!$T$1,FILLME!$E$10,IF(A91='Label IDs'!$U$1,FILLME!$E$11)))))</f>
        <v>AQ</v>
      </c>
    </row>
    <row r="92" spans="1:3" x14ac:dyDescent="0.25">
      <c r="A92" t="str">
        <v>Aqualog</v>
      </c>
      <c r="B92" t="str">
        <v>SSEMG_STA_IS_20260303_1200</v>
      </c>
      <c r="C92" t="str">
        <f>IF(A92='Label IDs'!$Q$1,FILLME!$E$6,IF(A92='Label IDs'!$R$1,FILLME!$E$8,IF(A92='Label IDs'!$S$1,FILLME!$E$9,IF(A92='Label IDs'!$T$1,FILLME!$E$10,IF(A92='Label IDs'!$U$1,FILLME!$E$11)))))</f>
        <v>AQ</v>
      </c>
    </row>
    <row r="93" spans="1:3" x14ac:dyDescent="0.25">
      <c r="A93" t="str">
        <v>Aqualog</v>
      </c>
      <c r="B93" t="str">
        <v>SSEMG_STA_IS_20260303_1400</v>
      </c>
      <c r="C93" t="str">
        <f>IF(A93='Label IDs'!$Q$1,FILLME!$E$6,IF(A93='Label IDs'!$R$1,FILLME!$E$8,IF(A93='Label IDs'!$S$1,FILLME!$E$9,IF(A93='Label IDs'!$T$1,FILLME!$E$10,IF(A93='Label IDs'!$U$1,FILLME!$E$11)))))</f>
        <v>AQ</v>
      </c>
    </row>
    <row r="94" spans="1:3" x14ac:dyDescent="0.25">
      <c r="A94" t="str">
        <v>Aqualog</v>
      </c>
      <c r="B94" t="str">
        <v>SSEMG_STA_IS_20260303_1600</v>
      </c>
      <c r="C94" t="str">
        <f>IF(A94='Label IDs'!$Q$1,FILLME!$E$6,IF(A94='Label IDs'!$R$1,FILLME!$E$8,IF(A94='Label IDs'!$S$1,FILLME!$E$9,IF(A94='Label IDs'!$T$1,FILLME!$E$10,IF(A94='Label IDs'!$U$1,FILLME!$E$11)))))</f>
        <v>AQ</v>
      </c>
    </row>
    <row r="95" spans="1:3" x14ac:dyDescent="0.25">
      <c r="A95" t="str">
        <v>Aqualog</v>
      </c>
      <c r="B95" t="str">
        <v>SSEMG_STA_IS_20260303_1800</v>
      </c>
      <c r="C95" t="str">
        <f>IF(A95='Label IDs'!$Q$1,FILLME!$E$6,IF(A95='Label IDs'!$R$1,FILLME!$E$8,IF(A95='Label IDs'!$S$1,FILLME!$E$9,IF(A95='Label IDs'!$T$1,FILLME!$E$10,IF(A95='Label IDs'!$U$1,FILLME!$E$11)))))</f>
        <v>AQ</v>
      </c>
    </row>
    <row r="96" spans="1:3" x14ac:dyDescent="0.25">
      <c r="A96" t="str">
        <v>Aqualog</v>
      </c>
      <c r="B96" t="str">
        <v>SSEMG_STA_IS_20260303_2000</v>
      </c>
      <c r="C96" t="str">
        <f>IF(A96='Label IDs'!$Q$1,FILLME!$E$6,IF(A96='Label IDs'!$R$1,FILLME!$E$8,IF(A96='Label IDs'!$S$1,FILLME!$E$9,IF(A96='Label IDs'!$T$1,FILLME!$E$10,IF(A96='Label IDs'!$U$1,FILLME!$E$11)))))</f>
        <v>AQ</v>
      </c>
    </row>
    <row r="97" spans="1:3" x14ac:dyDescent="0.25">
      <c r="A97" t="str">
        <v>Aqualog</v>
      </c>
      <c r="B97" t="str">
        <v>SSEMG_STA_IS_20260303_2200</v>
      </c>
      <c r="C97" t="str">
        <f>IF(A97='Label IDs'!$Q$1,FILLME!$E$6,IF(A97='Label IDs'!$R$1,FILLME!$E$8,IF(A97='Label IDs'!$S$1,FILLME!$E$9,IF(A97='Label IDs'!$T$1,FILLME!$E$10,IF(A97='Label IDs'!$U$1,FILLME!$E$11)))))</f>
        <v>AQ</v>
      </c>
    </row>
    <row r="98" spans="1:3" x14ac:dyDescent="0.25">
      <c r="A98" t="str">
        <v>Aqualog</v>
      </c>
      <c r="B98" t="str">
        <v>SSEMG_STA_IS_20260304_0000</v>
      </c>
      <c r="C98" t="str">
        <f>IF(A98='Label IDs'!$Q$1,FILLME!$E$6,IF(A98='Label IDs'!$R$1,FILLME!$E$8,IF(A98='Label IDs'!$S$1,FILLME!$E$9,IF(A98='Label IDs'!$T$1,FILLME!$E$10,IF(A98='Label IDs'!$U$1,FILLME!$E$11)))))</f>
        <v>AQ</v>
      </c>
    </row>
    <row r="99" spans="1:3" x14ac:dyDescent="0.25">
      <c r="A99" t="str">
        <v>Aqualog</v>
      </c>
      <c r="B99" t="str">
        <v>SSEMG_STA_IS_20260304_0200</v>
      </c>
      <c r="C99" t="str">
        <f>IF(A99='Label IDs'!$Q$1,FILLME!$E$6,IF(A99='Label IDs'!$R$1,FILLME!$E$8,IF(A99='Label IDs'!$S$1,FILLME!$E$9,IF(A99='Label IDs'!$T$1,FILLME!$E$10,IF(A99='Label IDs'!$U$1,FILLME!$E$11)))))</f>
        <v>AQ</v>
      </c>
    </row>
    <row r="100" spans="1:3" x14ac:dyDescent="0.25">
      <c r="A100" t="str">
        <v>Aqualog</v>
      </c>
      <c r="B100" t="str">
        <v>SSEMG_STA_IS_20260304_0400</v>
      </c>
      <c r="C100" t="str">
        <f>IF(A100='Label IDs'!$Q$1,FILLME!$E$6,IF(A100='Label IDs'!$R$1,FILLME!$E$8,IF(A100='Label IDs'!$S$1,FILLME!$E$9,IF(A100='Label IDs'!$T$1,FILLME!$E$10,IF(A100='Label IDs'!$U$1,FILLME!$E$11)))))</f>
        <v>AQ</v>
      </c>
    </row>
    <row r="101" spans="1:3" x14ac:dyDescent="0.25">
      <c r="A101" t="str">
        <v>Aqualog</v>
      </c>
      <c r="B101" t="str">
        <v>SSEMG_STA_IS_20260304_0600</v>
      </c>
      <c r="C101" t="str">
        <f>IF(A101='Label IDs'!$Q$1,FILLME!$E$6,IF(A101='Label IDs'!$R$1,FILLME!$E$8,IF(A101='Label IDs'!$S$1,FILLME!$E$9,IF(A101='Label IDs'!$T$1,FILLME!$E$10,IF(A101='Label IDs'!$U$1,FILLME!$E$11)))))</f>
        <v>AQ</v>
      </c>
    </row>
    <row r="102" spans="1:3" x14ac:dyDescent="0.25">
      <c r="A102" t="str">
        <v>CCAL</v>
      </c>
      <c r="B102" t="str">
        <v>SSEMG_STA_IS_20260224_0000</v>
      </c>
      <c r="C102" t="str">
        <f>IF(A102='Label IDs'!$Q$1,FILLME!$E$6,IF(A102='Label IDs'!$R$1,FILLME!$E$8,IF(A102='Label IDs'!$S$1,FILLME!$E$9,IF(A102='Label IDs'!$T$1,FILLME!$E$10,IF(A102='Label IDs'!$U$1,FILLME!$E$11)))))</f>
        <v>NU</v>
      </c>
    </row>
    <row r="103" spans="1:3" x14ac:dyDescent="0.25">
      <c r="A103" t="str">
        <v>CCAL</v>
      </c>
      <c r="B103" t="str">
        <v>SSEMG_STA_IS_20260224_0200</v>
      </c>
      <c r="C103" t="str">
        <f>IF(A103='Label IDs'!$Q$1,FILLME!$E$6,IF(A103='Label IDs'!$R$1,FILLME!$E$8,IF(A103='Label IDs'!$S$1,FILLME!$E$9,IF(A103='Label IDs'!$T$1,FILLME!$E$10,IF(A103='Label IDs'!$U$1,FILLME!$E$11)))))</f>
        <v>NU</v>
      </c>
    </row>
    <row r="104" spans="1:3" x14ac:dyDescent="0.25">
      <c r="A104" t="str">
        <v>CCAL</v>
      </c>
      <c r="B104" t="str">
        <v>SSEMG_STA_IS_20260224_0400</v>
      </c>
      <c r="C104" t="str">
        <f>IF(A104='Label IDs'!$Q$1,FILLME!$E$6,IF(A104='Label IDs'!$R$1,FILLME!$E$8,IF(A104='Label IDs'!$S$1,FILLME!$E$9,IF(A104='Label IDs'!$T$1,FILLME!$E$10,IF(A104='Label IDs'!$U$1,FILLME!$E$11)))))</f>
        <v>NU</v>
      </c>
    </row>
    <row r="105" spans="1:3" x14ac:dyDescent="0.25">
      <c r="A105" t="str">
        <v>CCAL</v>
      </c>
      <c r="B105" t="str">
        <v>SSEMG_STA_IS_20260224_0600</v>
      </c>
      <c r="C105" t="str">
        <f>IF(A105='Label IDs'!$Q$1,FILLME!$E$6,IF(A105='Label IDs'!$R$1,FILLME!$E$8,IF(A105='Label IDs'!$S$1,FILLME!$E$9,IF(A105='Label IDs'!$T$1,FILLME!$E$10,IF(A105='Label IDs'!$U$1,FILLME!$E$11)))))</f>
        <v>NU</v>
      </c>
    </row>
    <row r="106" spans="1:3" x14ac:dyDescent="0.25">
      <c r="A106" t="str">
        <v>CCAL</v>
      </c>
      <c r="B106" t="str">
        <v>SSEMG_STA_IS_20260224_0800</v>
      </c>
      <c r="C106" t="str">
        <f>IF(A106='Label IDs'!$Q$1,FILLME!$E$6,IF(A106='Label IDs'!$R$1,FILLME!$E$8,IF(A106='Label IDs'!$S$1,FILLME!$E$9,IF(A106='Label IDs'!$T$1,FILLME!$E$10,IF(A106='Label IDs'!$U$1,FILLME!$E$11)))))</f>
        <v>NU</v>
      </c>
    </row>
    <row r="107" spans="1:3" x14ac:dyDescent="0.25">
      <c r="A107" t="str">
        <v>CCAL</v>
      </c>
      <c r="B107" t="str">
        <v>SSEMG_STA_IS_20260224_1000</v>
      </c>
      <c r="C107" t="str">
        <f>IF(A107='Label IDs'!$Q$1,FILLME!$E$6,IF(A107='Label IDs'!$R$1,FILLME!$E$8,IF(A107='Label IDs'!$S$1,FILLME!$E$9,IF(A107='Label IDs'!$T$1,FILLME!$E$10,IF(A107='Label IDs'!$U$1,FILLME!$E$11)))))</f>
        <v>NU</v>
      </c>
    </row>
    <row r="108" spans="1:3" x14ac:dyDescent="0.25">
      <c r="A108" t="str">
        <v>CCAL</v>
      </c>
      <c r="B108" t="str">
        <v>SSEMG_STA_IS_20260224_1200</v>
      </c>
      <c r="C108" t="str">
        <f>IF(A108='Label IDs'!$Q$1,FILLME!$E$6,IF(A108='Label IDs'!$R$1,FILLME!$E$8,IF(A108='Label IDs'!$S$1,FILLME!$E$9,IF(A108='Label IDs'!$T$1,FILLME!$E$10,IF(A108='Label IDs'!$U$1,FILLME!$E$11)))))</f>
        <v>NU</v>
      </c>
    </row>
    <row r="109" spans="1:3" x14ac:dyDescent="0.25">
      <c r="A109" t="str">
        <v>CCAL</v>
      </c>
      <c r="B109" t="str">
        <v>SSEMG_STA_IS_20260224_1400</v>
      </c>
      <c r="C109" t="str">
        <f>IF(A109='Label IDs'!$Q$1,FILLME!$E$6,IF(A109='Label IDs'!$R$1,FILLME!$E$8,IF(A109='Label IDs'!$S$1,FILLME!$E$9,IF(A109='Label IDs'!$T$1,FILLME!$E$10,IF(A109='Label IDs'!$U$1,FILLME!$E$11)))))</f>
        <v>NU</v>
      </c>
    </row>
    <row r="110" spans="1:3" x14ac:dyDescent="0.25">
      <c r="A110" t="str">
        <v>CCAL</v>
      </c>
      <c r="B110" t="str">
        <v>SSEMG_STA_IS_20260224_1600</v>
      </c>
      <c r="C110" t="str">
        <f>IF(A110='Label IDs'!$Q$1,FILLME!$E$6,IF(A110='Label IDs'!$R$1,FILLME!$E$8,IF(A110='Label IDs'!$S$1,FILLME!$E$9,IF(A110='Label IDs'!$T$1,FILLME!$E$10,IF(A110='Label IDs'!$U$1,FILLME!$E$11)))))</f>
        <v>NU</v>
      </c>
    </row>
    <row r="111" spans="1:3" x14ac:dyDescent="0.25">
      <c r="A111" t="str">
        <v>CCAL</v>
      </c>
      <c r="B111" t="str">
        <v>SSEMG_STA_IS_20260224_1800</v>
      </c>
      <c r="C111" t="str">
        <f>IF(A111='Label IDs'!$Q$1,FILLME!$E$6,IF(A111='Label IDs'!$R$1,FILLME!$E$8,IF(A111='Label IDs'!$S$1,FILLME!$E$9,IF(A111='Label IDs'!$T$1,FILLME!$E$10,IF(A111='Label IDs'!$U$1,FILLME!$E$11)))))</f>
        <v>NU</v>
      </c>
    </row>
    <row r="112" spans="1:3" x14ac:dyDescent="0.25">
      <c r="A112" t="str">
        <v>CCAL</v>
      </c>
      <c r="B112" t="str">
        <v>SSEMG_STA_IS_20260224_2000</v>
      </c>
      <c r="C112" t="str">
        <f>IF(A112='Label IDs'!$Q$1,FILLME!$E$6,IF(A112='Label IDs'!$R$1,FILLME!$E$8,IF(A112='Label IDs'!$S$1,FILLME!$E$9,IF(A112='Label IDs'!$T$1,FILLME!$E$10,IF(A112='Label IDs'!$U$1,FILLME!$E$11)))))</f>
        <v>NU</v>
      </c>
    </row>
    <row r="113" spans="1:3" x14ac:dyDescent="0.25">
      <c r="A113" t="str">
        <v>CCAL</v>
      </c>
      <c r="B113" t="str">
        <v>SSEMG_STA_IS_20260224_2200</v>
      </c>
      <c r="C113" t="str">
        <f>IF(A113='Label IDs'!$Q$1,FILLME!$E$6,IF(A113='Label IDs'!$R$1,FILLME!$E$8,IF(A113='Label IDs'!$S$1,FILLME!$E$9,IF(A113='Label IDs'!$T$1,FILLME!$E$10,IF(A113='Label IDs'!$U$1,FILLME!$E$11)))))</f>
        <v>NU</v>
      </c>
    </row>
    <row r="114" spans="1:3" x14ac:dyDescent="0.25">
      <c r="A114" t="str">
        <v>CCAL</v>
      </c>
      <c r="B114" t="str">
        <v>SSEMG_STA_IS_20260225_0000</v>
      </c>
      <c r="C114" t="str">
        <f>IF(A114='Label IDs'!$Q$1,FILLME!$E$6,IF(A114='Label IDs'!$R$1,FILLME!$E$8,IF(A114='Label IDs'!$S$1,FILLME!$E$9,IF(A114='Label IDs'!$T$1,FILLME!$E$10,IF(A114='Label IDs'!$U$1,FILLME!$E$11)))))</f>
        <v>NU</v>
      </c>
    </row>
    <row r="115" spans="1:3" x14ac:dyDescent="0.25">
      <c r="A115" t="str">
        <v>CCAL</v>
      </c>
      <c r="B115" t="str">
        <v>SSEMG_STA_IS_20260225_0200</v>
      </c>
      <c r="C115" t="str">
        <f>IF(A115='Label IDs'!$Q$1,FILLME!$E$6,IF(A115='Label IDs'!$R$1,FILLME!$E$8,IF(A115='Label IDs'!$S$1,FILLME!$E$9,IF(A115='Label IDs'!$T$1,FILLME!$E$10,IF(A115='Label IDs'!$U$1,FILLME!$E$11)))))</f>
        <v>NU</v>
      </c>
    </row>
    <row r="116" spans="1:3" x14ac:dyDescent="0.25">
      <c r="A116" t="str">
        <v>CCAL</v>
      </c>
      <c r="B116" t="str">
        <v>SSEMG_STA_IS_20260225_0400</v>
      </c>
      <c r="C116" t="str">
        <f>IF(A116='Label IDs'!$Q$1,FILLME!$E$6,IF(A116='Label IDs'!$R$1,FILLME!$E$8,IF(A116='Label IDs'!$S$1,FILLME!$E$9,IF(A116='Label IDs'!$T$1,FILLME!$E$10,IF(A116='Label IDs'!$U$1,FILLME!$E$11)))))</f>
        <v>NU</v>
      </c>
    </row>
    <row r="117" spans="1:3" x14ac:dyDescent="0.25">
      <c r="A117" t="str">
        <v>CCAL</v>
      </c>
      <c r="B117" t="str">
        <v>SSEMG_STA_IS_20260225_0600</v>
      </c>
      <c r="C117" t="str">
        <f>IF(A117='Label IDs'!$Q$1,FILLME!$E$6,IF(A117='Label IDs'!$R$1,FILLME!$E$8,IF(A117='Label IDs'!$S$1,FILLME!$E$9,IF(A117='Label IDs'!$T$1,FILLME!$E$10,IF(A117='Label IDs'!$U$1,FILLME!$E$11)))))</f>
        <v>NU</v>
      </c>
    </row>
    <row r="118" spans="1:3" x14ac:dyDescent="0.25">
      <c r="A118" t="str">
        <v>CCAL</v>
      </c>
      <c r="B118" t="str">
        <v>SSEMG_STA_IS_20260225_0800</v>
      </c>
      <c r="C118" t="str">
        <f>IF(A118='Label IDs'!$Q$1,FILLME!$E$6,IF(A118='Label IDs'!$R$1,FILLME!$E$8,IF(A118='Label IDs'!$S$1,FILLME!$E$9,IF(A118='Label IDs'!$T$1,FILLME!$E$10,IF(A118='Label IDs'!$U$1,FILLME!$E$11)))))</f>
        <v>NU</v>
      </c>
    </row>
    <row r="119" spans="1:3" x14ac:dyDescent="0.25">
      <c r="A119" t="str">
        <v>CCAL</v>
      </c>
      <c r="B119" t="str">
        <v>SSEMG_STA_IS_20260225_1000</v>
      </c>
      <c r="C119" t="str">
        <f>IF(A119='Label IDs'!$Q$1,FILLME!$E$6,IF(A119='Label IDs'!$R$1,FILLME!$E$8,IF(A119='Label IDs'!$S$1,FILLME!$E$9,IF(A119='Label IDs'!$T$1,FILLME!$E$10,IF(A119='Label IDs'!$U$1,FILLME!$E$11)))))</f>
        <v>NU</v>
      </c>
    </row>
    <row r="120" spans="1:3" x14ac:dyDescent="0.25">
      <c r="A120" t="str">
        <v>CCAL</v>
      </c>
      <c r="B120" t="str">
        <v>SSEMG_STA_IS_20260225_1200</v>
      </c>
      <c r="C120" t="str">
        <f>IF(A120='Label IDs'!$Q$1,FILLME!$E$6,IF(A120='Label IDs'!$R$1,FILLME!$E$8,IF(A120='Label IDs'!$S$1,FILLME!$E$9,IF(A120='Label IDs'!$T$1,FILLME!$E$10,IF(A120='Label IDs'!$U$1,FILLME!$E$11)))))</f>
        <v>NU</v>
      </c>
    </row>
    <row r="121" spans="1:3" x14ac:dyDescent="0.25">
      <c r="A121" t="str">
        <v>CCAL</v>
      </c>
      <c r="B121" t="str">
        <v>SSEMG_STA_IS_20260225_1400</v>
      </c>
      <c r="C121" t="str">
        <f>IF(A121='Label IDs'!$Q$1,FILLME!$E$6,IF(A121='Label IDs'!$R$1,FILLME!$E$8,IF(A121='Label IDs'!$S$1,FILLME!$E$9,IF(A121='Label IDs'!$T$1,FILLME!$E$10,IF(A121='Label IDs'!$U$1,FILLME!$E$11)))))</f>
        <v>NU</v>
      </c>
    </row>
    <row r="122" spans="1:3" x14ac:dyDescent="0.25">
      <c r="A122" t="str">
        <v>CCAL</v>
      </c>
      <c r="B122" t="str">
        <v>SSEMG_STA_IS_20260225_1600</v>
      </c>
      <c r="C122" t="str">
        <f>IF(A122='Label IDs'!$Q$1,FILLME!$E$6,IF(A122='Label IDs'!$R$1,FILLME!$E$8,IF(A122='Label IDs'!$S$1,FILLME!$E$9,IF(A122='Label IDs'!$T$1,FILLME!$E$10,IF(A122='Label IDs'!$U$1,FILLME!$E$11)))))</f>
        <v>NU</v>
      </c>
    </row>
    <row r="123" spans="1:3" x14ac:dyDescent="0.25">
      <c r="A123" t="str">
        <v>CCAL</v>
      </c>
      <c r="B123" t="str">
        <v>SSEMG_STA_IS_20260225_1800</v>
      </c>
      <c r="C123" t="str">
        <f>IF(A123='Label IDs'!$Q$1,FILLME!$E$6,IF(A123='Label IDs'!$R$1,FILLME!$E$8,IF(A123='Label IDs'!$S$1,FILLME!$E$9,IF(A123='Label IDs'!$T$1,FILLME!$E$10,IF(A123='Label IDs'!$U$1,FILLME!$E$11)))))</f>
        <v>NU</v>
      </c>
    </row>
    <row r="124" spans="1:3" x14ac:dyDescent="0.25">
      <c r="A124" t="str">
        <v>CCAL</v>
      </c>
      <c r="B124" t="str">
        <v>SSEMG_STA_IS_20260225_2000</v>
      </c>
      <c r="C124" t="str">
        <f>IF(A124='Label IDs'!$Q$1,FILLME!$E$6,IF(A124='Label IDs'!$R$1,FILLME!$E$8,IF(A124='Label IDs'!$S$1,FILLME!$E$9,IF(A124='Label IDs'!$T$1,FILLME!$E$10,IF(A124='Label IDs'!$U$1,FILLME!$E$11)))))</f>
        <v>NU</v>
      </c>
    </row>
    <row r="125" spans="1:3" x14ac:dyDescent="0.25">
      <c r="A125" t="str">
        <v>CCAL</v>
      </c>
      <c r="B125" t="str">
        <v>SSEMG_STA_IS_20260225_2200</v>
      </c>
      <c r="C125" t="str">
        <f>IF(A125='Label IDs'!$Q$1,FILLME!$E$6,IF(A125='Label IDs'!$R$1,FILLME!$E$8,IF(A125='Label IDs'!$S$1,FILLME!$E$9,IF(A125='Label IDs'!$T$1,FILLME!$E$10,IF(A125='Label IDs'!$U$1,FILLME!$E$11)))))</f>
        <v>NU</v>
      </c>
    </row>
    <row r="126" spans="1:3" x14ac:dyDescent="0.25">
      <c r="A126" t="str">
        <v>CCAL</v>
      </c>
      <c r="B126" t="str">
        <v>SSEMG_STA_IS_20260226_0000</v>
      </c>
      <c r="C126" t="str">
        <f>IF(A126='Label IDs'!$Q$1,FILLME!$E$6,IF(A126='Label IDs'!$R$1,FILLME!$E$8,IF(A126='Label IDs'!$S$1,FILLME!$E$9,IF(A126='Label IDs'!$T$1,FILLME!$E$10,IF(A126='Label IDs'!$U$1,FILLME!$E$11)))))</f>
        <v>NU</v>
      </c>
    </row>
    <row r="127" spans="1:3" x14ac:dyDescent="0.25">
      <c r="A127" t="str">
        <v>CCAL</v>
      </c>
      <c r="B127" t="str">
        <v>SSEMG_STA_IS_20260226_0200</v>
      </c>
      <c r="C127" t="str">
        <f>IF(A127='Label IDs'!$Q$1,FILLME!$E$6,IF(A127='Label IDs'!$R$1,FILLME!$E$8,IF(A127='Label IDs'!$S$1,FILLME!$E$9,IF(A127='Label IDs'!$T$1,FILLME!$E$10,IF(A127='Label IDs'!$U$1,FILLME!$E$11)))))</f>
        <v>NU</v>
      </c>
    </row>
    <row r="128" spans="1:3" x14ac:dyDescent="0.25">
      <c r="A128" t="str">
        <v>CCAL</v>
      </c>
      <c r="B128" t="str">
        <v>SSEMG_STA_IS_20260226_0400</v>
      </c>
      <c r="C128" t="str">
        <f>IF(A128='Label IDs'!$Q$1,FILLME!$E$6,IF(A128='Label IDs'!$R$1,FILLME!$E$8,IF(A128='Label IDs'!$S$1,FILLME!$E$9,IF(A128='Label IDs'!$T$1,FILLME!$E$10,IF(A128='Label IDs'!$U$1,FILLME!$E$11)))))</f>
        <v>NU</v>
      </c>
    </row>
    <row r="129" spans="1:3" x14ac:dyDescent="0.25">
      <c r="A129" t="str">
        <v>CCAL</v>
      </c>
      <c r="B129" t="str">
        <v>SSEMG_STA_IS_20260226_0600</v>
      </c>
      <c r="C129" t="str">
        <f>IF(A129='Label IDs'!$Q$1,FILLME!$E$6,IF(A129='Label IDs'!$R$1,FILLME!$E$8,IF(A129='Label IDs'!$S$1,FILLME!$E$9,IF(A129='Label IDs'!$T$1,FILLME!$E$10,IF(A129='Label IDs'!$U$1,FILLME!$E$11)))))</f>
        <v>NU</v>
      </c>
    </row>
    <row r="130" spans="1:3" x14ac:dyDescent="0.25">
      <c r="A130" t="str">
        <v>CCAL</v>
      </c>
      <c r="B130" t="str">
        <v>SSEMG_STA_IS_20260226_0800</v>
      </c>
      <c r="C130" t="str">
        <f>IF(A130='Label IDs'!$Q$1,FILLME!$E$6,IF(A130='Label IDs'!$R$1,FILLME!$E$8,IF(A130='Label IDs'!$S$1,FILLME!$E$9,IF(A130='Label IDs'!$T$1,FILLME!$E$10,IF(A130='Label IDs'!$U$1,FILLME!$E$11)))))</f>
        <v>NU</v>
      </c>
    </row>
    <row r="131" spans="1:3" x14ac:dyDescent="0.25">
      <c r="A131" t="str">
        <v>CCAL</v>
      </c>
      <c r="B131" t="str">
        <v>SSEMG_STA_IS_20260226_1000</v>
      </c>
      <c r="C131" t="str">
        <f>IF(A131='Label IDs'!$Q$1,FILLME!$E$6,IF(A131='Label IDs'!$R$1,FILLME!$E$8,IF(A131='Label IDs'!$S$1,FILLME!$E$9,IF(A131='Label IDs'!$T$1,FILLME!$E$10,IF(A131='Label IDs'!$U$1,FILLME!$E$11)))))</f>
        <v>NU</v>
      </c>
    </row>
    <row r="132" spans="1:3" x14ac:dyDescent="0.25">
      <c r="A132" t="str">
        <v>CCAL</v>
      </c>
      <c r="B132" t="str">
        <v>SSEMG_STA_IS_20260226_1200</v>
      </c>
      <c r="C132" t="str">
        <f>IF(A132='Label IDs'!$Q$1,FILLME!$E$6,IF(A132='Label IDs'!$R$1,FILLME!$E$8,IF(A132='Label IDs'!$S$1,FILLME!$E$9,IF(A132='Label IDs'!$T$1,FILLME!$E$10,IF(A132='Label IDs'!$U$1,FILLME!$E$11)))))</f>
        <v>NU</v>
      </c>
    </row>
    <row r="133" spans="1:3" x14ac:dyDescent="0.25">
      <c r="A133" t="str">
        <v>CCAL</v>
      </c>
      <c r="B133" t="str">
        <v>SSEMG_STA_IS_20260226_1400</v>
      </c>
      <c r="C133" t="str">
        <f>IF(A133='Label IDs'!$Q$1,FILLME!$E$6,IF(A133='Label IDs'!$R$1,FILLME!$E$8,IF(A133='Label IDs'!$S$1,FILLME!$E$9,IF(A133='Label IDs'!$T$1,FILLME!$E$10,IF(A133='Label IDs'!$U$1,FILLME!$E$11)))))</f>
        <v>NU</v>
      </c>
    </row>
    <row r="134" spans="1:3" x14ac:dyDescent="0.25">
      <c r="A134" t="str">
        <v>CCAL</v>
      </c>
      <c r="B134" t="str">
        <v>SSEMG_STA_IS_20260226_1600</v>
      </c>
      <c r="C134" t="str">
        <f>IF(A134='Label IDs'!$Q$1,FILLME!$E$6,IF(A134='Label IDs'!$R$1,FILLME!$E$8,IF(A134='Label IDs'!$S$1,FILLME!$E$9,IF(A134='Label IDs'!$T$1,FILLME!$E$10,IF(A134='Label IDs'!$U$1,FILLME!$E$11)))))</f>
        <v>NU</v>
      </c>
    </row>
    <row r="135" spans="1:3" x14ac:dyDescent="0.25">
      <c r="A135" t="str">
        <v>CCAL</v>
      </c>
      <c r="B135" t="str">
        <v>SSEMG_STA_IS_20260226_1800</v>
      </c>
      <c r="C135" t="str">
        <f>IF(A135='Label IDs'!$Q$1,FILLME!$E$6,IF(A135='Label IDs'!$R$1,FILLME!$E$8,IF(A135='Label IDs'!$S$1,FILLME!$E$9,IF(A135='Label IDs'!$T$1,FILLME!$E$10,IF(A135='Label IDs'!$U$1,FILLME!$E$11)))))</f>
        <v>NU</v>
      </c>
    </row>
    <row r="136" spans="1:3" x14ac:dyDescent="0.25">
      <c r="A136" t="str">
        <v>CCAL</v>
      </c>
      <c r="B136" t="str">
        <v>SSEMG_STA_IS_20260226_2000</v>
      </c>
      <c r="C136" t="str">
        <f>IF(A136='Label IDs'!$Q$1,FILLME!$E$6,IF(A136='Label IDs'!$R$1,FILLME!$E$8,IF(A136='Label IDs'!$S$1,FILLME!$E$9,IF(A136='Label IDs'!$T$1,FILLME!$E$10,IF(A136='Label IDs'!$U$1,FILLME!$E$11)))))</f>
        <v>NU</v>
      </c>
    </row>
    <row r="137" spans="1:3" x14ac:dyDescent="0.25">
      <c r="A137" t="str">
        <v>CCAL</v>
      </c>
      <c r="B137" t="str">
        <v>SSEMG_STA_IS_20260226_2200</v>
      </c>
      <c r="C137" t="str">
        <f>IF(A137='Label IDs'!$Q$1,FILLME!$E$6,IF(A137='Label IDs'!$R$1,FILLME!$E$8,IF(A137='Label IDs'!$S$1,FILLME!$E$9,IF(A137='Label IDs'!$T$1,FILLME!$E$10,IF(A137='Label IDs'!$U$1,FILLME!$E$11)))))</f>
        <v>NU</v>
      </c>
    </row>
    <row r="138" spans="1:3" x14ac:dyDescent="0.25">
      <c r="A138" t="str">
        <v>CCAL</v>
      </c>
      <c r="B138" t="str">
        <v>SSEMG_STA_IS_20260227_0000</v>
      </c>
      <c r="C138" t="str">
        <f>IF(A138='Label IDs'!$Q$1,FILLME!$E$6,IF(A138='Label IDs'!$R$1,FILLME!$E$8,IF(A138='Label IDs'!$S$1,FILLME!$E$9,IF(A138='Label IDs'!$T$1,FILLME!$E$10,IF(A138='Label IDs'!$U$1,FILLME!$E$11)))))</f>
        <v>NU</v>
      </c>
    </row>
    <row r="139" spans="1:3" x14ac:dyDescent="0.25">
      <c r="A139" t="str">
        <v>CCAL</v>
      </c>
      <c r="B139" t="str">
        <v>SSEMG_STA_IS_20260227_0200</v>
      </c>
      <c r="C139" t="str">
        <f>IF(A139='Label IDs'!$Q$1,FILLME!$E$6,IF(A139='Label IDs'!$R$1,FILLME!$E$8,IF(A139='Label IDs'!$S$1,FILLME!$E$9,IF(A139='Label IDs'!$T$1,FILLME!$E$10,IF(A139='Label IDs'!$U$1,FILLME!$E$11)))))</f>
        <v>NU</v>
      </c>
    </row>
    <row r="140" spans="1:3" x14ac:dyDescent="0.25">
      <c r="A140" t="str">
        <v>CCAL</v>
      </c>
      <c r="B140" t="str">
        <v>SSEMG_STA_IS_20260227_0400</v>
      </c>
      <c r="C140" t="str">
        <f>IF(A140='Label IDs'!$Q$1,FILLME!$E$6,IF(A140='Label IDs'!$R$1,FILLME!$E$8,IF(A140='Label IDs'!$S$1,FILLME!$E$9,IF(A140='Label IDs'!$T$1,FILLME!$E$10,IF(A140='Label IDs'!$U$1,FILLME!$E$11)))))</f>
        <v>NU</v>
      </c>
    </row>
    <row r="141" spans="1:3" x14ac:dyDescent="0.25">
      <c r="A141" t="str">
        <v>CCAL</v>
      </c>
      <c r="B141" t="str">
        <v>SSEMG_STA_IS_20260227_0600</v>
      </c>
      <c r="C141" t="str">
        <f>IF(A141='Label IDs'!$Q$1,FILLME!$E$6,IF(A141='Label IDs'!$R$1,FILLME!$E$8,IF(A141='Label IDs'!$S$1,FILLME!$E$9,IF(A141='Label IDs'!$T$1,FILLME!$E$10,IF(A141='Label IDs'!$U$1,FILLME!$E$11)))))</f>
        <v>NU</v>
      </c>
    </row>
    <row r="142" spans="1:3" x14ac:dyDescent="0.25">
      <c r="A142" t="str">
        <v>CCAL</v>
      </c>
      <c r="B142" t="str">
        <v>SSEMG_STA_IS_20260227_0800</v>
      </c>
      <c r="C142" t="str">
        <f>IF(A142='Label IDs'!$Q$1,FILLME!$E$6,IF(A142='Label IDs'!$R$1,FILLME!$E$8,IF(A142='Label IDs'!$S$1,FILLME!$E$9,IF(A142='Label IDs'!$T$1,FILLME!$E$10,IF(A142='Label IDs'!$U$1,FILLME!$E$11)))))</f>
        <v>NU</v>
      </c>
    </row>
    <row r="143" spans="1:3" x14ac:dyDescent="0.25">
      <c r="A143" t="str">
        <v>CCAL</v>
      </c>
      <c r="B143" t="str">
        <v>SSEMG_STA_IS_20260227_1000</v>
      </c>
      <c r="C143" t="str">
        <f>IF(A143='Label IDs'!$Q$1,FILLME!$E$6,IF(A143='Label IDs'!$R$1,FILLME!$E$8,IF(A143='Label IDs'!$S$1,FILLME!$E$9,IF(A143='Label IDs'!$T$1,FILLME!$E$10,IF(A143='Label IDs'!$U$1,FILLME!$E$11)))))</f>
        <v>NU</v>
      </c>
    </row>
    <row r="144" spans="1:3" x14ac:dyDescent="0.25">
      <c r="A144" t="str">
        <v>CCAL</v>
      </c>
      <c r="B144" t="str">
        <v>SSEMG_STA_IS_20260227_1200</v>
      </c>
      <c r="C144" t="str">
        <f>IF(A144='Label IDs'!$Q$1,FILLME!$E$6,IF(A144='Label IDs'!$R$1,FILLME!$E$8,IF(A144='Label IDs'!$S$1,FILLME!$E$9,IF(A144='Label IDs'!$T$1,FILLME!$E$10,IF(A144='Label IDs'!$U$1,FILLME!$E$11)))))</f>
        <v>NU</v>
      </c>
    </row>
    <row r="145" spans="1:3" x14ac:dyDescent="0.25">
      <c r="A145" t="str">
        <v>CCAL</v>
      </c>
      <c r="B145" t="str">
        <v>SSEMG_STA_IS_20260227_1400</v>
      </c>
      <c r="C145" t="str">
        <f>IF(A145='Label IDs'!$Q$1,FILLME!$E$6,IF(A145='Label IDs'!$R$1,FILLME!$E$8,IF(A145='Label IDs'!$S$1,FILLME!$E$9,IF(A145='Label IDs'!$T$1,FILLME!$E$10,IF(A145='Label IDs'!$U$1,FILLME!$E$11)))))</f>
        <v>NU</v>
      </c>
    </row>
    <row r="146" spans="1:3" x14ac:dyDescent="0.25">
      <c r="A146" t="str">
        <v>CCAL</v>
      </c>
      <c r="B146" t="str">
        <v>SSEMG_STA_IS_20260227_1600</v>
      </c>
      <c r="C146" t="str">
        <f>IF(A146='Label IDs'!$Q$1,FILLME!$E$6,IF(A146='Label IDs'!$R$1,FILLME!$E$8,IF(A146='Label IDs'!$S$1,FILLME!$E$9,IF(A146='Label IDs'!$T$1,FILLME!$E$10,IF(A146='Label IDs'!$U$1,FILLME!$E$11)))))</f>
        <v>NU</v>
      </c>
    </row>
    <row r="147" spans="1:3" x14ac:dyDescent="0.25">
      <c r="A147" t="str">
        <v>CCAL</v>
      </c>
      <c r="B147" t="str">
        <v>SSEMG_STA_IS_20260227_1800</v>
      </c>
      <c r="C147" t="str">
        <f>IF(A147='Label IDs'!$Q$1,FILLME!$E$6,IF(A147='Label IDs'!$R$1,FILLME!$E$8,IF(A147='Label IDs'!$S$1,FILLME!$E$9,IF(A147='Label IDs'!$T$1,FILLME!$E$10,IF(A147='Label IDs'!$U$1,FILLME!$E$11)))))</f>
        <v>NU</v>
      </c>
    </row>
    <row r="148" spans="1:3" x14ac:dyDescent="0.25">
      <c r="A148" t="str">
        <v>CCAL</v>
      </c>
      <c r="B148" t="str">
        <v>SSEMG_STA_IS_20260227_2000</v>
      </c>
      <c r="C148" t="str">
        <f>IF(A148='Label IDs'!$Q$1,FILLME!$E$6,IF(A148='Label IDs'!$R$1,FILLME!$E$8,IF(A148='Label IDs'!$S$1,FILLME!$E$9,IF(A148='Label IDs'!$T$1,FILLME!$E$10,IF(A148='Label IDs'!$U$1,FILLME!$E$11)))))</f>
        <v>NU</v>
      </c>
    </row>
    <row r="149" spans="1:3" x14ac:dyDescent="0.25">
      <c r="A149" t="str">
        <v>CCAL</v>
      </c>
      <c r="B149" t="str">
        <v>SSEMG_STA_IS_20260227_2200</v>
      </c>
      <c r="C149" t="str">
        <f>IF(A149='Label IDs'!$Q$1,FILLME!$E$6,IF(A149='Label IDs'!$R$1,FILLME!$E$8,IF(A149='Label IDs'!$S$1,FILLME!$E$9,IF(A149='Label IDs'!$T$1,FILLME!$E$10,IF(A149='Label IDs'!$U$1,FILLME!$E$11)))))</f>
        <v>NU</v>
      </c>
    </row>
    <row r="150" spans="1:3" x14ac:dyDescent="0.25">
      <c r="A150" t="str">
        <v>CCAL</v>
      </c>
      <c r="B150" t="str">
        <v>SSEMG_STA_IS_20260228_0000</v>
      </c>
      <c r="C150" t="str">
        <f>IF(A150='Label IDs'!$Q$1,FILLME!$E$6,IF(A150='Label IDs'!$R$1,FILLME!$E$8,IF(A150='Label IDs'!$S$1,FILLME!$E$9,IF(A150='Label IDs'!$T$1,FILLME!$E$10,IF(A150='Label IDs'!$U$1,FILLME!$E$11)))))</f>
        <v>NU</v>
      </c>
    </row>
    <row r="151" spans="1:3" x14ac:dyDescent="0.25">
      <c r="A151" t="str">
        <v>CCAL</v>
      </c>
      <c r="B151" t="str">
        <v>SSEMG_STA_IS_20260228_0200</v>
      </c>
      <c r="C151" t="str">
        <f>IF(A151='Label IDs'!$Q$1,FILLME!$E$6,IF(A151='Label IDs'!$R$1,FILLME!$E$8,IF(A151='Label IDs'!$S$1,FILLME!$E$9,IF(A151='Label IDs'!$T$1,FILLME!$E$10,IF(A151='Label IDs'!$U$1,FILLME!$E$11)))))</f>
        <v>NU</v>
      </c>
    </row>
    <row r="152" spans="1:3" x14ac:dyDescent="0.25">
      <c r="A152" t="str">
        <v>CCAL</v>
      </c>
      <c r="B152" t="str">
        <v>SSEMG_STA_IS_20260228_0400</v>
      </c>
      <c r="C152" t="str">
        <f>IF(A152='Label IDs'!$Q$1,FILLME!$E$6,IF(A152='Label IDs'!$R$1,FILLME!$E$8,IF(A152='Label IDs'!$S$1,FILLME!$E$9,IF(A152='Label IDs'!$T$1,FILLME!$E$10,IF(A152='Label IDs'!$U$1,FILLME!$E$11)))))</f>
        <v>NU</v>
      </c>
    </row>
    <row r="153" spans="1:3" x14ac:dyDescent="0.25">
      <c r="A153" t="str">
        <v>CCAL</v>
      </c>
      <c r="B153" t="str">
        <v>SSEMG_STA_IS_20260228_0600</v>
      </c>
      <c r="C153" t="str">
        <f>IF(A153='Label IDs'!$Q$1,FILLME!$E$6,IF(A153='Label IDs'!$R$1,FILLME!$E$8,IF(A153='Label IDs'!$S$1,FILLME!$E$9,IF(A153='Label IDs'!$T$1,FILLME!$E$10,IF(A153='Label IDs'!$U$1,FILLME!$E$11)))))</f>
        <v>NU</v>
      </c>
    </row>
    <row r="154" spans="1:3" x14ac:dyDescent="0.25">
      <c r="A154" t="str">
        <v>CCAL</v>
      </c>
      <c r="B154" t="str">
        <v>SSEMG_STA_IS_20260228_0800</v>
      </c>
      <c r="C154" t="str">
        <f>IF(A154='Label IDs'!$Q$1,FILLME!$E$6,IF(A154='Label IDs'!$R$1,FILLME!$E$8,IF(A154='Label IDs'!$S$1,FILLME!$E$9,IF(A154='Label IDs'!$T$1,FILLME!$E$10,IF(A154='Label IDs'!$U$1,FILLME!$E$11)))))</f>
        <v>NU</v>
      </c>
    </row>
    <row r="155" spans="1:3" x14ac:dyDescent="0.25">
      <c r="A155" t="str">
        <v>CCAL</v>
      </c>
      <c r="B155" t="str">
        <v>SSEMG_STA_IS_20260228_1000</v>
      </c>
      <c r="C155" t="str">
        <f>IF(A155='Label IDs'!$Q$1,FILLME!$E$6,IF(A155='Label IDs'!$R$1,FILLME!$E$8,IF(A155='Label IDs'!$S$1,FILLME!$E$9,IF(A155='Label IDs'!$T$1,FILLME!$E$10,IF(A155='Label IDs'!$U$1,FILLME!$E$11)))))</f>
        <v>NU</v>
      </c>
    </row>
    <row r="156" spans="1:3" x14ac:dyDescent="0.25">
      <c r="A156" t="str">
        <v>CCAL</v>
      </c>
      <c r="B156" t="str">
        <v>SSEMG_STA_IS_20260228_1200</v>
      </c>
      <c r="C156" t="str">
        <f>IF(A156='Label IDs'!$Q$1,FILLME!$E$6,IF(A156='Label IDs'!$R$1,FILLME!$E$8,IF(A156='Label IDs'!$S$1,FILLME!$E$9,IF(A156='Label IDs'!$T$1,FILLME!$E$10,IF(A156='Label IDs'!$U$1,FILLME!$E$11)))))</f>
        <v>NU</v>
      </c>
    </row>
    <row r="157" spans="1:3" x14ac:dyDescent="0.25">
      <c r="A157" t="str">
        <v>CCAL</v>
      </c>
      <c r="B157" t="str">
        <v>SSEMG_STA_IS_20260228_1400</v>
      </c>
      <c r="C157" t="str">
        <f>IF(A157='Label IDs'!$Q$1,FILLME!$E$6,IF(A157='Label IDs'!$R$1,FILLME!$E$8,IF(A157='Label IDs'!$S$1,FILLME!$E$9,IF(A157='Label IDs'!$T$1,FILLME!$E$10,IF(A157='Label IDs'!$U$1,FILLME!$E$11)))))</f>
        <v>NU</v>
      </c>
    </row>
    <row r="158" spans="1:3" x14ac:dyDescent="0.25">
      <c r="A158" t="str">
        <v>CCAL</v>
      </c>
      <c r="B158" t="str">
        <v>SSEMG_STA_IS_20260228_1600</v>
      </c>
      <c r="C158" t="str">
        <f>IF(A158='Label IDs'!$Q$1,FILLME!$E$6,IF(A158='Label IDs'!$R$1,FILLME!$E$8,IF(A158='Label IDs'!$S$1,FILLME!$E$9,IF(A158='Label IDs'!$T$1,FILLME!$E$10,IF(A158='Label IDs'!$U$1,FILLME!$E$11)))))</f>
        <v>NU</v>
      </c>
    </row>
    <row r="159" spans="1:3" x14ac:dyDescent="0.25">
      <c r="A159" t="str">
        <v>CCAL</v>
      </c>
      <c r="B159" t="str">
        <v>SSEMG_STA_IS_20260228_1800</v>
      </c>
      <c r="C159" t="str">
        <f>IF(A159='Label IDs'!$Q$1,FILLME!$E$6,IF(A159='Label IDs'!$R$1,FILLME!$E$8,IF(A159='Label IDs'!$S$1,FILLME!$E$9,IF(A159='Label IDs'!$T$1,FILLME!$E$10,IF(A159='Label IDs'!$U$1,FILLME!$E$11)))))</f>
        <v>NU</v>
      </c>
    </row>
    <row r="160" spans="1:3" x14ac:dyDescent="0.25">
      <c r="A160" t="str">
        <v>CCAL</v>
      </c>
      <c r="B160" t="str">
        <v>SSEMG_STA_IS_20260228_2000</v>
      </c>
      <c r="C160" t="str">
        <f>IF(A160='Label IDs'!$Q$1,FILLME!$E$6,IF(A160='Label IDs'!$R$1,FILLME!$E$8,IF(A160='Label IDs'!$S$1,FILLME!$E$9,IF(A160='Label IDs'!$T$1,FILLME!$E$10,IF(A160='Label IDs'!$U$1,FILLME!$E$11)))))</f>
        <v>NU</v>
      </c>
    </row>
    <row r="161" spans="1:3" x14ac:dyDescent="0.25">
      <c r="A161" t="str">
        <v>CCAL</v>
      </c>
      <c r="B161" t="str">
        <v>SSEMG_STA_IS_20260228_2200</v>
      </c>
      <c r="C161" t="str">
        <f>IF(A161='Label IDs'!$Q$1,FILLME!$E$6,IF(A161='Label IDs'!$R$1,FILLME!$E$8,IF(A161='Label IDs'!$S$1,FILLME!$E$9,IF(A161='Label IDs'!$T$1,FILLME!$E$10,IF(A161='Label IDs'!$U$1,FILLME!$E$11)))))</f>
        <v>NU</v>
      </c>
    </row>
    <row r="162" spans="1:3" x14ac:dyDescent="0.25">
      <c r="A162" t="str">
        <v>CCAL</v>
      </c>
      <c r="B162" t="str">
        <v>SSEMG_STA_IS_20260301_0000</v>
      </c>
      <c r="C162" t="str">
        <f>IF(A162='Label IDs'!$Q$1,FILLME!$E$6,IF(A162='Label IDs'!$R$1,FILLME!$E$8,IF(A162='Label IDs'!$S$1,FILLME!$E$9,IF(A162='Label IDs'!$T$1,FILLME!$E$10,IF(A162='Label IDs'!$U$1,FILLME!$E$11)))))</f>
        <v>NU</v>
      </c>
    </row>
    <row r="163" spans="1:3" x14ac:dyDescent="0.25">
      <c r="A163" t="str">
        <v>CCAL</v>
      </c>
      <c r="B163" t="str">
        <v>SSEMG_STA_IS_20260301_0200</v>
      </c>
      <c r="C163" t="str">
        <f>IF(A163='Label IDs'!$Q$1,FILLME!$E$6,IF(A163='Label IDs'!$R$1,FILLME!$E$8,IF(A163='Label IDs'!$S$1,FILLME!$E$9,IF(A163='Label IDs'!$T$1,FILLME!$E$10,IF(A163='Label IDs'!$U$1,FILLME!$E$11)))))</f>
        <v>NU</v>
      </c>
    </row>
    <row r="164" spans="1:3" x14ac:dyDescent="0.25">
      <c r="A164" t="str">
        <v>CCAL</v>
      </c>
      <c r="B164" t="str">
        <v>SSEMG_STA_IS_20260301_0400</v>
      </c>
      <c r="C164" t="str">
        <f>IF(A164='Label IDs'!$Q$1,FILLME!$E$6,IF(A164='Label IDs'!$R$1,FILLME!$E$8,IF(A164='Label IDs'!$S$1,FILLME!$E$9,IF(A164='Label IDs'!$T$1,FILLME!$E$10,IF(A164='Label IDs'!$U$1,FILLME!$E$11)))))</f>
        <v>NU</v>
      </c>
    </row>
    <row r="165" spans="1:3" x14ac:dyDescent="0.25">
      <c r="A165" t="str">
        <v>CCAL</v>
      </c>
      <c r="B165" t="str">
        <v>SSEMG_STA_IS_20260301_0600</v>
      </c>
      <c r="C165" t="str">
        <f>IF(A165='Label IDs'!$Q$1,FILLME!$E$6,IF(A165='Label IDs'!$R$1,FILLME!$E$8,IF(A165='Label IDs'!$S$1,FILLME!$E$9,IF(A165='Label IDs'!$T$1,FILLME!$E$10,IF(A165='Label IDs'!$U$1,FILLME!$E$11)))))</f>
        <v>NU</v>
      </c>
    </row>
    <row r="166" spans="1:3" x14ac:dyDescent="0.25">
      <c r="A166" t="str">
        <v>CCAL</v>
      </c>
      <c r="B166" t="str">
        <v>SSEMG_STA_IS_20260301_0800</v>
      </c>
      <c r="C166" t="str">
        <f>IF(A166='Label IDs'!$Q$1,FILLME!$E$6,IF(A166='Label IDs'!$R$1,FILLME!$E$8,IF(A166='Label IDs'!$S$1,FILLME!$E$9,IF(A166='Label IDs'!$T$1,FILLME!$E$10,IF(A166='Label IDs'!$U$1,FILLME!$E$11)))))</f>
        <v>NU</v>
      </c>
    </row>
    <row r="167" spans="1:3" x14ac:dyDescent="0.25">
      <c r="A167" t="str">
        <v>CCAL</v>
      </c>
      <c r="B167" t="str">
        <v>SSEMG_STA_IS_20260301_1000</v>
      </c>
      <c r="C167" t="str">
        <f>IF(A167='Label IDs'!$Q$1,FILLME!$E$6,IF(A167='Label IDs'!$R$1,FILLME!$E$8,IF(A167='Label IDs'!$S$1,FILLME!$E$9,IF(A167='Label IDs'!$T$1,FILLME!$E$10,IF(A167='Label IDs'!$U$1,FILLME!$E$11)))))</f>
        <v>NU</v>
      </c>
    </row>
    <row r="168" spans="1:3" x14ac:dyDescent="0.25">
      <c r="A168" t="str">
        <v>CCAL</v>
      </c>
      <c r="B168" t="str">
        <v>SSEMG_STA_IS_20260301_1200</v>
      </c>
      <c r="C168" t="str">
        <f>IF(A168='Label IDs'!$Q$1,FILLME!$E$6,IF(A168='Label IDs'!$R$1,FILLME!$E$8,IF(A168='Label IDs'!$S$1,FILLME!$E$9,IF(A168='Label IDs'!$T$1,FILLME!$E$10,IF(A168='Label IDs'!$U$1,FILLME!$E$11)))))</f>
        <v>NU</v>
      </c>
    </row>
    <row r="169" spans="1:3" x14ac:dyDescent="0.25">
      <c r="A169" t="str">
        <v>CCAL</v>
      </c>
      <c r="B169" t="str">
        <v>SSEMG_STA_IS_20260301_1400</v>
      </c>
      <c r="C169" t="str">
        <f>IF(A169='Label IDs'!$Q$1,FILLME!$E$6,IF(A169='Label IDs'!$R$1,FILLME!$E$8,IF(A169='Label IDs'!$S$1,FILLME!$E$9,IF(A169='Label IDs'!$T$1,FILLME!$E$10,IF(A169='Label IDs'!$U$1,FILLME!$E$11)))))</f>
        <v>NU</v>
      </c>
    </row>
    <row r="170" spans="1:3" x14ac:dyDescent="0.25">
      <c r="A170" t="str">
        <v>CCAL</v>
      </c>
      <c r="B170" t="str">
        <v>SSEMG_STA_IS_20260301_1600</v>
      </c>
      <c r="C170" t="str">
        <f>IF(A170='Label IDs'!$Q$1,FILLME!$E$6,IF(A170='Label IDs'!$R$1,FILLME!$E$8,IF(A170='Label IDs'!$S$1,FILLME!$E$9,IF(A170='Label IDs'!$T$1,FILLME!$E$10,IF(A170='Label IDs'!$U$1,FILLME!$E$11)))))</f>
        <v>NU</v>
      </c>
    </row>
    <row r="171" spans="1:3" x14ac:dyDescent="0.25">
      <c r="A171" t="str">
        <v>CCAL</v>
      </c>
      <c r="B171" t="str">
        <v>SSEMG_STA_IS_20260301_1800</v>
      </c>
      <c r="C171" t="str">
        <f>IF(A171='Label IDs'!$Q$1,FILLME!$E$6,IF(A171='Label IDs'!$R$1,FILLME!$E$8,IF(A171='Label IDs'!$S$1,FILLME!$E$9,IF(A171='Label IDs'!$T$1,FILLME!$E$10,IF(A171='Label IDs'!$U$1,FILLME!$E$11)))))</f>
        <v>NU</v>
      </c>
    </row>
    <row r="172" spans="1:3" x14ac:dyDescent="0.25">
      <c r="A172" t="str">
        <v>CCAL</v>
      </c>
      <c r="B172" t="str">
        <v>SSEMG_STA_IS_20260301_2000</v>
      </c>
      <c r="C172" t="str">
        <f>IF(A172='Label IDs'!$Q$1,FILLME!$E$6,IF(A172='Label IDs'!$R$1,FILLME!$E$8,IF(A172='Label IDs'!$S$1,FILLME!$E$9,IF(A172='Label IDs'!$T$1,FILLME!$E$10,IF(A172='Label IDs'!$U$1,FILLME!$E$11)))))</f>
        <v>NU</v>
      </c>
    </row>
    <row r="173" spans="1:3" x14ac:dyDescent="0.25">
      <c r="A173" t="str">
        <v>CCAL</v>
      </c>
      <c r="B173" t="str">
        <v>SSEMG_STA_IS_20260301_2200</v>
      </c>
      <c r="C173" t="str">
        <f>IF(A173='Label IDs'!$Q$1,FILLME!$E$6,IF(A173='Label IDs'!$R$1,FILLME!$E$8,IF(A173='Label IDs'!$S$1,FILLME!$E$9,IF(A173='Label IDs'!$T$1,FILLME!$E$10,IF(A173='Label IDs'!$U$1,FILLME!$E$11)))))</f>
        <v>NU</v>
      </c>
    </row>
    <row r="174" spans="1:3" x14ac:dyDescent="0.25">
      <c r="A174" t="str">
        <v>CCAL</v>
      </c>
      <c r="B174" t="str">
        <v>SSEMG_STA_IS_20260302_0000</v>
      </c>
      <c r="C174" t="str">
        <f>IF(A174='Label IDs'!$Q$1,FILLME!$E$6,IF(A174='Label IDs'!$R$1,FILLME!$E$8,IF(A174='Label IDs'!$S$1,FILLME!$E$9,IF(A174='Label IDs'!$T$1,FILLME!$E$10,IF(A174='Label IDs'!$U$1,FILLME!$E$11)))))</f>
        <v>NU</v>
      </c>
    </row>
    <row r="175" spans="1:3" x14ac:dyDescent="0.25">
      <c r="A175" t="str">
        <v>CCAL</v>
      </c>
      <c r="B175" t="str">
        <v>SSEMG_STA_IS_20260302_0200</v>
      </c>
      <c r="C175" t="str">
        <f>IF(A175='Label IDs'!$Q$1,FILLME!$E$6,IF(A175='Label IDs'!$R$1,FILLME!$E$8,IF(A175='Label IDs'!$S$1,FILLME!$E$9,IF(A175='Label IDs'!$T$1,FILLME!$E$10,IF(A175='Label IDs'!$U$1,FILLME!$E$11)))))</f>
        <v>NU</v>
      </c>
    </row>
    <row r="176" spans="1:3" x14ac:dyDescent="0.25">
      <c r="A176" t="str">
        <v>CCAL</v>
      </c>
      <c r="B176" t="str">
        <v>SSEMG_STA_IS_20260302_0400</v>
      </c>
      <c r="C176" t="str">
        <f>IF(A176='Label IDs'!$Q$1,FILLME!$E$6,IF(A176='Label IDs'!$R$1,FILLME!$E$8,IF(A176='Label IDs'!$S$1,FILLME!$E$9,IF(A176='Label IDs'!$T$1,FILLME!$E$10,IF(A176='Label IDs'!$U$1,FILLME!$E$11)))))</f>
        <v>NU</v>
      </c>
    </row>
    <row r="177" spans="1:3" x14ac:dyDescent="0.25">
      <c r="A177" t="str">
        <v>CCAL</v>
      </c>
      <c r="B177" t="str">
        <v>SSEMG_STA_IS_20260302_0600</v>
      </c>
      <c r="C177" t="str">
        <f>IF(A177='Label IDs'!$Q$1,FILLME!$E$6,IF(A177='Label IDs'!$R$1,FILLME!$E$8,IF(A177='Label IDs'!$S$1,FILLME!$E$9,IF(A177='Label IDs'!$T$1,FILLME!$E$10,IF(A177='Label IDs'!$U$1,FILLME!$E$11)))))</f>
        <v>NU</v>
      </c>
    </row>
    <row r="178" spans="1:3" x14ac:dyDescent="0.25">
      <c r="A178" t="str">
        <v>CCAL</v>
      </c>
      <c r="B178" t="str">
        <v>SSEMG_STA_IS_20260302_0800</v>
      </c>
      <c r="C178" t="str">
        <f>IF(A178='Label IDs'!$Q$1,FILLME!$E$6,IF(A178='Label IDs'!$R$1,FILLME!$E$8,IF(A178='Label IDs'!$S$1,FILLME!$E$9,IF(A178='Label IDs'!$T$1,FILLME!$E$10,IF(A178='Label IDs'!$U$1,FILLME!$E$11)))))</f>
        <v>NU</v>
      </c>
    </row>
    <row r="179" spans="1:3" x14ac:dyDescent="0.25">
      <c r="A179" t="str">
        <v>CCAL</v>
      </c>
      <c r="B179" t="str">
        <v>SSEMG_STA_IS_20260302_1000</v>
      </c>
      <c r="C179" t="str">
        <f>IF(A179='Label IDs'!$Q$1,FILLME!$E$6,IF(A179='Label IDs'!$R$1,FILLME!$E$8,IF(A179='Label IDs'!$S$1,FILLME!$E$9,IF(A179='Label IDs'!$T$1,FILLME!$E$10,IF(A179='Label IDs'!$U$1,FILLME!$E$11)))))</f>
        <v>NU</v>
      </c>
    </row>
    <row r="180" spans="1:3" x14ac:dyDescent="0.25">
      <c r="A180" t="str">
        <v>CCAL</v>
      </c>
      <c r="B180" t="str">
        <v>SSEMG_STA_IS_20260302_1200</v>
      </c>
      <c r="C180" t="str">
        <f>IF(A180='Label IDs'!$Q$1,FILLME!$E$6,IF(A180='Label IDs'!$R$1,FILLME!$E$8,IF(A180='Label IDs'!$S$1,FILLME!$E$9,IF(A180='Label IDs'!$T$1,FILLME!$E$10,IF(A180='Label IDs'!$U$1,FILLME!$E$11)))))</f>
        <v>NU</v>
      </c>
    </row>
    <row r="181" spans="1:3" x14ac:dyDescent="0.25">
      <c r="A181" t="str">
        <v>CCAL</v>
      </c>
      <c r="B181" t="str">
        <v>SSEMG_STA_IS_20260302_1400</v>
      </c>
      <c r="C181" t="str">
        <f>IF(A181='Label IDs'!$Q$1,FILLME!$E$6,IF(A181='Label IDs'!$R$1,FILLME!$E$8,IF(A181='Label IDs'!$S$1,FILLME!$E$9,IF(A181='Label IDs'!$T$1,FILLME!$E$10,IF(A181='Label IDs'!$U$1,FILLME!$E$11)))))</f>
        <v>NU</v>
      </c>
    </row>
    <row r="182" spans="1:3" x14ac:dyDescent="0.25">
      <c r="A182" t="str">
        <v>CCAL</v>
      </c>
      <c r="B182" t="str">
        <v>SSEMG_STA_IS_20260302_1600</v>
      </c>
      <c r="C182" t="str">
        <f>IF(A182='Label IDs'!$Q$1,FILLME!$E$6,IF(A182='Label IDs'!$R$1,FILLME!$E$8,IF(A182='Label IDs'!$S$1,FILLME!$E$9,IF(A182='Label IDs'!$T$1,FILLME!$E$10,IF(A182='Label IDs'!$U$1,FILLME!$E$11)))))</f>
        <v>NU</v>
      </c>
    </row>
    <row r="183" spans="1:3" x14ac:dyDescent="0.25">
      <c r="A183" t="str">
        <v>CCAL</v>
      </c>
      <c r="B183" t="str">
        <v>SSEMG_STA_IS_20260302_1800</v>
      </c>
      <c r="C183" t="str">
        <f>IF(A183='Label IDs'!$Q$1,FILLME!$E$6,IF(A183='Label IDs'!$R$1,FILLME!$E$8,IF(A183='Label IDs'!$S$1,FILLME!$E$9,IF(A183='Label IDs'!$T$1,FILLME!$E$10,IF(A183='Label IDs'!$U$1,FILLME!$E$11)))))</f>
        <v>NU</v>
      </c>
    </row>
    <row r="184" spans="1:3" x14ac:dyDescent="0.25">
      <c r="A184" t="str">
        <v>CCAL</v>
      </c>
      <c r="B184" t="str">
        <v>SSEMG_STA_IS_20260302_2000</v>
      </c>
      <c r="C184" t="str">
        <f>IF(A184='Label IDs'!$Q$1,FILLME!$E$6,IF(A184='Label IDs'!$R$1,FILLME!$E$8,IF(A184='Label IDs'!$S$1,FILLME!$E$9,IF(A184='Label IDs'!$T$1,FILLME!$E$10,IF(A184='Label IDs'!$U$1,FILLME!$E$11)))))</f>
        <v>NU</v>
      </c>
    </row>
    <row r="185" spans="1:3" x14ac:dyDescent="0.25">
      <c r="A185" t="str">
        <v>CCAL</v>
      </c>
      <c r="B185" t="str">
        <v>SSEMG_STA_IS_20260302_2200</v>
      </c>
      <c r="C185" t="str">
        <f>IF(A185='Label IDs'!$Q$1,FILLME!$E$6,IF(A185='Label IDs'!$R$1,FILLME!$E$8,IF(A185='Label IDs'!$S$1,FILLME!$E$9,IF(A185='Label IDs'!$T$1,FILLME!$E$10,IF(A185='Label IDs'!$U$1,FILLME!$E$11)))))</f>
        <v>NU</v>
      </c>
    </row>
    <row r="186" spans="1:3" x14ac:dyDescent="0.25">
      <c r="A186" t="str">
        <v>CCAL</v>
      </c>
      <c r="B186" t="str">
        <v>SSEMG_STA_IS_20260303_0000</v>
      </c>
      <c r="C186" t="str">
        <f>IF(A186='Label IDs'!$Q$1,FILLME!$E$6,IF(A186='Label IDs'!$R$1,FILLME!$E$8,IF(A186='Label IDs'!$S$1,FILLME!$E$9,IF(A186='Label IDs'!$T$1,FILLME!$E$10,IF(A186='Label IDs'!$U$1,FILLME!$E$11)))))</f>
        <v>NU</v>
      </c>
    </row>
    <row r="187" spans="1:3" x14ac:dyDescent="0.25">
      <c r="A187" t="str">
        <v>CCAL</v>
      </c>
      <c r="B187" t="str">
        <v>SSEMG_STA_IS_20260303_0200</v>
      </c>
      <c r="C187" t="str">
        <f>IF(A187='Label IDs'!$Q$1,FILLME!$E$6,IF(A187='Label IDs'!$R$1,FILLME!$E$8,IF(A187='Label IDs'!$S$1,FILLME!$E$9,IF(A187='Label IDs'!$T$1,FILLME!$E$10,IF(A187='Label IDs'!$U$1,FILLME!$E$11)))))</f>
        <v>NU</v>
      </c>
    </row>
    <row r="188" spans="1:3" x14ac:dyDescent="0.25">
      <c r="A188" t="str">
        <v>CCAL</v>
      </c>
      <c r="B188" t="str">
        <v>SSEMG_STA_IS_20260303_0400</v>
      </c>
      <c r="C188" t="str">
        <f>IF(A188='Label IDs'!$Q$1,FILLME!$E$6,IF(A188='Label IDs'!$R$1,FILLME!$E$8,IF(A188='Label IDs'!$S$1,FILLME!$E$9,IF(A188='Label IDs'!$T$1,FILLME!$E$10,IF(A188='Label IDs'!$U$1,FILLME!$E$11)))))</f>
        <v>NU</v>
      </c>
    </row>
    <row r="189" spans="1:3" x14ac:dyDescent="0.25">
      <c r="A189" t="str">
        <v>CCAL</v>
      </c>
      <c r="B189" t="str">
        <v>SSEMG_STA_IS_20260303_0600</v>
      </c>
      <c r="C189" t="str">
        <f>IF(A189='Label IDs'!$Q$1,FILLME!$E$6,IF(A189='Label IDs'!$R$1,FILLME!$E$8,IF(A189='Label IDs'!$S$1,FILLME!$E$9,IF(A189='Label IDs'!$T$1,FILLME!$E$10,IF(A189='Label IDs'!$U$1,FILLME!$E$11)))))</f>
        <v>NU</v>
      </c>
    </row>
    <row r="190" spans="1:3" x14ac:dyDescent="0.25">
      <c r="A190" t="str">
        <v>CCAL</v>
      </c>
      <c r="B190" t="str">
        <v>SSEMG_STA_IS_20260303_0800</v>
      </c>
      <c r="C190" t="str">
        <f>IF(A190='Label IDs'!$Q$1,FILLME!$E$6,IF(A190='Label IDs'!$R$1,FILLME!$E$8,IF(A190='Label IDs'!$S$1,FILLME!$E$9,IF(A190='Label IDs'!$T$1,FILLME!$E$10,IF(A190='Label IDs'!$U$1,FILLME!$E$11)))))</f>
        <v>NU</v>
      </c>
    </row>
    <row r="191" spans="1:3" x14ac:dyDescent="0.25">
      <c r="A191" t="str">
        <v>CCAL</v>
      </c>
      <c r="B191" t="str">
        <v>SSEMG_STA_IS_20260303_1000</v>
      </c>
      <c r="C191" t="str">
        <f>IF(A191='Label IDs'!$Q$1,FILLME!$E$6,IF(A191='Label IDs'!$R$1,FILLME!$E$8,IF(A191='Label IDs'!$S$1,FILLME!$E$9,IF(A191='Label IDs'!$T$1,FILLME!$E$10,IF(A191='Label IDs'!$U$1,FILLME!$E$11)))))</f>
        <v>NU</v>
      </c>
    </row>
    <row r="192" spans="1:3" x14ac:dyDescent="0.25">
      <c r="A192" t="str">
        <v>CCAL</v>
      </c>
      <c r="B192" t="str">
        <v>SSEMG_STA_IS_20260303_1200</v>
      </c>
      <c r="C192" t="str">
        <f>IF(A192='Label IDs'!$Q$1,FILLME!$E$6,IF(A192='Label IDs'!$R$1,FILLME!$E$8,IF(A192='Label IDs'!$S$1,FILLME!$E$9,IF(A192='Label IDs'!$T$1,FILLME!$E$10,IF(A192='Label IDs'!$U$1,FILLME!$E$11)))))</f>
        <v>NU</v>
      </c>
    </row>
    <row r="193" spans="1:3" x14ac:dyDescent="0.25">
      <c r="A193" t="str">
        <v>CCAL</v>
      </c>
      <c r="B193" t="str">
        <v>SSEMG_STA_IS_20260303_1400</v>
      </c>
      <c r="C193" t="str">
        <f>IF(A193='Label IDs'!$Q$1,FILLME!$E$6,IF(A193='Label IDs'!$R$1,FILLME!$E$8,IF(A193='Label IDs'!$S$1,FILLME!$E$9,IF(A193='Label IDs'!$T$1,FILLME!$E$10,IF(A193='Label IDs'!$U$1,FILLME!$E$11)))))</f>
        <v>NU</v>
      </c>
    </row>
    <row r="194" spans="1:3" x14ac:dyDescent="0.25">
      <c r="A194" t="str">
        <v>CCAL</v>
      </c>
      <c r="B194" t="str">
        <v>SSEMG_STA_IS_20260303_1600</v>
      </c>
      <c r="C194" t="str">
        <f>IF(A194='Label IDs'!$Q$1,FILLME!$E$6,IF(A194='Label IDs'!$R$1,FILLME!$E$8,IF(A194='Label IDs'!$S$1,FILLME!$E$9,IF(A194='Label IDs'!$T$1,FILLME!$E$10,IF(A194='Label IDs'!$U$1,FILLME!$E$11)))))</f>
        <v>NU</v>
      </c>
    </row>
    <row r="195" spans="1:3" x14ac:dyDescent="0.25">
      <c r="A195" t="str">
        <v>CCAL</v>
      </c>
      <c r="B195" t="str">
        <v>SSEMG_STA_IS_20260303_1800</v>
      </c>
      <c r="C195" t="str">
        <f>IF(A195='Label IDs'!$Q$1,FILLME!$E$6,IF(A195='Label IDs'!$R$1,FILLME!$E$8,IF(A195='Label IDs'!$S$1,FILLME!$E$9,IF(A195='Label IDs'!$T$1,FILLME!$E$10,IF(A195='Label IDs'!$U$1,FILLME!$E$11)))))</f>
        <v>NU</v>
      </c>
    </row>
    <row r="196" spans="1:3" x14ac:dyDescent="0.25">
      <c r="A196" t="str">
        <v>CCAL</v>
      </c>
      <c r="B196" t="str">
        <v>SSEMG_STA_IS_20260303_2000</v>
      </c>
      <c r="C196" t="str">
        <f>IF(A196='Label IDs'!$Q$1,FILLME!$E$6,IF(A196='Label IDs'!$R$1,FILLME!$E$8,IF(A196='Label IDs'!$S$1,FILLME!$E$9,IF(A196='Label IDs'!$T$1,FILLME!$E$10,IF(A196='Label IDs'!$U$1,FILLME!$E$11)))))</f>
        <v>NU</v>
      </c>
    </row>
    <row r="197" spans="1:3" x14ac:dyDescent="0.25">
      <c r="A197" t="str">
        <v>CCAL</v>
      </c>
      <c r="B197" t="str">
        <v>SSEMG_STA_IS_20260303_2200</v>
      </c>
      <c r="C197" t="str">
        <f>IF(A197='Label IDs'!$Q$1,FILLME!$E$6,IF(A197='Label IDs'!$R$1,FILLME!$E$8,IF(A197='Label IDs'!$S$1,FILLME!$E$9,IF(A197='Label IDs'!$T$1,FILLME!$E$10,IF(A197='Label IDs'!$U$1,FILLME!$E$11)))))</f>
        <v>NU</v>
      </c>
    </row>
    <row r="198" spans="1:3" x14ac:dyDescent="0.25">
      <c r="A198" t="str">
        <v>CCAL</v>
      </c>
      <c r="B198" t="str">
        <v>SSEMG_STA_IS_20260304_0000</v>
      </c>
      <c r="C198" t="str">
        <f>IF(A198='Label IDs'!$Q$1,FILLME!$E$6,IF(A198='Label IDs'!$R$1,FILLME!$E$8,IF(A198='Label IDs'!$S$1,FILLME!$E$9,IF(A198='Label IDs'!$T$1,FILLME!$E$10,IF(A198='Label IDs'!$U$1,FILLME!$E$11)))))</f>
        <v>NU</v>
      </c>
    </row>
    <row r="199" spans="1:3" x14ac:dyDescent="0.25">
      <c r="A199" t="str">
        <v>CCAL</v>
      </c>
      <c r="B199" t="str">
        <v>SSEMG_STA_IS_20260304_0200</v>
      </c>
      <c r="C199" t="str">
        <f>IF(A199='Label IDs'!$Q$1,FILLME!$E$6,IF(A199='Label IDs'!$R$1,FILLME!$E$8,IF(A199='Label IDs'!$S$1,FILLME!$E$9,IF(A199='Label IDs'!$T$1,FILLME!$E$10,IF(A199='Label IDs'!$U$1,FILLME!$E$11)))))</f>
        <v>NU</v>
      </c>
    </row>
    <row r="200" spans="1:3" x14ac:dyDescent="0.25">
      <c r="A200" t="str">
        <v>CCAL</v>
      </c>
      <c r="B200" t="str">
        <v>SSEMG_STA_IS_20260304_0400</v>
      </c>
      <c r="C200" t="str">
        <f>IF(A200='Label IDs'!$Q$1,FILLME!$E$6,IF(A200='Label IDs'!$R$1,FILLME!$E$8,IF(A200='Label IDs'!$S$1,FILLME!$E$9,IF(A200='Label IDs'!$T$1,FILLME!$E$10,IF(A200='Label IDs'!$U$1,FILLME!$E$11)))))</f>
        <v>NU</v>
      </c>
    </row>
    <row r="201" spans="1:3" x14ac:dyDescent="0.25">
      <c r="A201" t="str">
        <v>CCAL</v>
      </c>
      <c r="B201" t="str">
        <v>SSEMG_STA_IS_20260304_0600</v>
      </c>
      <c r="C201" t="str">
        <f>IF(A201='Label IDs'!$Q$1,FILLME!$E$6,IF(A201='Label IDs'!$R$1,FILLME!$E$8,IF(A201='Label IDs'!$S$1,FILLME!$E$9,IF(A201='Label IDs'!$T$1,FILLME!$E$10,IF(A201='Label IDs'!$U$1,FILLME!$E$11)))))</f>
        <v>NU</v>
      </c>
    </row>
    <row r="202" spans="1:3" x14ac:dyDescent="0.25">
      <c r="A202" t="str">
        <v>Excess</v>
      </c>
      <c r="B202" t="str">
        <v>SSEMG_STA_IS_20260224_0000</v>
      </c>
      <c r="C202" t="str">
        <f>IF(A202='Label IDs'!$Q$1,FILLME!$E$6,IF(A202='Label IDs'!$R$1,FILLME!$E$8,IF(A202='Label IDs'!$S$1,FILLME!$E$9,IF(A202='Label IDs'!$T$1,FILLME!$E$10,IF(A202='Label IDs'!$U$1,FILLME!$E$11)))))</f>
        <v>EX</v>
      </c>
    </row>
    <row r="203" spans="1:3" x14ac:dyDescent="0.25">
      <c r="A203" t="str">
        <v>Excess</v>
      </c>
      <c r="B203" t="str">
        <v>SSEMG_STA_IS_20260224_0200</v>
      </c>
      <c r="C203" t="str">
        <f>IF(A203='Label IDs'!$Q$1,FILLME!$E$6,IF(A203='Label IDs'!$R$1,FILLME!$E$8,IF(A203='Label IDs'!$S$1,FILLME!$E$9,IF(A203='Label IDs'!$T$1,FILLME!$E$10,IF(A203='Label IDs'!$U$1,FILLME!$E$11)))))</f>
        <v>EX</v>
      </c>
    </row>
    <row r="204" spans="1:3" x14ac:dyDescent="0.25">
      <c r="A204" t="str">
        <v>Excess</v>
      </c>
      <c r="B204" t="str">
        <v>SSEMG_STA_IS_20260224_0400</v>
      </c>
      <c r="C204" t="str">
        <f>IF(A204='Label IDs'!$Q$1,FILLME!$E$6,IF(A204='Label IDs'!$R$1,FILLME!$E$8,IF(A204='Label IDs'!$S$1,FILLME!$E$9,IF(A204='Label IDs'!$T$1,FILLME!$E$10,IF(A204='Label IDs'!$U$1,FILLME!$E$11)))))</f>
        <v>EX</v>
      </c>
    </row>
    <row r="205" spans="1:3" x14ac:dyDescent="0.25">
      <c r="A205" t="str">
        <v>Excess</v>
      </c>
      <c r="B205" t="str">
        <v>SSEMG_STA_IS_20260224_0600</v>
      </c>
      <c r="C205" t="str">
        <f>IF(A205='Label IDs'!$Q$1,FILLME!$E$6,IF(A205='Label IDs'!$R$1,FILLME!$E$8,IF(A205='Label IDs'!$S$1,FILLME!$E$9,IF(A205='Label IDs'!$T$1,FILLME!$E$10,IF(A205='Label IDs'!$U$1,FILLME!$E$11)))))</f>
        <v>EX</v>
      </c>
    </row>
    <row r="206" spans="1:3" x14ac:dyDescent="0.25">
      <c r="A206" t="str">
        <v>Excess</v>
      </c>
      <c r="B206" t="str">
        <v>SSEMG_STA_IS_20260224_0800</v>
      </c>
      <c r="C206" t="str">
        <f>IF(A206='Label IDs'!$Q$1,FILLME!$E$6,IF(A206='Label IDs'!$R$1,FILLME!$E$8,IF(A206='Label IDs'!$S$1,FILLME!$E$9,IF(A206='Label IDs'!$T$1,FILLME!$E$10,IF(A206='Label IDs'!$U$1,FILLME!$E$11)))))</f>
        <v>EX</v>
      </c>
    </row>
    <row r="207" spans="1:3" x14ac:dyDescent="0.25">
      <c r="A207" t="str">
        <v>Excess</v>
      </c>
      <c r="B207" t="str">
        <v>SSEMG_STA_IS_20260224_1000</v>
      </c>
      <c r="C207" t="str">
        <f>IF(A207='Label IDs'!$Q$1,FILLME!$E$6,IF(A207='Label IDs'!$R$1,FILLME!$E$8,IF(A207='Label IDs'!$S$1,FILLME!$E$9,IF(A207='Label IDs'!$T$1,FILLME!$E$10,IF(A207='Label IDs'!$U$1,FILLME!$E$11)))))</f>
        <v>EX</v>
      </c>
    </row>
    <row r="208" spans="1:3" x14ac:dyDescent="0.25">
      <c r="A208" t="str">
        <v>Excess</v>
      </c>
      <c r="B208" t="str">
        <v>SSEMG_STA_IS_20260224_1200</v>
      </c>
      <c r="C208" t="str">
        <f>IF(A208='Label IDs'!$Q$1,FILLME!$E$6,IF(A208='Label IDs'!$R$1,FILLME!$E$8,IF(A208='Label IDs'!$S$1,FILLME!$E$9,IF(A208='Label IDs'!$T$1,FILLME!$E$10,IF(A208='Label IDs'!$U$1,FILLME!$E$11)))))</f>
        <v>EX</v>
      </c>
    </row>
    <row r="209" spans="1:3" x14ac:dyDescent="0.25">
      <c r="A209" t="str">
        <v>Excess</v>
      </c>
      <c r="B209" t="str">
        <v>SSEMG_STA_IS_20260224_1400</v>
      </c>
      <c r="C209" t="str">
        <f>IF(A209='Label IDs'!$Q$1,FILLME!$E$6,IF(A209='Label IDs'!$R$1,FILLME!$E$8,IF(A209='Label IDs'!$S$1,FILLME!$E$9,IF(A209='Label IDs'!$T$1,FILLME!$E$10,IF(A209='Label IDs'!$U$1,FILLME!$E$11)))))</f>
        <v>EX</v>
      </c>
    </row>
    <row r="210" spans="1:3" x14ac:dyDescent="0.25">
      <c r="A210" t="str">
        <v>Excess</v>
      </c>
      <c r="B210" t="str">
        <v>SSEMG_STA_IS_20260224_1600</v>
      </c>
      <c r="C210" t="str">
        <f>IF(A210='Label IDs'!$Q$1,FILLME!$E$6,IF(A210='Label IDs'!$R$1,FILLME!$E$8,IF(A210='Label IDs'!$S$1,FILLME!$E$9,IF(A210='Label IDs'!$T$1,FILLME!$E$10,IF(A210='Label IDs'!$U$1,FILLME!$E$11)))))</f>
        <v>EX</v>
      </c>
    </row>
    <row r="211" spans="1:3" x14ac:dyDescent="0.25">
      <c r="A211" t="str">
        <v>Excess</v>
      </c>
      <c r="B211" t="str">
        <v>SSEMG_STA_IS_20260224_1800</v>
      </c>
      <c r="C211" t="str">
        <f>IF(A211='Label IDs'!$Q$1,FILLME!$E$6,IF(A211='Label IDs'!$R$1,FILLME!$E$8,IF(A211='Label IDs'!$S$1,FILLME!$E$9,IF(A211='Label IDs'!$T$1,FILLME!$E$10,IF(A211='Label IDs'!$U$1,FILLME!$E$11)))))</f>
        <v>EX</v>
      </c>
    </row>
    <row r="212" spans="1:3" x14ac:dyDescent="0.25">
      <c r="A212" t="str">
        <v>Excess</v>
      </c>
      <c r="B212" t="str">
        <v>SSEMG_STA_IS_20260224_2000</v>
      </c>
      <c r="C212" t="str">
        <f>IF(A212='Label IDs'!$Q$1,FILLME!$E$6,IF(A212='Label IDs'!$R$1,FILLME!$E$8,IF(A212='Label IDs'!$S$1,FILLME!$E$9,IF(A212='Label IDs'!$T$1,FILLME!$E$10,IF(A212='Label IDs'!$U$1,FILLME!$E$11)))))</f>
        <v>EX</v>
      </c>
    </row>
    <row r="213" spans="1:3" x14ac:dyDescent="0.25">
      <c r="A213" t="str">
        <v>Excess</v>
      </c>
      <c r="B213" t="str">
        <v>SSEMG_STA_IS_20260224_2200</v>
      </c>
      <c r="C213" t="str">
        <f>IF(A213='Label IDs'!$Q$1,FILLME!$E$6,IF(A213='Label IDs'!$R$1,FILLME!$E$8,IF(A213='Label IDs'!$S$1,FILLME!$E$9,IF(A213='Label IDs'!$T$1,FILLME!$E$10,IF(A213='Label IDs'!$U$1,FILLME!$E$11)))))</f>
        <v>EX</v>
      </c>
    </row>
    <row r="214" spans="1:3" x14ac:dyDescent="0.25">
      <c r="A214" t="str">
        <v>Excess</v>
      </c>
      <c r="B214" t="str">
        <v>SSEMG_STA_IS_20260225_0000</v>
      </c>
      <c r="C214" t="str">
        <f>IF(A214='Label IDs'!$Q$1,FILLME!$E$6,IF(A214='Label IDs'!$R$1,FILLME!$E$8,IF(A214='Label IDs'!$S$1,FILLME!$E$9,IF(A214='Label IDs'!$T$1,FILLME!$E$10,IF(A214='Label IDs'!$U$1,FILLME!$E$11)))))</f>
        <v>EX</v>
      </c>
    </row>
    <row r="215" spans="1:3" x14ac:dyDescent="0.25">
      <c r="A215" t="str">
        <v>Excess</v>
      </c>
      <c r="B215" t="str">
        <v>SSEMG_STA_IS_20260225_0200</v>
      </c>
      <c r="C215" t="str">
        <f>IF(A215='Label IDs'!$Q$1,FILLME!$E$6,IF(A215='Label IDs'!$R$1,FILLME!$E$8,IF(A215='Label IDs'!$S$1,FILLME!$E$9,IF(A215='Label IDs'!$T$1,FILLME!$E$10,IF(A215='Label IDs'!$U$1,FILLME!$E$11)))))</f>
        <v>EX</v>
      </c>
    </row>
    <row r="216" spans="1:3" x14ac:dyDescent="0.25">
      <c r="A216" t="str">
        <v>Excess</v>
      </c>
      <c r="B216" t="str">
        <v>SSEMG_STA_IS_20260225_0400</v>
      </c>
      <c r="C216" t="str">
        <f>IF(A216='Label IDs'!$Q$1,FILLME!$E$6,IF(A216='Label IDs'!$R$1,FILLME!$E$8,IF(A216='Label IDs'!$S$1,FILLME!$E$9,IF(A216='Label IDs'!$T$1,FILLME!$E$10,IF(A216='Label IDs'!$U$1,FILLME!$E$11)))))</f>
        <v>EX</v>
      </c>
    </row>
    <row r="217" spans="1:3" x14ac:dyDescent="0.25">
      <c r="A217" t="str">
        <v>Excess</v>
      </c>
      <c r="B217" t="str">
        <v>SSEMG_STA_IS_20260225_0600</v>
      </c>
      <c r="C217" t="str">
        <f>IF(A217='Label IDs'!$Q$1,FILLME!$E$6,IF(A217='Label IDs'!$R$1,FILLME!$E$8,IF(A217='Label IDs'!$S$1,FILLME!$E$9,IF(A217='Label IDs'!$T$1,FILLME!$E$10,IF(A217='Label IDs'!$U$1,FILLME!$E$11)))))</f>
        <v>EX</v>
      </c>
    </row>
    <row r="218" spans="1:3" x14ac:dyDescent="0.25">
      <c r="A218" t="str">
        <v>Excess</v>
      </c>
      <c r="B218" t="str">
        <v>SSEMG_STA_IS_20260225_0800</v>
      </c>
      <c r="C218" t="str">
        <f>IF(A218='Label IDs'!$Q$1,FILLME!$E$6,IF(A218='Label IDs'!$R$1,FILLME!$E$8,IF(A218='Label IDs'!$S$1,FILLME!$E$9,IF(A218='Label IDs'!$T$1,FILLME!$E$10,IF(A218='Label IDs'!$U$1,FILLME!$E$11)))))</f>
        <v>EX</v>
      </c>
    </row>
    <row r="219" spans="1:3" x14ac:dyDescent="0.25">
      <c r="A219" t="str">
        <v>Excess</v>
      </c>
      <c r="B219" t="str">
        <v>SSEMG_STA_IS_20260225_1000</v>
      </c>
      <c r="C219" t="str">
        <f>IF(A219='Label IDs'!$Q$1,FILLME!$E$6,IF(A219='Label IDs'!$R$1,FILLME!$E$8,IF(A219='Label IDs'!$S$1,FILLME!$E$9,IF(A219='Label IDs'!$T$1,FILLME!$E$10,IF(A219='Label IDs'!$U$1,FILLME!$E$11)))))</f>
        <v>EX</v>
      </c>
    </row>
    <row r="220" spans="1:3" x14ac:dyDescent="0.25">
      <c r="A220" t="str">
        <v>Excess</v>
      </c>
      <c r="B220" t="str">
        <v>SSEMG_STA_IS_20260225_1200</v>
      </c>
      <c r="C220" t="str">
        <f>IF(A220='Label IDs'!$Q$1,FILLME!$E$6,IF(A220='Label IDs'!$R$1,FILLME!$E$8,IF(A220='Label IDs'!$S$1,FILLME!$E$9,IF(A220='Label IDs'!$T$1,FILLME!$E$10,IF(A220='Label IDs'!$U$1,FILLME!$E$11)))))</f>
        <v>EX</v>
      </c>
    </row>
    <row r="221" spans="1:3" x14ac:dyDescent="0.25">
      <c r="A221" t="str">
        <v>Excess</v>
      </c>
      <c r="B221" t="str">
        <v>SSEMG_STA_IS_20260225_1400</v>
      </c>
      <c r="C221" t="str">
        <f>IF(A221='Label IDs'!$Q$1,FILLME!$E$6,IF(A221='Label IDs'!$R$1,FILLME!$E$8,IF(A221='Label IDs'!$S$1,FILLME!$E$9,IF(A221='Label IDs'!$T$1,FILLME!$E$10,IF(A221='Label IDs'!$U$1,FILLME!$E$11)))))</f>
        <v>EX</v>
      </c>
    </row>
    <row r="222" spans="1:3" x14ac:dyDescent="0.25">
      <c r="A222" t="str">
        <v>Excess</v>
      </c>
      <c r="B222" t="str">
        <v>SSEMG_STA_IS_20260225_1600</v>
      </c>
      <c r="C222" t="str">
        <f>IF(A222='Label IDs'!$Q$1,FILLME!$E$6,IF(A222='Label IDs'!$R$1,FILLME!$E$8,IF(A222='Label IDs'!$S$1,FILLME!$E$9,IF(A222='Label IDs'!$T$1,FILLME!$E$10,IF(A222='Label IDs'!$U$1,FILLME!$E$11)))))</f>
        <v>EX</v>
      </c>
    </row>
    <row r="223" spans="1:3" x14ac:dyDescent="0.25">
      <c r="A223" t="str">
        <v>Excess</v>
      </c>
      <c r="B223" t="str">
        <v>SSEMG_STA_IS_20260225_1800</v>
      </c>
      <c r="C223" t="str">
        <f>IF(A223='Label IDs'!$Q$1,FILLME!$E$6,IF(A223='Label IDs'!$R$1,FILLME!$E$8,IF(A223='Label IDs'!$S$1,FILLME!$E$9,IF(A223='Label IDs'!$T$1,FILLME!$E$10,IF(A223='Label IDs'!$U$1,FILLME!$E$11)))))</f>
        <v>EX</v>
      </c>
    </row>
    <row r="224" spans="1:3" x14ac:dyDescent="0.25">
      <c r="A224" t="str">
        <v>Excess</v>
      </c>
      <c r="B224" t="str">
        <v>SSEMG_STA_IS_20260225_2000</v>
      </c>
      <c r="C224" t="str">
        <f>IF(A224='Label IDs'!$Q$1,FILLME!$E$6,IF(A224='Label IDs'!$R$1,FILLME!$E$8,IF(A224='Label IDs'!$S$1,FILLME!$E$9,IF(A224='Label IDs'!$T$1,FILLME!$E$10,IF(A224='Label IDs'!$U$1,FILLME!$E$11)))))</f>
        <v>EX</v>
      </c>
    </row>
    <row r="225" spans="1:3" x14ac:dyDescent="0.25">
      <c r="A225" t="str">
        <v>Excess</v>
      </c>
      <c r="B225" t="str">
        <v>SSEMG_STA_IS_20260225_2200</v>
      </c>
      <c r="C225" t="str">
        <f>IF(A225='Label IDs'!$Q$1,FILLME!$E$6,IF(A225='Label IDs'!$R$1,FILLME!$E$8,IF(A225='Label IDs'!$S$1,FILLME!$E$9,IF(A225='Label IDs'!$T$1,FILLME!$E$10,IF(A225='Label IDs'!$U$1,FILLME!$E$11)))))</f>
        <v>EX</v>
      </c>
    </row>
    <row r="226" spans="1:3" x14ac:dyDescent="0.25">
      <c r="A226" t="str">
        <v>Excess</v>
      </c>
      <c r="B226" t="str">
        <v>SSEMG_STA_IS_20260226_0000</v>
      </c>
      <c r="C226" t="str">
        <f>IF(A226='Label IDs'!$Q$1,FILLME!$E$6,IF(A226='Label IDs'!$R$1,FILLME!$E$8,IF(A226='Label IDs'!$S$1,FILLME!$E$9,IF(A226='Label IDs'!$T$1,FILLME!$E$10,IF(A226='Label IDs'!$U$1,FILLME!$E$11)))))</f>
        <v>EX</v>
      </c>
    </row>
    <row r="227" spans="1:3" x14ac:dyDescent="0.25">
      <c r="A227" t="str">
        <v>Excess</v>
      </c>
      <c r="B227" t="str">
        <v>SSEMG_STA_IS_20260226_0200</v>
      </c>
      <c r="C227" t="str">
        <f>IF(A227='Label IDs'!$Q$1,FILLME!$E$6,IF(A227='Label IDs'!$R$1,FILLME!$E$8,IF(A227='Label IDs'!$S$1,FILLME!$E$9,IF(A227='Label IDs'!$T$1,FILLME!$E$10,IF(A227='Label IDs'!$U$1,FILLME!$E$11)))))</f>
        <v>EX</v>
      </c>
    </row>
    <row r="228" spans="1:3" x14ac:dyDescent="0.25">
      <c r="A228" t="str">
        <v>Excess</v>
      </c>
      <c r="B228" t="str">
        <v>SSEMG_STA_IS_20260226_0400</v>
      </c>
      <c r="C228" t="str">
        <f>IF(A228='Label IDs'!$Q$1,FILLME!$E$6,IF(A228='Label IDs'!$R$1,FILLME!$E$8,IF(A228='Label IDs'!$S$1,FILLME!$E$9,IF(A228='Label IDs'!$T$1,FILLME!$E$10,IF(A228='Label IDs'!$U$1,FILLME!$E$11)))))</f>
        <v>EX</v>
      </c>
    </row>
    <row r="229" spans="1:3" x14ac:dyDescent="0.25">
      <c r="A229" t="str">
        <v>Excess</v>
      </c>
      <c r="B229" t="str">
        <v>SSEMG_STA_IS_20260226_0600</v>
      </c>
      <c r="C229" t="str">
        <f>IF(A229='Label IDs'!$Q$1,FILLME!$E$6,IF(A229='Label IDs'!$R$1,FILLME!$E$8,IF(A229='Label IDs'!$S$1,FILLME!$E$9,IF(A229='Label IDs'!$T$1,FILLME!$E$10,IF(A229='Label IDs'!$U$1,FILLME!$E$11)))))</f>
        <v>EX</v>
      </c>
    </row>
    <row r="230" spans="1:3" x14ac:dyDescent="0.25">
      <c r="A230" t="str">
        <v>Excess</v>
      </c>
      <c r="B230" t="str">
        <v>SSEMG_STA_IS_20260226_0800</v>
      </c>
      <c r="C230" t="str">
        <f>IF(A230='Label IDs'!$Q$1,FILLME!$E$6,IF(A230='Label IDs'!$R$1,FILLME!$E$8,IF(A230='Label IDs'!$S$1,FILLME!$E$9,IF(A230='Label IDs'!$T$1,FILLME!$E$10,IF(A230='Label IDs'!$U$1,FILLME!$E$11)))))</f>
        <v>EX</v>
      </c>
    </row>
    <row r="231" spans="1:3" x14ac:dyDescent="0.25">
      <c r="A231" t="str">
        <v>Excess</v>
      </c>
      <c r="B231" t="str">
        <v>SSEMG_STA_IS_20260226_1000</v>
      </c>
      <c r="C231" t="str">
        <f>IF(A231='Label IDs'!$Q$1,FILLME!$E$6,IF(A231='Label IDs'!$R$1,FILLME!$E$8,IF(A231='Label IDs'!$S$1,FILLME!$E$9,IF(A231='Label IDs'!$T$1,FILLME!$E$10,IF(A231='Label IDs'!$U$1,FILLME!$E$11)))))</f>
        <v>EX</v>
      </c>
    </row>
    <row r="232" spans="1:3" x14ac:dyDescent="0.25">
      <c r="A232" t="str">
        <v>Excess</v>
      </c>
      <c r="B232" t="str">
        <v>SSEMG_STA_IS_20260226_1200</v>
      </c>
      <c r="C232" t="str">
        <f>IF(A232='Label IDs'!$Q$1,FILLME!$E$6,IF(A232='Label IDs'!$R$1,FILLME!$E$8,IF(A232='Label IDs'!$S$1,FILLME!$E$9,IF(A232='Label IDs'!$T$1,FILLME!$E$10,IF(A232='Label IDs'!$U$1,FILLME!$E$11)))))</f>
        <v>EX</v>
      </c>
    </row>
    <row r="233" spans="1:3" x14ac:dyDescent="0.25">
      <c r="A233" t="str">
        <v>Excess</v>
      </c>
      <c r="B233" t="str">
        <v>SSEMG_STA_IS_20260226_1400</v>
      </c>
      <c r="C233" t="str">
        <f>IF(A233='Label IDs'!$Q$1,FILLME!$E$6,IF(A233='Label IDs'!$R$1,FILLME!$E$8,IF(A233='Label IDs'!$S$1,FILLME!$E$9,IF(A233='Label IDs'!$T$1,FILLME!$E$10,IF(A233='Label IDs'!$U$1,FILLME!$E$11)))))</f>
        <v>EX</v>
      </c>
    </row>
    <row r="234" spans="1:3" x14ac:dyDescent="0.25">
      <c r="A234" t="str">
        <v>Excess</v>
      </c>
      <c r="B234" t="str">
        <v>SSEMG_STA_IS_20260226_1600</v>
      </c>
      <c r="C234" t="str">
        <f>IF(A234='Label IDs'!$Q$1,FILLME!$E$6,IF(A234='Label IDs'!$R$1,FILLME!$E$8,IF(A234='Label IDs'!$S$1,FILLME!$E$9,IF(A234='Label IDs'!$T$1,FILLME!$E$10,IF(A234='Label IDs'!$U$1,FILLME!$E$11)))))</f>
        <v>EX</v>
      </c>
    </row>
    <row r="235" spans="1:3" x14ac:dyDescent="0.25">
      <c r="A235" t="str">
        <v>Excess</v>
      </c>
      <c r="B235" t="str">
        <v>SSEMG_STA_IS_20260226_1800</v>
      </c>
      <c r="C235" t="str">
        <f>IF(A235='Label IDs'!$Q$1,FILLME!$E$6,IF(A235='Label IDs'!$R$1,FILLME!$E$8,IF(A235='Label IDs'!$S$1,FILLME!$E$9,IF(A235='Label IDs'!$T$1,FILLME!$E$10,IF(A235='Label IDs'!$U$1,FILLME!$E$11)))))</f>
        <v>EX</v>
      </c>
    </row>
    <row r="236" spans="1:3" x14ac:dyDescent="0.25">
      <c r="A236" t="str">
        <v>Excess</v>
      </c>
      <c r="B236" t="str">
        <v>SSEMG_STA_IS_20260226_2000</v>
      </c>
      <c r="C236" t="str">
        <f>IF(A236='Label IDs'!$Q$1,FILLME!$E$6,IF(A236='Label IDs'!$R$1,FILLME!$E$8,IF(A236='Label IDs'!$S$1,FILLME!$E$9,IF(A236='Label IDs'!$T$1,FILLME!$E$10,IF(A236='Label IDs'!$U$1,FILLME!$E$11)))))</f>
        <v>EX</v>
      </c>
    </row>
    <row r="237" spans="1:3" x14ac:dyDescent="0.25">
      <c r="A237" t="str">
        <v>Excess</v>
      </c>
      <c r="B237" t="str">
        <v>SSEMG_STA_IS_20260226_2200</v>
      </c>
      <c r="C237" t="str">
        <f>IF(A237='Label IDs'!$Q$1,FILLME!$E$6,IF(A237='Label IDs'!$R$1,FILLME!$E$8,IF(A237='Label IDs'!$S$1,FILLME!$E$9,IF(A237='Label IDs'!$T$1,FILLME!$E$10,IF(A237='Label IDs'!$U$1,FILLME!$E$11)))))</f>
        <v>EX</v>
      </c>
    </row>
    <row r="238" spans="1:3" x14ac:dyDescent="0.25">
      <c r="A238" t="str">
        <v>Excess</v>
      </c>
      <c r="B238" t="str">
        <v>SSEMG_STA_IS_20260227_0000</v>
      </c>
      <c r="C238" t="str">
        <f>IF(A238='Label IDs'!$Q$1,FILLME!$E$6,IF(A238='Label IDs'!$R$1,FILLME!$E$8,IF(A238='Label IDs'!$S$1,FILLME!$E$9,IF(A238='Label IDs'!$T$1,FILLME!$E$10,IF(A238='Label IDs'!$U$1,FILLME!$E$11)))))</f>
        <v>EX</v>
      </c>
    </row>
    <row r="239" spans="1:3" x14ac:dyDescent="0.25">
      <c r="A239" t="str">
        <v>Excess</v>
      </c>
      <c r="B239" t="str">
        <v>SSEMG_STA_IS_20260227_0200</v>
      </c>
      <c r="C239" t="str">
        <f>IF(A239='Label IDs'!$Q$1,FILLME!$E$6,IF(A239='Label IDs'!$R$1,FILLME!$E$8,IF(A239='Label IDs'!$S$1,FILLME!$E$9,IF(A239='Label IDs'!$T$1,FILLME!$E$10,IF(A239='Label IDs'!$U$1,FILLME!$E$11)))))</f>
        <v>EX</v>
      </c>
    </row>
    <row r="240" spans="1:3" x14ac:dyDescent="0.25">
      <c r="A240" t="str">
        <v>Excess</v>
      </c>
      <c r="B240" t="str">
        <v>SSEMG_STA_IS_20260227_0400</v>
      </c>
      <c r="C240" t="str">
        <f>IF(A240='Label IDs'!$Q$1,FILLME!$E$6,IF(A240='Label IDs'!$R$1,FILLME!$E$8,IF(A240='Label IDs'!$S$1,FILLME!$E$9,IF(A240='Label IDs'!$T$1,FILLME!$E$10,IF(A240='Label IDs'!$U$1,FILLME!$E$11)))))</f>
        <v>EX</v>
      </c>
    </row>
    <row r="241" spans="1:3" x14ac:dyDescent="0.25">
      <c r="A241" t="str">
        <v>Excess</v>
      </c>
      <c r="B241" t="str">
        <v>SSEMG_STA_IS_20260227_0600</v>
      </c>
      <c r="C241" t="str">
        <f>IF(A241='Label IDs'!$Q$1,FILLME!$E$6,IF(A241='Label IDs'!$R$1,FILLME!$E$8,IF(A241='Label IDs'!$S$1,FILLME!$E$9,IF(A241='Label IDs'!$T$1,FILLME!$E$10,IF(A241='Label IDs'!$U$1,FILLME!$E$11)))))</f>
        <v>EX</v>
      </c>
    </row>
    <row r="242" spans="1:3" x14ac:dyDescent="0.25">
      <c r="A242" t="str">
        <v>Excess</v>
      </c>
      <c r="B242" t="str">
        <v>SSEMG_STA_IS_20260227_0800</v>
      </c>
      <c r="C242" t="str">
        <f>IF(A242='Label IDs'!$Q$1,FILLME!$E$6,IF(A242='Label IDs'!$R$1,FILLME!$E$8,IF(A242='Label IDs'!$S$1,FILLME!$E$9,IF(A242='Label IDs'!$T$1,FILLME!$E$10,IF(A242='Label IDs'!$U$1,FILLME!$E$11)))))</f>
        <v>EX</v>
      </c>
    </row>
    <row r="243" spans="1:3" x14ac:dyDescent="0.25">
      <c r="A243" t="str">
        <v>Excess</v>
      </c>
      <c r="B243" t="str">
        <v>SSEMG_STA_IS_20260227_1000</v>
      </c>
      <c r="C243" t="str">
        <f>IF(A243='Label IDs'!$Q$1,FILLME!$E$6,IF(A243='Label IDs'!$R$1,FILLME!$E$8,IF(A243='Label IDs'!$S$1,FILLME!$E$9,IF(A243='Label IDs'!$T$1,FILLME!$E$10,IF(A243='Label IDs'!$U$1,FILLME!$E$11)))))</f>
        <v>EX</v>
      </c>
    </row>
    <row r="244" spans="1:3" x14ac:dyDescent="0.25">
      <c r="A244" t="str">
        <v>Excess</v>
      </c>
      <c r="B244" t="str">
        <v>SSEMG_STA_IS_20260227_1200</v>
      </c>
      <c r="C244" t="str">
        <f>IF(A244='Label IDs'!$Q$1,FILLME!$E$6,IF(A244='Label IDs'!$R$1,FILLME!$E$8,IF(A244='Label IDs'!$S$1,FILLME!$E$9,IF(A244='Label IDs'!$T$1,FILLME!$E$10,IF(A244='Label IDs'!$U$1,FILLME!$E$11)))))</f>
        <v>EX</v>
      </c>
    </row>
    <row r="245" spans="1:3" x14ac:dyDescent="0.25">
      <c r="A245" t="str">
        <v>Excess</v>
      </c>
      <c r="B245" t="str">
        <v>SSEMG_STA_IS_20260227_1400</v>
      </c>
      <c r="C245" t="str">
        <f>IF(A245='Label IDs'!$Q$1,FILLME!$E$6,IF(A245='Label IDs'!$R$1,FILLME!$E$8,IF(A245='Label IDs'!$S$1,FILLME!$E$9,IF(A245='Label IDs'!$T$1,FILLME!$E$10,IF(A245='Label IDs'!$U$1,FILLME!$E$11)))))</f>
        <v>EX</v>
      </c>
    </row>
    <row r="246" spans="1:3" x14ac:dyDescent="0.25">
      <c r="A246" t="str">
        <v>Excess</v>
      </c>
      <c r="B246" t="str">
        <v>SSEMG_STA_IS_20260227_1600</v>
      </c>
      <c r="C246" t="str">
        <f>IF(A246='Label IDs'!$Q$1,FILLME!$E$6,IF(A246='Label IDs'!$R$1,FILLME!$E$8,IF(A246='Label IDs'!$S$1,FILLME!$E$9,IF(A246='Label IDs'!$T$1,FILLME!$E$10,IF(A246='Label IDs'!$U$1,FILLME!$E$11)))))</f>
        <v>EX</v>
      </c>
    </row>
    <row r="247" spans="1:3" x14ac:dyDescent="0.25">
      <c r="A247" t="str">
        <v>Excess</v>
      </c>
      <c r="B247" t="str">
        <v>SSEMG_STA_IS_20260227_1800</v>
      </c>
      <c r="C247" t="str">
        <f>IF(A247='Label IDs'!$Q$1,FILLME!$E$6,IF(A247='Label IDs'!$R$1,FILLME!$E$8,IF(A247='Label IDs'!$S$1,FILLME!$E$9,IF(A247='Label IDs'!$T$1,FILLME!$E$10,IF(A247='Label IDs'!$U$1,FILLME!$E$11)))))</f>
        <v>EX</v>
      </c>
    </row>
    <row r="248" spans="1:3" x14ac:dyDescent="0.25">
      <c r="A248" t="str">
        <v>Excess</v>
      </c>
      <c r="B248" t="str">
        <v>SSEMG_STA_IS_20260227_2000</v>
      </c>
      <c r="C248" t="str">
        <f>IF(A248='Label IDs'!$Q$1,FILLME!$E$6,IF(A248='Label IDs'!$R$1,FILLME!$E$8,IF(A248='Label IDs'!$S$1,FILLME!$E$9,IF(A248='Label IDs'!$T$1,FILLME!$E$10,IF(A248='Label IDs'!$U$1,FILLME!$E$11)))))</f>
        <v>EX</v>
      </c>
    </row>
    <row r="249" spans="1:3" x14ac:dyDescent="0.25">
      <c r="A249" t="str">
        <v>Excess</v>
      </c>
      <c r="B249" t="str">
        <v>SSEMG_STA_IS_20260227_2200</v>
      </c>
      <c r="C249" t="str">
        <f>IF(A249='Label IDs'!$Q$1,FILLME!$E$6,IF(A249='Label IDs'!$R$1,FILLME!$E$8,IF(A249='Label IDs'!$S$1,FILLME!$E$9,IF(A249='Label IDs'!$T$1,FILLME!$E$10,IF(A249='Label IDs'!$U$1,FILLME!$E$11)))))</f>
        <v>EX</v>
      </c>
    </row>
    <row r="250" spans="1:3" x14ac:dyDescent="0.25">
      <c r="A250" t="str">
        <v>Excess</v>
      </c>
      <c r="B250" t="str">
        <v>SSEMG_STA_IS_20260228_0000</v>
      </c>
      <c r="C250" t="str">
        <f>IF(A250='Label IDs'!$Q$1,FILLME!$E$6,IF(A250='Label IDs'!$R$1,FILLME!$E$8,IF(A250='Label IDs'!$S$1,FILLME!$E$9,IF(A250='Label IDs'!$T$1,FILLME!$E$10,IF(A250='Label IDs'!$U$1,FILLME!$E$11)))))</f>
        <v>EX</v>
      </c>
    </row>
    <row r="251" spans="1:3" x14ac:dyDescent="0.25">
      <c r="A251" t="str">
        <v>Excess</v>
      </c>
      <c r="B251" t="str">
        <v>SSEMG_STA_IS_20260228_0200</v>
      </c>
      <c r="C251" t="str">
        <f>IF(A251='Label IDs'!$Q$1,FILLME!$E$6,IF(A251='Label IDs'!$R$1,FILLME!$E$8,IF(A251='Label IDs'!$S$1,FILLME!$E$9,IF(A251='Label IDs'!$T$1,FILLME!$E$10,IF(A251='Label IDs'!$U$1,FILLME!$E$11)))))</f>
        <v>EX</v>
      </c>
    </row>
    <row r="252" spans="1:3" x14ac:dyDescent="0.25">
      <c r="A252" t="str">
        <v>Excess</v>
      </c>
      <c r="B252" t="str">
        <v>SSEMG_STA_IS_20260228_0400</v>
      </c>
      <c r="C252" t="str">
        <f>IF(A252='Label IDs'!$Q$1,FILLME!$E$6,IF(A252='Label IDs'!$R$1,FILLME!$E$8,IF(A252='Label IDs'!$S$1,FILLME!$E$9,IF(A252='Label IDs'!$T$1,FILLME!$E$10,IF(A252='Label IDs'!$U$1,FILLME!$E$11)))))</f>
        <v>EX</v>
      </c>
    </row>
    <row r="253" spans="1:3" x14ac:dyDescent="0.25">
      <c r="A253" t="str">
        <v>Excess</v>
      </c>
      <c r="B253" t="str">
        <v>SSEMG_STA_IS_20260228_0600</v>
      </c>
      <c r="C253" t="str">
        <f>IF(A253='Label IDs'!$Q$1,FILLME!$E$6,IF(A253='Label IDs'!$R$1,FILLME!$E$8,IF(A253='Label IDs'!$S$1,FILLME!$E$9,IF(A253='Label IDs'!$T$1,FILLME!$E$10,IF(A253='Label IDs'!$U$1,FILLME!$E$11)))))</f>
        <v>EX</v>
      </c>
    </row>
    <row r="254" spans="1:3" x14ac:dyDescent="0.25">
      <c r="A254" t="str">
        <v>Excess</v>
      </c>
      <c r="B254" t="str">
        <v>SSEMG_STA_IS_20260228_0800</v>
      </c>
      <c r="C254" t="str">
        <f>IF(A254='Label IDs'!$Q$1,FILLME!$E$6,IF(A254='Label IDs'!$R$1,FILLME!$E$8,IF(A254='Label IDs'!$S$1,FILLME!$E$9,IF(A254='Label IDs'!$T$1,FILLME!$E$10,IF(A254='Label IDs'!$U$1,FILLME!$E$11)))))</f>
        <v>EX</v>
      </c>
    </row>
    <row r="255" spans="1:3" x14ac:dyDescent="0.25">
      <c r="A255" t="str">
        <v>Excess</v>
      </c>
      <c r="B255" t="str">
        <v>SSEMG_STA_IS_20260228_1000</v>
      </c>
      <c r="C255" t="str">
        <f>IF(A255='Label IDs'!$Q$1,FILLME!$E$6,IF(A255='Label IDs'!$R$1,FILLME!$E$8,IF(A255='Label IDs'!$S$1,FILLME!$E$9,IF(A255='Label IDs'!$T$1,FILLME!$E$10,IF(A255='Label IDs'!$U$1,FILLME!$E$11)))))</f>
        <v>EX</v>
      </c>
    </row>
    <row r="256" spans="1:3" x14ac:dyDescent="0.25">
      <c r="A256" t="str">
        <v>Excess</v>
      </c>
      <c r="B256" t="str">
        <v>SSEMG_STA_IS_20260228_1200</v>
      </c>
      <c r="C256" t="str">
        <f>IF(A256='Label IDs'!$Q$1,FILLME!$E$6,IF(A256='Label IDs'!$R$1,FILLME!$E$8,IF(A256='Label IDs'!$S$1,FILLME!$E$9,IF(A256='Label IDs'!$T$1,FILLME!$E$10,IF(A256='Label IDs'!$U$1,FILLME!$E$11)))))</f>
        <v>EX</v>
      </c>
    </row>
    <row r="257" spans="1:3" x14ac:dyDescent="0.25">
      <c r="A257" t="str">
        <v>Excess</v>
      </c>
      <c r="B257" t="str">
        <v>SSEMG_STA_IS_20260228_1400</v>
      </c>
      <c r="C257" t="str">
        <f>IF(A257='Label IDs'!$Q$1,FILLME!$E$6,IF(A257='Label IDs'!$R$1,FILLME!$E$8,IF(A257='Label IDs'!$S$1,FILLME!$E$9,IF(A257='Label IDs'!$T$1,FILLME!$E$10,IF(A257='Label IDs'!$U$1,FILLME!$E$11)))))</f>
        <v>EX</v>
      </c>
    </row>
    <row r="258" spans="1:3" x14ac:dyDescent="0.25">
      <c r="A258" t="str">
        <v>Excess</v>
      </c>
      <c r="B258" t="str">
        <v>SSEMG_STA_IS_20260228_1600</v>
      </c>
      <c r="C258" t="str">
        <f>IF(A258='Label IDs'!$Q$1,FILLME!$E$6,IF(A258='Label IDs'!$R$1,FILLME!$E$8,IF(A258='Label IDs'!$S$1,FILLME!$E$9,IF(A258='Label IDs'!$T$1,FILLME!$E$10,IF(A258='Label IDs'!$U$1,FILLME!$E$11)))))</f>
        <v>EX</v>
      </c>
    </row>
    <row r="259" spans="1:3" x14ac:dyDescent="0.25">
      <c r="A259" t="str">
        <v>Excess</v>
      </c>
      <c r="B259" t="str">
        <v>SSEMG_STA_IS_20260228_1800</v>
      </c>
      <c r="C259" t="str">
        <f>IF(A259='Label IDs'!$Q$1,FILLME!$E$6,IF(A259='Label IDs'!$R$1,FILLME!$E$8,IF(A259='Label IDs'!$S$1,FILLME!$E$9,IF(A259='Label IDs'!$T$1,FILLME!$E$10,IF(A259='Label IDs'!$U$1,FILLME!$E$11)))))</f>
        <v>EX</v>
      </c>
    </row>
    <row r="260" spans="1:3" x14ac:dyDescent="0.25">
      <c r="A260" t="str">
        <v>Excess</v>
      </c>
      <c r="B260" t="str">
        <v>SSEMG_STA_IS_20260228_2000</v>
      </c>
      <c r="C260" t="str">
        <f>IF(A260='Label IDs'!$Q$1,FILLME!$E$6,IF(A260='Label IDs'!$R$1,FILLME!$E$8,IF(A260='Label IDs'!$S$1,FILLME!$E$9,IF(A260='Label IDs'!$T$1,FILLME!$E$10,IF(A260='Label IDs'!$U$1,FILLME!$E$11)))))</f>
        <v>EX</v>
      </c>
    </row>
    <row r="261" spans="1:3" x14ac:dyDescent="0.25">
      <c r="A261" t="str">
        <v>Excess</v>
      </c>
      <c r="B261" t="str">
        <v>SSEMG_STA_IS_20260228_2200</v>
      </c>
      <c r="C261" t="str">
        <f>IF(A261='Label IDs'!$Q$1,FILLME!$E$6,IF(A261='Label IDs'!$R$1,FILLME!$E$8,IF(A261='Label IDs'!$S$1,FILLME!$E$9,IF(A261='Label IDs'!$T$1,FILLME!$E$10,IF(A261='Label IDs'!$U$1,FILLME!$E$11)))))</f>
        <v>EX</v>
      </c>
    </row>
    <row r="262" spans="1:3" x14ac:dyDescent="0.25">
      <c r="A262" t="str">
        <v>Excess</v>
      </c>
      <c r="B262" t="str">
        <v>SSEMG_STA_IS_20260301_0000</v>
      </c>
      <c r="C262" t="str">
        <f>IF(A262='Label IDs'!$Q$1,FILLME!$E$6,IF(A262='Label IDs'!$R$1,FILLME!$E$8,IF(A262='Label IDs'!$S$1,FILLME!$E$9,IF(A262='Label IDs'!$T$1,FILLME!$E$10,IF(A262='Label IDs'!$U$1,FILLME!$E$11)))))</f>
        <v>EX</v>
      </c>
    </row>
    <row r="263" spans="1:3" x14ac:dyDescent="0.25">
      <c r="A263" t="str">
        <v>Excess</v>
      </c>
      <c r="B263" t="str">
        <v>SSEMG_STA_IS_20260301_0200</v>
      </c>
      <c r="C263" t="str">
        <f>IF(A263='Label IDs'!$Q$1,FILLME!$E$6,IF(A263='Label IDs'!$R$1,FILLME!$E$8,IF(A263='Label IDs'!$S$1,FILLME!$E$9,IF(A263='Label IDs'!$T$1,FILLME!$E$10,IF(A263='Label IDs'!$U$1,FILLME!$E$11)))))</f>
        <v>EX</v>
      </c>
    </row>
    <row r="264" spans="1:3" x14ac:dyDescent="0.25">
      <c r="A264" t="str">
        <v>Excess</v>
      </c>
      <c r="B264" t="str">
        <v>SSEMG_STA_IS_20260301_0400</v>
      </c>
      <c r="C264" t="str">
        <f>IF(A264='Label IDs'!$Q$1,FILLME!$E$6,IF(A264='Label IDs'!$R$1,FILLME!$E$8,IF(A264='Label IDs'!$S$1,FILLME!$E$9,IF(A264='Label IDs'!$T$1,FILLME!$E$10,IF(A264='Label IDs'!$U$1,FILLME!$E$11)))))</f>
        <v>EX</v>
      </c>
    </row>
    <row r="265" spans="1:3" x14ac:dyDescent="0.25">
      <c r="A265" t="str">
        <v>Excess</v>
      </c>
      <c r="B265" t="str">
        <v>SSEMG_STA_IS_20260301_0600</v>
      </c>
      <c r="C265" t="str">
        <f>IF(A265='Label IDs'!$Q$1,FILLME!$E$6,IF(A265='Label IDs'!$R$1,FILLME!$E$8,IF(A265='Label IDs'!$S$1,FILLME!$E$9,IF(A265='Label IDs'!$T$1,FILLME!$E$10,IF(A265='Label IDs'!$U$1,FILLME!$E$11)))))</f>
        <v>EX</v>
      </c>
    </row>
    <row r="266" spans="1:3" x14ac:dyDescent="0.25">
      <c r="A266" t="str">
        <v>Excess</v>
      </c>
      <c r="B266" t="str">
        <v>SSEMG_STA_IS_20260301_0800</v>
      </c>
      <c r="C266" t="str">
        <f>IF(A266='Label IDs'!$Q$1,FILLME!$E$6,IF(A266='Label IDs'!$R$1,FILLME!$E$8,IF(A266='Label IDs'!$S$1,FILLME!$E$9,IF(A266='Label IDs'!$T$1,FILLME!$E$10,IF(A266='Label IDs'!$U$1,FILLME!$E$11)))))</f>
        <v>EX</v>
      </c>
    </row>
    <row r="267" spans="1:3" x14ac:dyDescent="0.25">
      <c r="A267" t="str">
        <v>Excess</v>
      </c>
      <c r="B267" t="str">
        <v>SSEMG_STA_IS_20260301_1000</v>
      </c>
      <c r="C267" t="str">
        <f>IF(A267='Label IDs'!$Q$1,FILLME!$E$6,IF(A267='Label IDs'!$R$1,FILLME!$E$8,IF(A267='Label IDs'!$S$1,FILLME!$E$9,IF(A267='Label IDs'!$T$1,FILLME!$E$10,IF(A267='Label IDs'!$U$1,FILLME!$E$11)))))</f>
        <v>EX</v>
      </c>
    </row>
    <row r="268" spans="1:3" x14ac:dyDescent="0.25">
      <c r="A268" t="str">
        <v>Excess</v>
      </c>
      <c r="B268" t="str">
        <v>SSEMG_STA_IS_20260301_1200</v>
      </c>
      <c r="C268" t="str">
        <f>IF(A268='Label IDs'!$Q$1,FILLME!$E$6,IF(A268='Label IDs'!$R$1,FILLME!$E$8,IF(A268='Label IDs'!$S$1,FILLME!$E$9,IF(A268='Label IDs'!$T$1,FILLME!$E$10,IF(A268='Label IDs'!$U$1,FILLME!$E$11)))))</f>
        <v>EX</v>
      </c>
    </row>
    <row r="269" spans="1:3" x14ac:dyDescent="0.25">
      <c r="A269" t="str">
        <v>Excess</v>
      </c>
      <c r="B269" t="str">
        <v>SSEMG_STA_IS_20260301_1400</v>
      </c>
      <c r="C269" t="str">
        <f>IF(A269='Label IDs'!$Q$1,FILLME!$E$6,IF(A269='Label IDs'!$R$1,FILLME!$E$8,IF(A269='Label IDs'!$S$1,FILLME!$E$9,IF(A269='Label IDs'!$T$1,FILLME!$E$10,IF(A269='Label IDs'!$U$1,FILLME!$E$11)))))</f>
        <v>EX</v>
      </c>
    </row>
    <row r="270" spans="1:3" x14ac:dyDescent="0.25">
      <c r="A270" t="str">
        <v>Excess</v>
      </c>
      <c r="B270" t="str">
        <v>SSEMG_STA_IS_20260301_1600</v>
      </c>
      <c r="C270" t="str">
        <f>IF(A270='Label IDs'!$Q$1,FILLME!$E$6,IF(A270='Label IDs'!$R$1,FILLME!$E$8,IF(A270='Label IDs'!$S$1,FILLME!$E$9,IF(A270='Label IDs'!$T$1,FILLME!$E$10,IF(A270='Label IDs'!$U$1,FILLME!$E$11)))))</f>
        <v>EX</v>
      </c>
    </row>
    <row r="271" spans="1:3" x14ac:dyDescent="0.25">
      <c r="A271" t="str">
        <v>Excess</v>
      </c>
      <c r="B271" t="str">
        <v>SSEMG_STA_IS_20260301_1800</v>
      </c>
      <c r="C271" t="str">
        <f>IF(A271='Label IDs'!$Q$1,FILLME!$E$6,IF(A271='Label IDs'!$R$1,FILLME!$E$8,IF(A271='Label IDs'!$S$1,FILLME!$E$9,IF(A271='Label IDs'!$T$1,FILLME!$E$10,IF(A271='Label IDs'!$U$1,FILLME!$E$11)))))</f>
        <v>EX</v>
      </c>
    </row>
    <row r="272" spans="1:3" x14ac:dyDescent="0.25">
      <c r="A272" t="str">
        <v>Excess</v>
      </c>
      <c r="B272" t="str">
        <v>SSEMG_STA_IS_20260301_2000</v>
      </c>
      <c r="C272" t="str">
        <f>IF(A272='Label IDs'!$Q$1,FILLME!$E$6,IF(A272='Label IDs'!$R$1,FILLME!$E$8,IF(A272='Label IDs'!$S$1,FILLME!$E$9,IF(A272='Label IDs'!$T$1,FILLME!$E$10,IF(A272='Label IDs'!$U$1,FILLME!$E$11)))))</f>
        <v>EX</v>
      </c>
    </row>
    <row r="273" spans="1:3" x14ac:dyDescent="0.25">
      <c r="A273" t="str">
        <v>Excess</v>
      </c>
      <c r="B273" t="str">
        <v>SSEMG_STA_IS_20260301_2200</v>
      </c>
      <c r="C273" t="str">
        <f>IF(A273='Label IDs'!$Q$1,FILLME!$E$6,IF(A273='Label IDs'!$R$1,FILLME!$E$8,IF(A273='Label IDs'!$S$1,FILLME!$E$9,IF(A273='Label IDs'!$T$1,FILLME!$E$10,IF(A273='Label IDs'!$U$1,FILLME!$E$11)))))</f>
        <v>EX</v>
      </c>
    </row>
    <row r="274" spans="1:3" x14ac:dyDescent="0.25">
      <c r="A274" t="str">
        <v>Excess</v>
      </c>
      <c r="B274" t="str">
        <v>SSEMG_STA_IS_20260302_0000</v>
      </c>
      <c r="C274" t="str">
        <f>IF(A274='Label IDs'!$Q$1,FILLME!$E$6,IF(A274='Label IDs'!$R$1,FILLME!$E$8,IF(A274='Label IDs'!$S$1,FILLME!$E$9,IF(A274='Label IDs'!$T$1,FILLME!$E$10,IF(A274='Label IDs'!$U$1,FILLME!$E$11)))))</f>
        <v>EX</v>
      </c>
    </row>
    <row r="275" spans="1:3" x14ac:dyDescent="0.25">
      <c r="A275" t="str">
        <v>Excess</v>
      </c>
      <c r="B275" t="str">
        <v>SSEMG_STA_IS_20260302_0200</v>
      </c>
      <c r="C275" t="str">
        <f>IF(A275='Label IDs'!$Q$1,FILLME!$E$6,IF(A275='Label IDs'!$R$1,FILLME!$E$8,IF(A275='Label IDs'!$S$1,FILLME!$E$9,IF(A275='Label IDs'!$T$1,FILLME!$E$10,IF(A275='Label IDs'!$U$1,FILLME!$E$11)))))</f>
        <v>EX</v>
      </c>
    </row>
    <row r="276" spans="1:3" x14ac:dyDescent="0.25">
      <c r="A276" t="str">
        <v>Excess</v>
      </c>
      <c r="B276" t="str">
        <v>SSEMG_STA_IS_20260302_0400</v>
      </c>
      <c r="C276" t="str">
        <f>IF(A276='Label IDs'!$Q$1,FILLME!$E$6,IF(A276='Label IDs'!$R$1,FILLME!$E$8,IF(A276='Label IDs'!$S$1,FILLME!$E$9,IF(A276='Label IDs'!$T$1,FILLME!$E$10,IF(A276='Label IDs'!$U$1,FILLME!$E$11)))))</f>
        <v>EX</v>
      </c>
    </row>
    <row r="277" spans="1:3" x14ac:dyDescent="0.25">
      <c r="A277" t="str">
        <v>Excess</v>
      </c>
      <c r="B277" t="str">
        <v>SSEMG_STA_IS_20260302_0600</v>
      </c>
      <c r="C277" t="str">
        <f>IF(A277='Label IDs'!$Q$1,FILLME!$E$6,IF(A277='Label IDs'!$R$1,FILLME!$E$8,IF(A277='Label IDs'!$S$1,FILLME!$E$9,IF(A277='Label IDs'!$T$1,FILLME!$E$10,IF(A277='Label IDs'!$U$1,FILLME!$E$11)))))</f>
        <v>EX</v>
      </c>
    </row>
    <row r="278" spans="1:3" x14ac:dyDescent="0.25">
      <c r="A278" t="str">
        <v>Excess</v>
      </c>
      <c r="B278" t="str">
        <v>SSEMG_STA_IS_20260302_0800</v>
      </c>
      <c r="C278" t="str">
        <f>IF(A278='Label IDs'!$Q$1,FILLME!$E$6,IF(A278='Label IDs'!$R$1,FILLME!$E$8,IF(A278='Label IDs'!$S$1,FILLME!$E$9,IF(A278='Label IDs'!$T$1,FILLME!$E$10,IF(A278='Label IDs'!$U$1,FILLME!$E$11)))))</f>
        <v>EX</v>
      </c>
    </row>
    <row r="279" spans="1:3" x14ac:dyDescent="0.25">
      <c r="A279" t="str">
        <v>Excess</v>
      </c>
      <c r="B279" t="str">
        <v>SSEMG_STA_IS_20260302_1000</v>
      </c>
      <c r="C279" t="str">
        <f>IF(A279='Label IDs'!$Q$1,FILLME!$E$6,IF(A279='Label IDs'!$R$1,FILLME!$E$8,IF(A279='Label IDs'!$S$1,FILLME!$E$9,IF(A279='Label IDs'!$T$1,FILLME!$E$10,IF(A279='Label IDs'!$U$1,FILLME!$E$11)))))</f>
        <v>EX</v>
      </c>
    </row>
    <row r="280" spans="1:3" x14ac:dyDescent="0.25">
      <c r="A280" t="str">
        <v>Excess</v>
      </c>
      <c r="B280" t="str">
        <v>SSEMG_STA_IS_20260302_1200</v>
      </c>
      <c r="C280" t="str">
        <f>IF(A280='Label IDs'!$Q$1,FILLME!$E$6,IF(A280='Label IDs'!$R$1,FILLME!$E$8,IF(A280='Label IDs'!$S$1,FILLME!$E$9,IF(A280='Label IDs'!$T$1,FILLME!$E$10,IF(A280='Label IDs'!$U$1,FILLME!$E$11)))))</f>
        <v>EX</v>
      </c>
    </row>
    <row r="281" spans="1:3" x14ac:dyDescent="0.25">
      <c r="A281" t="str">
        <v>Excess</v>
      </c>
      <c r="B281" t="str">
        <v>SSEMG_STA_IS_20260302_1400</v>
      </c>
      <c r="C281" t="str">
        <f>IF(A281='Label IDs'!$Q$1,FILLME!$E$6,IF(A281='Label IDs'!$R$1,FILLME!$E$8,IF(A281='Label IDs'!$S$1,FILLME!$E$9,IF(A281='Label IDs'!$T$1,FILLME!$E$10,IF(A281='Label IDs'!$U$1,FILLME!$E$11)))))</f>
        <v>EX</v>
      </c>
    </row>
    <row r="282" spans="1:3" x14ac:dyDescent="0.25">
      <c r="A282" t="str">
        <v>Excess</v>
      </c>
      <c r="B282" t="str">
        <v>SSEMG_STA_IS_20260302_1600</v>
      </c>
      <c r="C282" t="str">
        <f>IF(A282='Label IDs'!$Q$1,FILLME!$E$6,IF(A282='Label IDs'!$R$1,FILLME!$E$8,IF(A282='Label IDs'!$S$1,FILLME!$E$9,IF(A282='Label IDs'!$T$1,FILLME!$E$10,IF(A282='Label IDs'!$U$1,FILLME!$E$11)))))</f>
        <v>EX</v>
      </c>
    </row>
    <row r="283" spans="1:3" x14ac:dyDescent="0.25">
      <c r="A283" t="str">
        <v>Excess</v>
      </c>
      <c r="B283" t="str">
        <v>SSEMG_STA_IS_20260302_1800</v>
      </c>
      <c r="C283" t="str">
        <f>IF(A283='Label IDs'!$Q$1,FILLME!$E$6,IF(A283='Label IDs'!$R$1,FILLME!$E$8,IF(A283='Label IDs'!$S$1,FILLME!$E$9,IF(A283='Label IDs'!$T$1,FILLME!$E$10,IF(A283='Label IDs'!$U$1,FILLME!$E$11)))))</f>
        <v>EX</v>
      </c>
    </row>
    <row r="284" spans="1:3" x14ac:dyDescent="0.25">
      <c r="A284" t="str">
        <v>Excess</v>
      </c>
      <c r="B284" t="str">
        <v>SSEMG_STA_IS_20260302_2000</v>
      </c>
      <c r="C284" t="str">
        <f>IF(A284='Label IDs'!$Q$1,FILLME!$E$6,IF(A284='Label IDs'!$R$1,FILLME!$E$8,IF(A284='Label IDs'!$S$1,FILLME!$E$9,IF(A284='Label IDs'!$T$1,FILLME!$E$10,IF(A284='Label IDs'!$U$1,FILLME!$E$11)))))</f>
        <v>EX</v>
      </c>
    </row>
    <row r="285" spans="1:3" x14ac:dyDescent="0.25">
      <c r="A285" t="str">
        <v>Excess</v>
      </c>
      <c r="B285" t="str">
        <v>SSEMG_STA_IS_20260302_2200</v>
      </c>
      <c r="C285" t="str">
        <f>IF(A285='Label IDs'!$Q$1,FILLME!$E$6,IF(A285='Label IDs'!$R$1,FILLME!$E$8,IF(A285='Label IDs'!$S$1,FILLME!$E$9,IF(A285='Label IDs'!$T$1,FILLME!$E$10,IF(A285='Label IDs'!$U$1,FILLME!$E$11)))))</f>
        <v>EX</v>
      </c>
    </row>
    <row r="286" spans="1:3" x14ac:dyDescent="0.25">
      <c r="A286" t="str">
        <v>Excess</v>
      </c>
      <c r="B286" t="str">
        <v>SSEMG_STA_IS_20260303_0000</v>
      </c>
      <c r="C286" t="str">
        <f>IF(A286='Label IDs'!$Q$1,FILLME!$E$6,IF(A286='Label IDs'!$R$1,FILLME!$E$8,IF(A286='Label IDs'!$S$1,FILLME!$E$9,IF(A286='Label IDs'!$T$1,FILLME!$E$10,IF(A286='Label IDs'!$U$1,FILLME!$E$11)))))</f>
        <v>EX</v>
      </c>
    </row>
    <row r="287" spans="1:3" x14ac:dyDescent="0.25">
      <c r="A287" t="str">
        <v>Excess</v>
      </c>
      <c r="B287" t="str">
        <v>SSEMG_STA_IS_20260303_0200</v>
      </c>
      <c r="C287" t="str">
        <f>IF(A287='Label IDs'!$Q$1,FILLME!$E$6,IF(A287='Label IDs'!$R$1,FILLME!$E$8,IF(A287='Label IDs'!$S$1,FILLME!$E$9,IF(A287='Label IDs'!$T$1,FILLME!$E$10,IF(A287='Label IDs'!$U$1,FILLME!$E$11)))))</f>
        <v>EX</v>
      </c>
    </row>
    <row r="288" spans="1:3" x14ac:dyDescent="0.25">
      <c r="A288" t="str">
        <v>Excess</v>
      </c>
      <c r="B288" t="str">
        <v>SSEMG_STA_IS_20260303_0400</v>
      </c>
      <c r="C288" t="str">
        <f>IF(A288='Label IDs'!$Q$1,FILLME!$E$6,IF(A288='Label IDs'!$R$1,FILLME!$E$8,IF(A288='Label IDs'!$S$1,FILLME!$E$9,IF(A288='Label IDs'!$T$1,FILLME!$E$10,IF(A288='Label IDs'!$U$1,FILLME!$E$11)))))</f>
        <v>EX</v>
      </c>
    </row>
    <row r="289" spans="1:3" x14ac:dyDescent="0.25">
      <c r="A289" t="str">
        <v>Excess</v>
      </c>
      <c r="B289" t="str">
        <v>SSEMG_STA_IS_20260303_0600</v>
      </c>
      <c r="C289" t="str">
        <f>IF(A289='Label IDs'!$Q$1,FILLME!$E$6,IF(A289='Label IDs'!$R$1,FILLME!$E$8,IF(A289='Label IDs'!$S$1,FILLME!$E$9,IF(A289='Label IDs'!$T$1,FILLME!$E$10,IF(A289='Label IDs'!$U$1,FILLME!$E$11)))))</f>
        <v>EX</v>
      </c>
    </row>
    <row r="290" spans="1:3" x14ac:dyDescent="0.25">
      <c r="A290" t="str">
        <v>Excess</v>
      </c>
      <c r="B290" t="str">
        <v>SSEMG_STA_IS_20260303_0800</v>
      </c>
      <c r="C290" t="str">
        <f>IF(A290='Label IDs'!$Q$1,FILLME!$E$6,IF(A290='Label IDs'!$R$1,FILLME!$E$8,IF(A290='Label IDs'!$S$1,FILLME!$E$9,IF(A290='Label IDs'!$T$1,FILLME!$E$10,IF(A290='Label IDs'!$U$1,FILLME!$E$11)))))</f>
        <v>EX</v>
      </c>
    </row>
    <row r="291" spans="1:3" x14ac:dyDescent="0.25">
      <c r="A291" t="str">
        <v>Excess</v>
      </c>
      <c r="B291" t="str">
        <v>SSEMG_STA_IS_20260303_1000</v>
      </c>
      <c r="C291" t="str">
        <f>IF(A291='Label IDs'!$Q$1,FILLME!$E$6,IF(A291='Label IDs'!$R$1,FILLME!$E$8,IF(A291='Label IDs'!$S$1,FILLME!$E$9,IF(A291='Label IDs'!$T$1,FILLME!$E$10,IF(A291='Label IDs'!$U$1,FILLME!$E$11)))))</f>
        <v>EX</v>
      </c>
    </row>
    <row r="292" spans="1:3" x14ac:dyDescent="0.25">
      <c r="A292" t="str">
        <v>Excess</v>
      </c>
      <c r="B292" t="str">
        <v>SSEMG_STA_IS_20260303_1200</v>
      </c>
      <c r="C292" t="str">
        <f>IF(A292='Label IDs'!$Q$1,FILLME!$E$6,IF(A292='Label IDs'!$R$1,FILLME!$E$8,IF(A292='Label IDs'!$S$1,FILLME!$E$9,IF(A292='Label IDs'!$T$1,FILLME!$E$10,IF(A292='Label IDs'!$U$1,FILLME!$E$11)))))</f>
        <v>EX</v>
      </c>
    </row>
    <row r="293" spans="1:3" x14ac:dyDescent="0.25">
      <c r="A293" t="str">
        <v>Excess</v>
      </c>
      <c r="B293" t="str">
        <v>SSEMG_STA_IS_20260303_1400</v>
      </c>
      <c r="C293" t="str">
        <f>IF(A293='Label IDs'!$Q$1,FILLME!$E$6,IF(A293='Label IDs'!$R$1,FILLME!$E$8,IF(A293='Label IDs'!$S$1,FILLME!$E$9,IF(A293='Label IDs'!$T$1,FILLME!$E$10,IF(A293='Label IDs'!$U$1,FILLME!$E$11)))))</f>
        <v>EX</v>
      </c>
    </row>
    <row r="294" spans="1:3" x14ac:dyDescent="0.25">
      <c r="A294" t="str">
        <v>Excess</v>
      </c>
      <c r="B294" t="str">
        <v>SSEMG_STA_IS_20260303_1600</v>
      </c>
      <c r="C294" t="str">
        <f>IF(A294='Label IDs'!$Q$1,FILLME!$E$6,IF(A294='Label IDs'!$R$1,FILLME!$E$8,IF(A294='Label IDs'!$S$1,FILLME!$E$9,IF(A294='Label IDs'!$T$1,FILLME!$E$10,IF(A294='Label IDs'!$U$1,FILLME!$E$11)))))</f>
        <v>EX</v>
      </c>
    </row>
    <row r="295" spans="1:3" x14ac:dyDescent="0.25">
      <c r="A295" t="str">
        <v>Excess</v>
      </c>
      <c r="B295" t="str">
        <v>SSEMG_STA_IS_20260303_1800</v>
      </c>
      <c r="C295" t="str">
        <f>IF(A295='Label IDs'!$Q$1,FILLME!$E$6,IF(A295='Label IDs'!$R$1,FILLME!$E$8,IF(A295='Label IDs'!$S$1,FILLME!$E$9,IF(A295='Label IDs'!$T$1,FILLME!$E$10,IF(A295='Label IDs'!$U$1,FILLME!$E$11)))))</f>
        <v>EX</v>
      </c>
    </row>
    <row r="296" spans="1:3" x14ac:dyDescent="0.25">
      <c r="A296" t="str">
        <v>Excess</v>
      </c>
      <c r="B296" t="str">
        <v>SSEMG_STA_IS_20260303_2000</v>
      </c>
      <c r="C296" t="str">
        <f>IF(A296='Label IDs'!$Q$1,FILLME!$E$6,IF(A296='Label IDs'!$R$1,FILLME!$E$8,IF(A296='Label IDs'!$S$1,FILLME!$E$9,IF(A296='Label IDs'!$T$1,FILLME!$E$10,IF(A296='Label IDs'!$U$1,FILLME!$E$11)))))</f>
        <v>EX</v>
      </c>
    </row>
    <row r="297" spans="1:3" x14ac:dyDescent="0.25">
      <c r="A297" t="str">
        <v>Excess</v>
      </c>
      <c r="B297" t="str">
        <v>SSEMG_STA_IS_20260303_2200</v>
      </c>
      <c r="C297" t="str">
        <f>IF(A297='Label IDs'!$Q$1,FILLME!$E$6,IF(A297='Label IDs'!$R$1,FILLME!$E$8,IF(A297='Label IDs'!$S$1,FILLME!$E$9,IF(A297='Label IDs'!$T$1,FILLME!$E$10,IF(A297='Label IDs'!$U$1,FILLME!$E$11)))))</f>
        <v>EX</v>
      </c>
    </row>
    <row r="298" spans="1:3" x14ac:dyDescent="0.25">
      <c r="A298" t="str">
        <v>Excess</v>
      </c>
      <c r="B298" t="str">
        <v>SSEMG_STA_IS_20260304_0000</v>
      </c>
      <c r="C298" t="str">
        <f>IF(A298='Label IDs'!$Q$1,FILLME!$E$6,IF(A298='Label IDs'!$R$1,FILLME!$E$8,IF(A298='Label IDs'!$S$1,FILLME!$E$9,IF(A298='Label IDs'!$T$1,FILLME!$E$10,IF(A298='Label IDs'!$U$1,FILLME!$E$11)))))</f>
        <v>EX</v>
      </c>
    </row>
    <row r="299" spans="1:3" x14ac:dyDescent="0.25">
      <c r="A299" t="str">
        <v>Excess</v>
      </c>
      <c r="B299" t="str">
        <v>SSEMG_STA_IS_20260304_0200</v>
      </c>
      <c r="C299" t="str">
        <f>IF(A299='Label IDs'!$Q$1,FILLME!$E$6,IF(A299='Label IDs'!$R$1,FILLME!$E$8,IF(A299='Label IDs'!$S$1,FILLME!$E$9,IF(A299='Label IDs'!$T$1,FILLME!$E$10,IF(A299='Label IDs'!$U$1,FILLME!$E$11)))))</f>
        <v>EX</v>
      </c>
    </row>
    <row r="300" spans="1:3" x14ac:dyDescent="0.25">
      <c r="A300" t="str">
        <v>Excess</v>
      </c>
      <c r="B300" t="str">
        <v>SSEMG_STA_IS_20260304_0400</v>
      </c>
      <c r="C300" t="str">
        <f>IF(A300='Label IDs'!$Q$1,FILLME!$E$6,IF(A300='Label IDs'!$R$1,FILLME!$E$8,IF(A300='Label IDs'!$S$1,FILLME!$E$9,IF(A300='Label IDs'!$T$1,FILLME!$E$10,IF(A300='Label IDs'!$U$1,FILLME!$E$11)))))</f>
        <v>EX</v>
      </c>
    </row>
    <row r="301" spans="1:3" x14ac:dyDescent="0.25">
      <c r="A301" t="str">
        <v>Excess</v>
      </c>
      <c r="B301" t="str">
        <v>SSEMG_STA_IS_20260304_0600</v>
      </c>
      <c r="C301" t="str">
        <f>IF(A301='Label IDs'!$Q$1,FILLME!$E$6,IF(A301='Label IDs'!$R$1,FILLME!$E$8,IF(A301='Label IDs'!$S$1,FILLME!$E$9,IF(A301='Label IDs'!$T$1,FILLME!$E$10,IF(A301='Label IDs'!$U$1,FILLME!$E$11)))))</f>
        <v>EX</v>
      </c>
    </row>
    <row r="302" spans="1:3" x14ac:dyDescent="0.25">
      <c r="A302" t="str">
        <v>Levoglucosan</v>
      </c>
      <c r="B302" t="str">
        <v>SSEMG_STA_IS_20260224_0000</v>
      </c>
      <c r="C302" t="str">
        <f>IF(A302='Label IDs'!$Q$1,FILLME!$E$6,IF(A302='Label IDs'!$R$1,FILLME!$E$8,IF(A302='Label IDs'!$S$1,FILLME!$E$9,IF(A302='Label IDs'!$T$1,FILLME!$E$10,IF(A302='Label IDs'!$U$1,FILLME!$E$11)))))</f>
        <v>LV</v>
      </c>
    </row>
    <row r="303" spans="1:3" x14ac:dyDescent="0.25">
      <c r="A303" t="str">
        <v>Levoglucosan</v>
      </c>
      <c r="B303" t="str">
        <v>SSEMG_STA_IS_20260224_0200</v>
      </c>
      <c r="C303" t="str">
        <f>IF(A303='Label IDs'!$Q$1,FILLME!$E$6,IF(A303='Label IDs'!$R$1,FILLME!$E$8,IF(A303='Label IDs'!$S$1,FILLME!$E$9,IF(A303='Label IDs'!$T$1,FILLME!$E$10,IF(A303='Label IDs'!$U$1,FILLME!$E$11)))))</f>
        <v>LV</v>
      </c>
    </row>
    <row r="304" spans="1:3" x14ac:dyDescent="0.25">
      <c r="A304" t="str">
        <v>Levoglucosan</v>
      </c>
      <c r="B304" t="str">
        <v>SSEMG_STA_IS_20260224_0400</v>
      </c>
      <c r="C304" t="str">
        <f>IF(A304='Label IDs'!$Q$1,FILLME!$E$6,IF(A304='Label IDs'!$R$1,FILLME!$E$8,IF(A304='Label IDs'!$S$1,FILLME!$E$9,IF(A304='Label IDs'!$T$1,FILLME!$E$10,IF(A304='Label IDs'!$U$1,FILLME!$E$11)))))</f>
        <v>LV</v>
      </c>
    </row>
    <row r="305" spans="1:3" x14ac:dyDescent="0.25">
      <c r="A305" t="str">
        <v>Levoglucosan</v>
      </c>
      <c r="B305" t="str">
        <v>SSEMG_STA_IS_20260224_0600</v>
      </c>
      <c r="C305" t="str">
        <f>IF(A305='Label IDs'!$Q$1,FILLME!$E$6,IF(A305='Label IDs'!$R$1,FILLME!$E$8,IF(A305='Label IDs'!$S$1,FILLME!$E$9,IF(A305='Label IDs'!$T$1,FILLME!$E$10,IF(A305='Label IDs'!$U$1,FILLME!$E$11)))))</f>
        <v>LV</v>
      </c>
    </row>
    <row r="306" spans="1:3" x14ac:dyDescent="0.25">
      <c r="A306" t="str">
        <v>Levoglucosan</v>
      </c>
      <c r="B306" t="str">
        <v>SSEMG_STA_IS_20260224_0800</v>
      </c>
      <c r="C306" t="str">
        <f>IF(A306='Label IDs'!$Q$1,FILLME!$E$6,IF(A306='Label IDs'!$R$1,FILLME!$E$8,IF(A306='Label IDs'!$S$1,FILLME!$E$9,IF(A306='Label IDs'!$T$1,FILLME!$E$10,IF(A306='Label IDs'!$U$1,FILLME!$E$11)))))</f>
        <v>LV</v>
      </c>
    </row>
    <row r="307" spans="1:3" x14ac:dyDescent="0.25">
      <c r="A307" t="str">
        <v>Levoglucosan</v>
      </c>
      <c r="B307" t="str">
        <v>SSEMG_STA_IS_20260224_1000</v>
      </c>
      <c r="C307" t="str">
        <f>IF(A307='Label IDs'!$Q$1,FILLME!$E$6,IF(A307='Label IDs'!$R$1,FILLME!$E$8,IF(A307='Label IDs'!$S$1,FILLME!$E$9,IF(A307='Label IDs'!$T$1,FILLME!$E$10,IF(A307='Label IDs'!$U$1,FILLME!$E$11)))))</f>
        <v>LV</v>
      </c>
    </row>
    <row r="308" spans="1:3" x14ac:dyDescent="0.25">
      <c r="A308" t="str">
        <v>Levoglucosan</v>
      </c>
      <c r="B308" t="str">
        <v>SSEMG_STA_IS_20260224_1200</v>
      </c>
      <c r="C308" t="str">
        <f>IF(A308='Label IDs'!$Q$1,FILLME!$E$6,IF(A308='Label IDs'!$R$1,FILLME!$E$8,IF(A308='Label IDs'!$S$1,FILLME!$E$9,IF(A308='Label IDs'!$T$1,FILLME!$E$10,IF(A308='Label IDs'!$U$1,FILLME!$E$11)))))</f>
        <v>LV</v>
      </c>
    </row>
    <row r="309" spans="1:3" x14ac:dyDescent="0.25">
      <c r="A309" t="str">
        <v>Levoglucosan</v>
      </c>
      <c r="B309" t="str">
        <v>SSEMG_STA_IS_20260224_1400</v>
      </c>
      <c r="C309" t="str">
        <f>IF(A309='Label IDs'!$Q$1,FILLME!$E$6,IF(A309='Label IDs'!$R$1,FILLME!$E$8,IF(A309='Label IDs'!$S$1,FILLME!$E$9,IF(A309='Label IDs'!$T$1,FILLME!$E$10,IF(A309='Label IDs'!$U$1,FILLME!$E$11)))))</f>
        <v>LV</v>
      </c>
    </row>
    <row r="310" spans="1:3" x14ac:dyDescent="0.25">
      <c r="A310" t="str">
        <v>Levoglucosan</v>
      </c>
      <c r="B310" t="str">
        <v>SSEMG_STA_IS_20260224_1600</v>
      </c>
      <c r="C310" t="str">
        <f>IF(A310='Label IDs'!$Q$1,FILLME!$E$6,IF(A310='Label IDs'!$R$1,FILLME!$E$8,IF(A310='Label IDs'!$S$1,FILLME!$E$9,IF(A310='Label IDs'!$T$1,FILLME!$E$10,IF(A310='Label IDs'!$U$1,FILLME!$E$11)))))</f>
        <v>LV</v>
      </c>
    </row>
    <row r="311" spans="1:3" x14ac:dyDescent="0.25">
      <c r="A311" t="str">
        <v>Levoglucosan</v>
      </c>
      <c r="B311" t="str">
        <v>SSEMG_STA_IS_20260224_1800</v>
      </c>
      <c r="C311" t="str">
        <f>IF(A311='Label IDs'!$Q$1,FILLME!$E$6,IF(A311='Label IDs'!$R$1,FILLME!$E$8,IF(A311='Label IDs'!$S$1,FILLME!$E$9,IF(A311='Label IDs'!$T$1,FILLME!$E$10,IF(A311='Label IDs'!$U$1,FILLME!$E$11)))))</f>
        <v>LV</v>
      </c>
    </row>
    <row r="312" spans="1:3" x14ac:dyDescent="0.25">
      <c r="A312" t="str">
        <v>Levoglucosan</v>
      </c>
      <c r="B312" t="str">
        <v>SSEMG_STA_IS_20260224_2000</v>
      </c>
      <c r="C312" t="str">
        <f>IF(A312='Label IDs'!$Q$1,FILLME!$E$6,IF(A312='Label IDs'!$R$1,FILLME!$E$8,IF(A312='Label IDs'!$S$1,FILLME!$E$9,IF(A312='Label IDs'!$T$1,FILLME!$E$10,IF(A312='Label IDs'!$U$1,FILLME!$E$11)))))</f>
        <v>LV</v>
      </c>
    </row>
    <row r="313" spans="1:3" x14ac:dyDescent="0.25">
      <c r="A313" t="str">
        <v>Levoglucosan</v>
      </c>
      <c r="B313" t="str">
        <v>SSEMG_STA_IS_20260224_2200</v>
      </c>
      <c r="C313" t="str">
        <f>IF(A313='Label IDs'!$Q$1,FILLME!$E$6,IF(A313='Label IDs'!$R$1,FILLME!$E$8,IF(A313='Label IDs'!$S$1,FILLME!$E$9,IF(A313='Label IDs'!$T$1,FILLME!$E$10,IF(A313='Label IDs'!$U$1,FILLME!$E$11)))))</f>
        <v>LV</v>
      </c>
    </row>
    <row r="314" spans="1:3" x14ac:dyDescent="0.25">
      <c r="A314" t="str">
        <v>Levoglucosan</v>
      </c>
      <c r="B314" t="str">
        <v>SSEMG_STA_IS_20260225_0000</v>
      </c>
      <c r="C314" t="str">
        <f>IF(A314='Label IDs'!$Q$1,FILLME!$E$6,IF(A314='Label IDs'!$R$1,FILLME!$E$8,IF(A314='Label IDs'!$S$1,FILLME!$E$9,IF(A314='Label IDs'!$T$1,FILLME!$E$10,IF(A314='Label IDs'!$U$1,FILLME!$E$11)))))</f>
        <v>LV</v>
      </c>
    </row>
    <row r="315" spans="1:3" x14ac:dyDescent="0.25">
      <c r="A315" t="str">
        <v>Levoglucosan</v>
      </c>
      <c r="B315" t="str">
        <v>SSEMG_STA_IS_20260225_0200</v>
      </c>
      <c r="C315" t="str">
        <f>IF(A315='Label IDs'!$Q$1,FILLME!$E$6,IF(A315='Label IDs'!$R$1,FILLME!$E$8,IF(A315='Label IDs'!$S$1,FILLME!$E$9,IF(A315='Label IDs'!$T$1,FILLME!$E$10,IF(A315='Label IDs'!$U$1,FILLME!$E$11)))))</f>
        <v>LV</v>
      </c>
    </row>
    <row r="316" spans="1:3" x14ac:dyDescent="0.25">
      <c r="A316" t="str">
        <v>Levoglucosan</v>
      </c>
      <c r="B316" t="str">
        <v>SSEMG_STA_IS_20260225_0400</v>
      </c>
      <c r="C316" t="str">
        <f>IF(A316='Label IDs'!$Q$1,FILLME!$E$6,IF(A316='Label IDs'!$R$1,FILLME!$E$8,IF(A316='Label IDs'!$S$1,FILLME!$E$9,IF(A316='Label IDs'!$T$1,FILLME!$E$10,IF(A316='Label IDs'!$U$1,FILLME!$E$11)))))</f>
        <v>LV</v>
      </c>
    </row>
    <row r="317" spans="1:3" x14ac:dyDescent="0.25">
      <c r="A317" t="str">
        <v>Levoglucosan</v>
      </c>
      <c r="B317" t="str">
        <v>SSEMG_STA_IS_20260225_0600</v>
      </c>
      <c r="C317" t="str">
        <f>IF(A317='Label IDs'!$Q$1,FILLME!$E$6,IF(A317='Label IDs'!$R$1,FILLME!$E$8,IF(A317='Label IDs'!$S$1,FILLME!$E$9,IF(A317='Label IDs'!$T$1,FILLME!$E$10,IF(A317='Label IDs'!$U$1,FILLME!$E$11)))))</f>
        <v>LV</v>
      </c>
    </row>
    <row r="318" spans="1:3" x14ac:dyDescent="0.25">
      <c r="A318" t="str">
        <v>Levoglucosan</v>
      </c>
      <c r="B318" t="str">
        <v>SSEMG_STA_IS_20260225_0800</v>
      </c>
      <c r="C318" t="str">
        <f>IF(A318='Label IDs'!$Q$1,FILLME!$E$6,IF(A318='Label IDs'!$R$1,FILLME!$E$8,IF(A318='Label IDs'!$S$1,FILLME!$E$9,IF(A318='Label IDs'!$T$1,FILLME!$E$10,IF(A318='Label IDs'!$U$1,FILLME!$E$11)))))</f>
        <v>LV</v>
      </c>
    </row>
    <row r="319" spans="1:3" x14ac:dyDescent="0.25">
      <c r="A319" t="str">
        <v>Levoglucosan</v>
      </c>
      <c r="B319" t="str">
        <v>SSEMG_STA_IS_20260225_1000</v>
      </c>
      <c r="C319" t="str">
        <f>IF(A319='Label IDs'!$Q$1,FILLME!$E$6,IF(A319='Label IDs'!$R$1,FILLME!$E$8,IF(A319='Label IDs'!$S$1,FILLME!$E$9,IF(A319='Label IDs'!$T$1,FILLME!$E$10,IF(A319='Label IDs'!$U$1,FILLME!$E$11)))))</f>
        <v>LV</v>
      </c>
    </row>
    <row r="320" spans="1:3" x14ac:dyDescent="0.25">
      <c r="A320" t="str">
        <v>Levoglucosan</v>
      </c>
      <c r="B320" t="str">
        <v>SSEMG_STA_IS_20260225_1200</v>
      </c>
      <c r="C320" t="str">
        <f>IF(A320='Label IDs'!$Q$1,FILLME!$E$6,IF(A320='Label IDs'!$R$1,FILLME!$E$8,IF(A320='Label IDs'!$S$1,FILLME!$E$9,IF(A320='Label IDs'!$T$1,FILLME!$E$10,IF(A320='Label IDs'!$U$1,FILLME!$E$11)))))</f>
        <v>LV</v>
      </c>
    </row>
    <row r="321" spans="1:3" x14ac:dyDescent="0.25">
      <c r="A321" t="str">
        <v>Levoglucosan</v>
      </c>
      <c r="B321" t="str">
        <v>SSEMG_STA_IS_20260225_1400</v>
      </c>
      <c r="C321" t="str">
        <f>IF(A321='Label IDs'!$Q$1,FILLME!$E$6,IF(A321='Label IDs'!$R$1,FILLME!$E$8,IF(A321='Label IDs'!$S$1,FILLME!$E$9,IF(A321='Label IDs'!$T$1,FILLME!$E$10,IF(A321='Label IDs'!$U$1,FILLME!$E$11)))))</f>
        <v>LV</v>
      </c>
    </row>
    <row r="322" spans="1:3" x14ac:dyDescent="0.25">
      <c r="A322" t="str">
        <v>Levoglucosan</v>
      </c>
      <c r="B322" t="str">
        <v>SSEMG_STA_IS_20260225_1600</v>
      </c>
      <c r="C322" t="str">
        <f>IF(A322='Label IDs'!$Q$1,FILLME!$E$6,IF(A322='Label IDs'!$R$1,FILLME!$E$8,IF(A322='Label IDs'!$S$1,FILLME!$E$9,IF(A322='Label IDs'!$T$1,FILLME!$E$10,IF(A322='Label IDs'!$U$1,FILLME!$E$11)))))</f>
        <v>LV</v>
      </c>
    </row>
    <row r="323" spans="1:3" x14ac:dyDescent="0.25">
      <c r="A323" t="str">
        <v>Levoglucosan</v>
      </c>
      <c r="B323" t="str">
        <v>SSEMG_STA_IS_20260225_1800</v>
      </c>
      <c r="C323" t="str">
        <f>IF(A323='Label IDs'!$Q$1,FILLME!$E$6,IF(A323='Label IDs'!$R$1,FILLME!$E$8,IF(A323='Label IDs'!$S$1,FILLME!$E$9,IF(A323='Label IDs'!$T$1,FILLME!$E$10,IF(A323='Label IDs'!$U$1,FILLME!$E$11)))))</f>
        <v>LV</v>
      </c>
    </row>
    <row r="324" spans="1:3" x14ac:dyDescent="0.25">
      <c r="A324" t="str">
        <v>Levoglucosan</v>
      </c>
      <c r="B324" t="str">
        <v>SSEMG_STA_IS_20260225_2000</v>
      </c>
      <c r="C324" t="str">
        <f>IF(A324='Label IDs'!$Q$1,FILLME!$E$6,IF(A324='Label IDs'!$R$1,FILLME!$E$8,IF(A324='Label IDs'!$S$1,FILLME!$E$9,IF(A324='Label IDs'!$T$1,FILLME!$E$10,IF(A324='Label IDs'!$U$1,FILLME!$E$11)))))</f>
        <v>LV</v>
      </c>
    </row>
    <row r="325" spans="1:3" x14ac:dyDescent="0.25">
      <c r="A325" t="str">
        <v>Levoglucosan</v>
      </c>
      <c r="B325" t="str">
        <v>SSEMG_STA_IS_20260225_2200</v>
      </c>
      <c r="C325" t="str">
        <f>IF(A325='Label IDs'!$Q$1,FILLME!$E$6,IF(A325='Label IDs'!$R$1,FILLME!$E$8,IF(A325='Label IDs'!$S$1,FILLME!$E$9,IF(A325='Label IDs'!$T$1,FILLME!$E$10,IF(A325='Label IDs'!$U$1,FILLME!$E$11)))))</f>
        <v>LV</v>
      </c>
    </row>
    <row r="326" spans="1:3" x14ac:dyDescent="0.25">
      <c r="A326" t="str">
        <v>Levoglucosan</v>
      </c>
      <c r="B326" t="str">
        <v>SSEMG_STA_IS_20260226_0000</v>
      </c>
      <c r="C326" t="str">
        <f>IF(A326='Label IDs'!$Q$1,FILLME!$E$6,IF(A326='Label IDs'!$R$1,FILLME!$E$8,IF(A326='Label IDs'!$S$1,FILLME!$E$9,IF(A326='Label IDs'!$T$1,FILLME!$E$10,IF(A326='Label IDs'!$U$1,FILLME!$E$11)))))</f>
        <v>LV</v>
      </c>
    </row>
    <row r="327" spans="1:3" x14ac:dyDescent="0.25">
      <c r="A327" t="str">
        <v>Levoglucosan</v>
      </c>
      <c r="B327" t="str">
        <v>SSEMG_STA_IS_20260226_0200</v>
      </c>
      <c r="C327" t="str">
        <f>IF(A327='Label IDs'!$Q$1,FILLME!$E$6,IF(A327='Label IDs'!$R$1,FILLME!$E$8,IF(A327='Label IDs'!$S$1,FILLME!$E$9,IF(A327='Label IDs'!$T$1,FILLME!$E$10,IF(A327='Label IDs'!$U$1,FILLME!$E$11)))))</f>
        <v>LV</v>
      </c>
    </row>
    <row r="328" spans="1:3" x14ac:dyDescent="0.25">
      <c r="A328" t="str">
        <v>Levoglucosan</v>
      </c>
      <c r="B328" t="str">
        <v>SSEMG_STA_IS_20260226_0400</v>
      </c>
      <c r="C328" t="str">
        <f>IF(A328='Label IDs'!$Q$1,FILLME!$E$6,IF(A328='Label IDs'!$R$1,FILLME!$E$8,IF(A328='Label IDs'!$S$1,FILLME!$E$9,IF(A328='Label IDs'!$T$1,FILLME!$E$10,IF(A328='Label IDs'!$U$1,FILLME!$E$11)))))</f>
        <v>LV</v>
      </c>
    </row>
    <row r="329" spans="1:3" x14ac:dyDescent="0.25">
      <c r="A329" t="str">
        <v>Levoglucosan</v>
      </c>
      <c r="B329" t="str">
        <v>SSEMG_STA_IS_20260226_0600</v>
      </c>
      <c r="C329" t="str">
        <f>IF(A329='Label IDs'!$Q$1,FILLME!$E$6,IF(A329='Label IDs'!$R$1,FILLME!$E$8,IF(A329='Label IDs'!$S$1,FILLME!$E$9,IF(A329='Label IDs'!$T$1,FILLME!$E$10,IF(A329='Label IDs'!$U$1,FILLME!$E$11)))))</f>
        <v>LV</v>
      </c>
    </row>
    <row r="330" spans="1:3" x14ac:dyDescent="0.25">
      <c r="A330" t="str">
        <v>Levoglucosan</v>
      </c>
      <c r="B330" t="str">
        <v>SSEMG_STA_IS_20260226_0800</v>
      </c>
      <c r="C330" t="str">
        <f>IF(A330='Label IDs'!$Q$1,FILLME!$E$6,IF(A330='Label IDs'!$R$1,FILLME!$E$8,IF(A330='Label IDs'!$S$1,FILLME!$E$9,IF(A330='Label IDs'!$T$1,FILLME!$E$10,IF(A330='Label IDs'!$U$1,FILLME!$E$11)))))</f>
        <v>LV</v>
      </c>
    </row>
    <row r="331" spans="1:3" x14ac:dyDescent="0.25">
      <c r="A331" t="str">
        <v>Levoglucosan</v>
      </c>
      <c r="B331" t="str">
        <v>SSEMG_STA_IS_20260226_1000</v>
      </c>
      <c r="C331" t="str">
        <f>IF(A331='Label IDs'!$Q$1,FILLME!$E$6,IF(A331='Label IDs'!$R$1,FILLME!$E$8,IF(A331='Label IDs'!$S$1,FILLME!$E$9,IF(A331='Label IDs'!$T$1,FILLME!$E$10,IF(A331='Label IDs'!$U$1,FILLME!$E$11)))))</f>
        <v>LV</v>
      </c>
    </row>
    <row r="332" spans="1:3" x14ac:dyDescent="0.25">
      <c r="A332" t="str">
        <v>Levoglucosan</v>
      </c>
      <c r="B332" t="str">
        <v>SSEMG_STA_IS_20260226_1200</v>
      </c>
      <c r="C332" t="str">
        <f>IF(A332='Label IDs'!$Q$1,FILLME!$E$6,IF(A332='Label IDs'!$R$1,FILLME!$E$8,IF(A332='Label IDs'!$S$1,FILLME!$E$9,IF(A332='Label IDs'!$T$1,FILLME!$E$10,IF(A332='Label IDs'!$U$1,FILLME!$E$11)))))</f>
        <v>LV</v>
      </c>
    </row>
    <row r="333" spans="1:3" x14ac:dyDescent="0.25">
      <c r="A333" t="str">
        <v>Levoglucosan</v>
      </c>
      <c r="B333" t="str">
        <v>SSEMG_STA_IS_20260226_1400</v>
      </c>
      <c r="C333" t="str">
        <f>IF(A333='Label IDs'!$Q$1,FILLME!$E$6,IF(A333='Label IDs'!$R$1,FILLME!$E$8,IF(A333='Label IDs'!$S$1,FILLME!$E$9,IF(A333='Label IDs'!$T$1,FILLME!$E$10,IF(A333='Label IDs'!$U$1,FILLME!$E$11)))))</f>
        <v>LV</v>
      </c>
    </row>
    <row r="334" spans="1:3" x14ac:dyDescent="0.25">
      <c r="A334" t="str">
        <v>Levoglucosan</v>
      </c>
      <c r="B334" t="str">
        <v>SSEMG_STA_IS_20260226_1600</v>
      </c>
      <c r="C334" t="str">
        <f>IF(A334='Label IDs'!$Q$1,FILLME!$E$6,IF(A334='Label IDs'!$R$1,FILLME!$E$8,IF(A334='Label IDs'!$S$1,FILLME!$E$9,IF(A334='Label IDs'!$T$1,FILLME!$E$10,IF(A334='Label IDs'!$U$1,FILLME!$E$11)))))</f>
        <v>LV</v>
      </c>
    </row>
    <row r="335" spans="1:3" x14ac:dyDescent="0.25">
      <c r="A335" t="str">
        <v>Levoglucosan</v>
      </c>
      <c r="B335" t="str">
        <v>SSEMG_STA_IS_20260226_1800</v>
      </c>
      <c r="C335" t="str">
        <f>IF(A335='Label IDs'!$Q$1,FILLME!$E$6,IF(A335='Label IDs'!$R$1,FILLME!$E$8,IF(A335='Label IDs'!$S$1,FILLME!$E$9,IF(A335='Label IDs'!$T$1,FILLME!$E$10,IF(A335='Label IDs'!$U$1,FILLME!$E$11)))))</f>
        <v>LV</v>
      </c>
    </row>
    <row r="336" spans="1:3" x14ac:dyDescent="0.25">
      <c r="A336" t="str">
        <v>Levoglucosan</v>
      </c>
      <c r="B336" t="str">
        <v>SSEMG_STA_IS_20260226_2000</v>
      </c>
      <c r="C336" t="str">
        <f>IF(A336='Label IDs'!$Q$1,FILLME!$E$6,IF(A336='Label IDs'!$R$1,FILLME!$E$8,IF(A336='Label IDs'!$S$1,FILLME!$E$9,IF(A336='Label IDs'!$T$1,FILLME!$E$10,IF(A336='Label IDs'!$U$1,FILLME!$E$11)))))</f>
        <v>LV</v>
      </c>
    </row>
    <row r="337" spans="1:3" x14ac:dyDescent="0.25">
      <c r="A337" t="str">
        <v>Levoglucosan</v>
      </c>
      <c r="B337" t="str">
        <v>SSEMG_STA_IS_20260226_2200</v>
      </c>
      <c r="C337" t="str">
        <f>IF(A337='Label IDs'!$Q$1,FILLME!$E$6,IF(A337='Label IDs'!$R$1,FILLME!$E$8,IF(A337='Label IDs'!$S$1,FILLME!$E$9,IF(A337='Label IDs'!$T$1,FILLME!$E$10,IF(A337='Label IDs'!$U$1,FILLME!$E$11)))))</f>
        <v>LV</v>
      </c>
    </row>
    <row r="338" spans="1:3" x14ac:dyDescent="0.25">
      <c r="A338" t="str">
        <v>Levoglucosan</v>
      </c>
      <c r="B338" t="str">
        <v>SSEMG_STA_IS_20260227_0000</v>
      </c>
      <c r="C338" t="str">
        <f>IF(A338='Label IDs'!$Q$1,FILLME!$E$6,IF(A338='Label IDs'!$R$1,FILLME!$E$8,IF(A338='Label IDs'!$S$1,FILLME!$E$9,IF(A338='Label IDs'!$T$1,FILLME!$E$10,IF(A338='Label IDs'!$U$1,FILLME!$E$11)))))</f>
        <v>LV</v>
      </c>
    </row>
    <row r="339" spans="1:3" x14ac:dyDescent="0.25">
      <c r="A339" t="str">
        <v>Levoglucosan</v>
      </c>
      <c r="B339" t="str">
        <v>SSEMG_STA_IS_20260227_0200</v>
      </c>
      <c r="C339" t="str">
        <f>IF(A339='Label IDs'!$Q$1,FILLME!$E$6,IF(A339='Label IDs'!$R$1,FILLME!$E$8,IF(A339='Label IDs'!$S$1,FILLME!$E$9,IF(A339='Label IDs'!$T$1,FILLME!$E$10,IF(A339='Label IDs'!$U$1,FILLME!$E$11)))))</f>
        <v>LV</v>
      </c>
    </row>
    <row r="340" spans="1:3" x14ac:dyDescent="0.25">
      <c r="A340" t="str">
        <v>Levoglucosan</v>
      </c>
      <c r="B340" t="str">
        <v>SSEMG_STA_IS_20260227_0400</v>
      </c>
      <c r="C340" t="str">
        <f>IF(A340='Label IDs'!$Q$1,FILLME!$E$6,IF(A340='Label IDs'!$R$1,FILLME!$E$8,IF(A340='Label IDs'!$S$1,FILLME!$E$9,IF(A340='Label IDs'!$T$1,FILLME!$E$10,IF(A340='Label IDs'!$U$1,FILLME!$E$11)))))</f>
        <v>LV</v>
      </c>
    </row>
    <row r="341" spans="1:3" x14ac:dyDescent="0.25">
      <c r="A341" t="str">
        <v>Levoglucosan</v>
      </c>
      <c r="B341" t="str">
        <v>SSEMG_STA_IS_20260227_0600</v>
      </c>
      <c r="C341" t="str">
        <f>IF(A341='Label IDs'!$Q$1,FILLME!$E$6,IF(A341='Label IDs'!$R$1,FILLME!$E$8,IF(A341='Label IDs'!$S$1,FILLME!$E$9,IF(A341='Label IDs'!$T$1,FILLME!$E$10,IF(A341='Label IDs'!$U$1,FILLME!$E$11)))))</f>
        <v>LV</v>
      </c>
    </row>
    <row r="342" spans="1:3" x14ac:dyDescent="0.25">
      <c r="A342" t="str">
        <v>Levoglucosan</v>
      </c>
      <c r="B342" t="str">
        <v>SSEMG_STA_IS_20260227_0800</v>
      </c>
      <c r="C342" t="str">
        <f>IF(A342='Label IDs'!$Q$1,FILLME!$E$6,IF(A342='Label IDs'!$R$1,FILLME!$E$8,IF(A342='Label IDs'!$S$1,FILLME!$E$9,IF(A342='Label IDs'!$T$1,FILLME!$E$10,IF(A342='Label IDs'!$U$1,FILLME!$E$11)))))</f>
        <v>LV</v>
      </c>
    </row>
    <row r="343" spans="1:3" x14ac:dyDescent="0.25">
      <c r="A343" t="str">
        <v>Levoglucosan</v>
      </c>
      <c r="B343" t="str">
        <v>SSEMG_STA_IS_20260227_1000</v>
      </c>
      <c r="C343" t="str">
        <f>IF(A343='Label IDs'!$Q$1,FILLME!$E$6,IF(A343='Label IDs'!$R$1,FILLME!$E$8,IF(A343='Label IDs'!$S$1,FILLME!$E$9,IF(A343='Label IDs'!$T$1,FILLME!$E$10,IF(A343='Label IDs'!$U$1,FILLME!$E$11)))))</f>
        <v>LV</v>
      </c>
    </row>
    <row r="344" spans="1:3" x14ac:dyDescent="0.25">
      <c r="A344" t="str">
        <v>Levoglucosan</v>
      </c>
      <c r="B344" t="str">
        <v>SSEMG_STA_IS_20260227_1200</v>
      </c>
      <c r="C344" t="str">
        <f>IF(A344='Label IDs'!$Q$1,FILLME!$E$6,IF(A344='Label IDs'!$R$1,FILLME!$E$8,IF(A344='Label IDs'!$S$1,FILLME!$E$9,IF(A344='Label IDs'!$T$1,FILLME!$E$10,IF(A344='Label IDs'!$U$1,FILLME!$E$11)))))</f>
        <v>LV</v>
      </c>
    </row>
    <row r="345" spans="1:3" x14ac:dyDescent="0.25">
      <c r="A345" t="str">
        <v>Levoglucosan</v>
      </c>
      <c r="B345" t="str">
        <v>SSEMG_STA_IS_20260227_1400</v>
      </c>
      <c r="C345" t="str">
        <f>IF(A345='Label IDs'!$Q$1,FILLME!$E$6,IF(A345='Label IDs'!$R$1,FILLME!$E$8,IF(A345='Label IDs'!$S$1,FILLME!$E$9,IF(A345='Label IDs'!$T$1,FILLME!$E$10,IF(A345='Label IDs'!$U$1,FILLME!$E$11)))))</f>
        <v>LV</v>
      </c>
    </row>
    <row r="346" spans="1:3" x14ac:dyDescent="0.25">
      <c r="A346" t="str">
        <v>Levoglucosan</v>
      </c>
      <c r="B346" t="str">
        <v>SSEMG_STA_IS_20260227_1600</v>
      </c>
      <c r="C346" t="str">
        <f>IF(A346='Label IDs'!$Q$1,FILLME!$E$6,IF(A346='Label IDs'!$R$1,FILLME!$E$8,IF(A346='Label IDs'!$S$1,FILLME!$E$9,IF(A346='Label IDs'!$T$1,FILLME!$E$10,IF(A346='Label IDs'!$U$1,FILLME!$E$11)))))</f>
        <v>LV</v>
      </c>
    </row>
    <row r="347" spans="1:3" x14ac:dyDescent="0.25">
      <c r="A347" t="str">
        <v>Levoglucosan</v>
      </c>
      <c r="B347" t="str">
        <v>SSEMG_STA_IS_20260227_1800</v>
      </c>
      <c r="C347" t="str">
        <f>IF(A347='Label IDs'!$Q$1,FILLME!$E$6,IF(A347='Label IDs'!$R$1,FILLME!$E$8,IF(A347='Label IDs'!$S$1,FILLME!$E$9,IF(A347='Label IDs'!$T$1,FILLME!$E$10,IF(A347='Label IDs'!$U$1,FILLME!$E$11)))))</f>
        <v>LV</v>
      </c>
    </row>
    <row r="348" spans="1:3" x14ac:dyDescent="0.25">
      <c r="A348" t="str">
        <v>Levoglucosan</v>
      </c>
      <c r="B348" t="str">
        <v>SSEMG_STA_IS_20260227_2000</v>
      </c>
      <c r="C348" t="str">
        <f>IF(A348='Label IDs'!$Q$1,FILLME!$E$6,IF(A348='Label IDs'!$R$1,FILLME!$E$8,IF(A348='Label IDs'!$S$1,FILLME!$E$9,IF(A348='Label IDs'!$T$1,FILLME!$E$10,IF(A348='Label IDs'!$U$1,FILLME!$E$11)))))</f>
        <v>LV</v>
      </c>
    </row>
    <row r="349" spans="1:3" x14ac:dyDescent="0.25">
      <c r="A349" t="str">
        <v>Levoglucosan</v>
      </c>
      <c r="B349" t="str">
        <v>SSEMG_STA_IS_20260227_2200</v>
      </c>
      <c r="C349" t="str">
        <f>IF(A349='Label IDs'!$Q$1,FILLME!$E$6,IF(A349='Label IDs'!$R$1,FILLME!$E$8,IF(A349='Label IDs'!$S$1,FILLME!$E$9,IF(A349='Label IDs'!$T$1,FILLME!$E$10,IF(A349='Label IDs'!$U$1,FILLME!$E$11)))))</f>
        <v>LV</v>
      </c>
    </row>
    <row r="350" spans="1:3" x14ac:dyDescent="0.25">
      <c r="A350" t="str">
        <v>Levoglucosan</v>
      </c>
      <c r="B350" t="str">
        <v>SSEMG_STA_IS_20260228_0000</v>
      </c>
      <c r="C350" t="str">
        <f>IF(A350='Label IDs'!$Q$1,FILLME!$E$6,IF(A350='Label IDs'!$R$1,FILLME!$E$8,IF(A350='Label IDs'!$S$1,FILLME!$E$9,IF(A350='Label IDs'!$T$1,FILLME!$E$10,IF(A350='Label IDs'!$U$1,FILLME!$E$11)))))</f>
        <v>LV</v>
      </c>
    </row>
    <row r="351" spans="1:3" x14ac:dyDescent="0.25">
      <c r="A351" t="str">
        <v>Levoglucosan</v>
      </c>
      <c r="B351" t="str">
        <v>SSEMG_STA_IS_20260228_0200</v>
      </c>
      <c r="C351" t="str">
        <f>IF(A351='Label IDs'!$Q$1,FILLME!$E$6,IF(A351='Label IDs'!$R$1,FILLME!$E$8,IF(A351='Label IDs'!$S$1,FILLME!$E$9,IF(A351='Label IDs'!$T$1,FILLME!$E$10,IF(A351='Label IDs'!$U$1,FILLME!$E$11)))))</f>
        <v>LV</v>
      </c>
    </row>
    <row r="352" spans="1:3" x14ac:dyDescent="0.25">
      <c r="A352" t="str">
        <v>Levoglucosan</v>
      </c>
      <c r="B352" t="str">
        <v>SSEMG_STA_IS_20260228_0400</v>
      </c>
      <c r="C352" t="str">
        <f>IF(A352='Label IDs'!$Q$1,FILLME!$E$6,IF(A352='Label IDs'!$R$1,FILLME!$E$8,IF(A352='Label IDs'!$S$1,FILLME!$E$9,IF(A352='Label IDs'!$T$1,FILLME!$E$10,IF(A352='Label IDs'!$U$1,FILLME!$E$11)))))</f>
        <v>LV</v>
      </c>
    </row>
    <row r="353" spans="1:3" x14ac:dyDescent="0.25">
      <c r="A353" t="str">
        <v>Levoglucosan</v>
      </c>
      <c r="B353" t="str">
        <v>SSEMG_STA_IS_20260228_0600</v>
      </c>
      <c r="C353" t="str">
        <f>IF(A353='Label IDs'!$Q$1,FILLME!$E$6,IF(A353='Label IDs'!$R$1,FILLME!$E$8,IF(A353='Label IDs'!$S$1,FILLME!$E$9,IF(A353='Label IDs'!$T$1,FILLME!$E$10,IF(A353='Label IDs'!$U$1,FILLME!$E$11)))))</f>
        <v>LV</v>
      </c>
    </row>
    <row r="354" spans="1:3" x14ac:dyDescent="0.25">
      <c r="A354" t="str">
        <v>Levoglucosan</v>
      </c>
      <c r="B354" t="str">
        <v>SSEMG_STA_IS_20260228_0800</v>
      </c>
      <c r="C354" t="str">
        <f>IF(A354='Label IDs'!$Q$1,FILLME!$E$6,IF(A354='Label IDs'!$R$1,FILLME!$E$8,IF(A354='Label IDs'!$S$1,FILLME!$E$9,IF(A354='Label IDs'!$T$1,FILLME!$E$10,IF(A354='Label IDs'!$U$1,FILLME!$E$11)))))</f>
        <v>LV</v>
      </c>
    </row>
    <row r="355" spans="1:3" x14ac:dyDescent="0.25">
      <c r="A355" t="str">
        <v>Levoglucosan</v>
      </c>
      <c r="B355" t="str">
        <v>SSEMG_STA_IS_20260228_1000</v>
      </c>
      <c r="C355" t="str">
        <f>IF(A355='Label IDs'!$Q$1,FILLME!$E$6,IF(A355='Label IDs'!$R$1,FILLME!$E$8,IF(A355='Label IDs'!$S$1,FILLME!$E$9,IF(A355='Label IDs'!$T$1,FILLME!$E$10,IF(A355='Label IDs'!$U$1,FILLME!$E$11)))))</f>
        <v>LV</v>
      </c>
    </row>
    <row r="356" spans="1:3" x14ac:dyDescent="0.25">
      <c r="A356" t="str">
        <v>Levoglucosan</v>
      </c>
      <c r="B356" t="str">
        <v>SSEMG_STA_IS_20260228_1200</v>
      </c>
      <c r="C356" t="str">
        <f>IF(A356='Label IDs'!$Q$1,FILLME!$E$6,IF(A356='Label IDs'!$R$1,FILLME!$E$8,IF(A356='Label IDs'!$S$1,FILLME!$E$9,IF(A356='Label IDs'!$T$1,FILLME!$E$10,IF(A356='Label IDs'!$U$1,FILLME!$E$11)))))</f>
        <v>LV</v>
      </c>
    </row>
    <row r="357" spans="1:3" x14ac:dyDescent="0.25">
      <c r="A357" t="str">
        <v>Levoglucosan</v>
      </c>
      <c r="B357" t="str">
        <v>SSEMG_STA_IS_20260228_1400</v>
      </c>
      <c r="C357" t="str">
        <f>IF(A357='Label IDs'!$Q$1,FILLME!$E$6,IF(A357='Label IDs'!$R$1,FILLME!$E$8,IF(A357='Label IDs'!$S$1,FILLME!$E$9,IF(A357='Label IDs'!$T$1,FILLME!$E$10,IF(A357='Label IDs'!$U$1,FILLME!$E$11)))))</f>
        <v>LV</v>
      </c>
    </row>
    <row r="358" spans="1:3" x14ac:dyDescent="0.25">
      <c r="A358" t="str">
        <v>Levoglucosan</v>
      </c>
      <c r="B358" t="str">
        <v>SSEMG_STA_IS_20260228_1600</v>
      </c>
      <c r="C358" t="str">
        <f>IF(A358='Label IDs'!$Q$1,FILLME!$E$6,IF(A358='Label IDs'!$R$1,FILLME!$E$8,IF(A358='Label IDs'!$S$1,FILLME!$E$9,IF(A358='Label IDs'!$T$1,FILLME!$E$10,IF(A358='Label IDs'!$U$1,FILLME!$E$11)))))</f>
        <v>LV</v>
      </c>
    </row>
    <row r="359" spans="1:3" x14ac:dyDescent="0.25">
      <c r="A359" t="str">
        <v>Levoglucosan</v>
      </c>
      <c r="B359" t="str">
        <v>SSEMG_STA_IS_20260228_1800</v>
      </c>
      <c r="C359" t="str">
        <f>IF(A359='Label IDs'!$Q$1,FILLME!$E$6,IF(A359='Label IDs'!$R$1,FILLME!$E$8,IF(A359='Label IDs'!$S$1,FILLME!$E$9,IF(A359='Label IDs'!$T$1,FILLME!$E$10,IF(A359='Label IDs'!$U$1,FILLME!$E$11)))))</f>
        <v>LV</v>
      </c>
    </row>
    <row r="360" spans="1:3" x14ac:dyDescent="0.25">
      <c r="A360" t="str">
        <v>Levoglucosan</v>
      </c>
      <c r="B360" t="str">
        <v>SSEMG_STA_IS_20260228_2000</v>
      </c>
      <c r="C360" t="str">
        <f>IF(A360='Label IDs'!$Q$1,FILLME!$E$6,IF(A360='Label IDs'!$R$1,FILLME!$E$8,IF(A360='Label IDs'!$S$1,FILLME!$E$9,IF(A360='Label IDs'!$T$1,FILLME!$E$10,IF(A360='Label IDs'!$U$1,FILLME!$E$11)))))</f>
        <v>LV</v>
      </c>
    </row>
    <row r="361" spans="1:3" x14ac:dyDescent="0.25">
      <c r="A361" t="str">
        <v>Levoglucosan</v>
      </c>
      <c r="B361" t="str">
        <v>SSEMG_STA_IS_20260228_2200</v>
      </c>
      <c r="C361" t="str">
        <f>IF(A361='Label IDs'!$Q$1,FILLME!$E$6,IF(A361='Label IDs'!$R$1,FILLME!$E$8,IF(A361='Label IDs'!$S$1,FILLME!$E$9,IF(A361='Label IDs'!$T$1,FILLME!$E$10,IF(A361='Label IDs'!$U$1,FILLME!$E$11)))))</f>
        <v>LV</v>
      </c>
    </row>
    <row r="362" spans="1:3" x14ac:dyDescent="0.25">
      <c r="A362" t="str">
        <v>Levoglucosan</v>
      </c>
      <c r="B362" t="str">
        <v>SSEMG_STA_IS_20260301_0000</v>
      </c>
      <c r="C362" t="str">
        <f>IF(A362='Label IDs'!$Q$1,FILLME!$E$6,IF(A362='Label IDs'!$R$1,FILLME!$E$8,IF(A362='Label IDs'!$S$1,FILLME!$E$9,IF(A362='Label IDs'!$T$1,FILLME!$E$10,IF(A362='Label IDs'!$U$1,FILLME!$E$11)))))</f>
        <v>LV</v>
      </c>
    </row>
    <row r="363" spans="1:3" x14ac:dyDescent="0.25">
      <c r="A363" t="str">
        <v>Levoglucosan</v>
      </c>
      <c r="B363" t="str">
        <v>SSEMG_STA_IS_20260301_0200</v>
      </c>
      <c r="C363" t="str">
        <f>IF(A363='Label IDs'!$Q$1,FILLME!$E$6,IF(A363='Label IDs'!$R$1,FILLME!$E$8,IF(A363='Label IDs'!$S$1,FILLME!$E$9,IF(A363='Label IDs'!$T$1,FILLME!$E$10,IF(A363='Label IDs'!$U$1,FILLME!$E$11)))))</f>
        <v>LV</v>
      </c>
    </row>
    <row r="364" spans="1:3" x14ac:dyDescent="0.25">
      <c r="A364" t="str">
        <v>Levoglucosan</v>
      </c>
      <c r="B364" t="str">
        <v>SSEMG_STA_IS_20260301_0400</v>
      </c>
      <c r="C364" t="str">
        <f>IF(A364='Label IDs'!$Q$1,FILLME!$E$6,IF(A364='Label IDs'!$R$1,FILLME!$E$8,IF(A364='Label IDs'!$S$1,FILLME!$E$9,IF(A364='Label IDs'!$T$1,FILLME!$E$10,IF(A364='Label IDs'!$U$1,FILLME!$E$11)))))</f>
        <v>LV</v>
      </c>
    </row>
    <row r="365" spans="1:3" x14ac:dyDescent="0.25">
      <c r="A365" t="str">
        <v>Levoglucosan</v>
      </c>
      <c r="B365" t="str">
        <v>SSEMG_STA_IS_20260301_0600</v>
      </c>
      <c r="C365" t="str">
        <f>IF(A365='Label IDs'!$Q$1,FILLME!$E$6,IF(A365='Label IDs'!$R$1,FILLME!$E$8,IF(A365='Label IDs'!$S$1,FILLME!$E$9,IF(A365='Label IDs'!$T$1,FILLME!$E$10,IF(A365='Label IDs'!$U$1,FILLME!$E$11)))))</f>
        <v>LV</v>
      </c>
    </row>
    <row r="366" spans="1:3" x14ac:dyDescent="0.25">
      <c r="A366" t="str">
        <v>Levoglucosan</v>
      </c>
      <c r="B366" t="str">
        <v>SSEMG_STA_IS_20260301_0800</v>
      </c>
      <c r="C366" t="str">
        <f>IF(A366='Label IDs'!$Q$1,FILLME!$E$6,IF(A366='Label IDs'!$R$1,FILLME!$E$8,IF(A366='Label IDs'!$S$1,FILLME!$E$9,IF(A366='Label IDs'!$T$1,FILLME!$E$10,IF(A366='Label IDs'!$U$1,FILLME!$E$11)))))</f>
        <v>LV</v>
      </c>
    </row>
    <row r="367" spans="1:3" x14ac:dyDescent="0.25">
      <c r="A367" t="str">
        <v>Levoglucosan</v>
      </c>
      <c r="B367" t="str">
        <v>SSEMG_STA_IS_20260301_1000</v>
      </c>
      <c r="C367" t="str">
        <f>IF(A367='Label IDs'!$Q$1,FILLME!$E$6,IF(A367='Label IDs'!$R$1,FILLME!$E$8,IF(A367='Label IDs'!$S$1,FILLME!$E$9,IF(A367='Label IDs'!$T$1,FILLME!$E$10,IF(A367='Label IDs'!$U$1,FILLME!$E$11)))))</f>
        <v>LV</v>
      </c>
    </row>
    <row r="368" spans="1:3" x14ac:dyDescent="0.25">
      <c r="A368" t="str">
        <v>Levoglucosan</v>
      </c>
      <c r="B368" t="str">
        <v>SSEMG_STA_IS_20260301_1200</v>
      </c>
      <c r="C368" t="str">
        <f>IF(A368='Label IDs'!$Q$1,FILLME!$E$6,IF(A368='Label IDs'!$R$1,FILLME!$E$8,IF(A368='Label IDs'!$S$1,FILLME!$E$9,IF(A368='Label IDs'!$T$1,FILLME!$E$10,IF(A368='Label IDs'!$U$1,FILLME!$E$11)))))</f>
        <v>LV</v>
      </c>
    </row>
    <row r="369" spans="1:3" x14ac:dyDescent="0.25">
      <c r="A369" t="str">
        <v>Levoglucosan</v>
      </c>
      <c r="B369" t="str">
        <v>SSEMG_STA_IS_20260301_1400</v>
      </c>
      <c r="C369" t="str">
        <f>IF(A369='Label IDs'!$Q$1,FILLME!$E$6,IF(A369='Label IDs'!$R$1,FILLME!$E$8,IF(A369='Label IDs'!$S$1,FILLME!$E$9,IF(A369='Label IDs'!$T$1,FILLME!$E$10,IF(A369='Label IDs'!$U$1,FILLME!$E$11)))))</f>
        <v>LV</v>
      </c>
    </row>
    <row r="370" spans="1:3" x14ac:dyDescent="0.25">
      <c r="A370" t="str">
        <v>Levoglucosan</v>
      </c>
      <c r="B370" t="str">
        <v>SSEMG_STA_IS_20260301_1600</v>
      </c>
      <c r="C370" t="str">
        <f>IF(A370='Label IDs'!$Q$1,FILLME!$E$6,IF(A370='Label IDs'!$R$1,FILLME!$E$8,IF(A370='Label IDs'!$S$1,FILLME!$E$9,IF(A370='Label IDs'!$T$1,FILLME!$E$10,IF(A370='Label IDs'!$U$1,FILLME!$E$11)))))</f>
        <v>LV</v>
      </c>
    </row>
    <row r="371" spans="1:3" x14ac:dyDescent="0.25">
      <c r="A371" t="str">
        <v>Levoglucosan</v>
      </c>
      <c r="B371" t="str">
        <v>SSEMG_STA_IS_20260301_1800</v>
      </c>
      <c r="C371" t="str">
        <f>IF(A371='Label IDs'!$Q$1,FILLME!$E$6,IF(A371='Label IDs'!$R$1,FILLME!$E$8,IF(A371='Label IDs'!$S$1,FILLME!$E$9,IF(A371='Label IDs'!$T$1,FILLME!$E$10,IF(A371='Label IDs'!$U$1,FILLME!$E$11)))))</f>
        <v>LV</v>
      </c>
    </row>
    <row r="372" spans="1:3" x14ac:dyDescent="0.25">
      <c r="A372" t="str">
        <v>Levoglucosan</v>
      </c>
      <c r="B372" t="str">
        <v>SSEMG_STA_IS_20260301_2000</v>
      </c>
      <c r="C372" t="str">
        <f>IF(A372='Label IDs'!$Q$1,FILLME!$E$6,IF(A372='Label IDs'!$R$1,FILLME!$E$8,IF(A372='Label IDs'!$S$1,FILLME!$E$9,IF(A372='Label IDs'!$T$1,FILLME!$E$10,IF(A372='Label IDs'!$U$1,FILLME!$E$11)))))</f>
        <v>LV</v>
      </c>
    </row>
    <row r="373" spans="1:3" x14ac:dyDescent="0.25">
      <c r="A373" t="str">
        <v>Levoglucosan</v>
      </c>
      <c r="B373" t="str">
        <v>SSEMG_STA_IS_20260301_2200</v>
      </c>
      <c r="C373" t="str">
        <f>IF(A373='Label IDs'!$Q$1,FILLME!$E$6,IF(A373='Label IDs'!$R$1,FILLME!$E$8,IF(A373='Label IDs'!$S$1,FILLME!$E$9,IF(A373='Label IDs'!$T$1,FILLME!$E$10,IF(A373='Label IDs'!$U$1,FILLME!$E$11)))))</f>
        <v>LV</v>
      </c>
    </row>
    <row r="374" spans="1:3" x14ac:dyDescent="0.25">
      <c r="A374" t="str">
        <v>Levoglucosan</v>
      </c>
      <c r="B374" t="str">
        <v>SSEMG_STA_IS_20260302_0000</v>
      </c>
      <c r="C374" t="str">
        <f>IF(A374='Label IDs'!$Q$1,FILLME!$E$6,IF(A374='Label IDs'!$R$1,FILLME!$E$8,IF(A374='Label IDs'!$S$1,FILLME!$E$9,IF(A374='Label IDs'!$T$1,FILLME!$E$10,IF(A374='Label IDs'!$U$1,FILLME!$E$11)))))</f>
        <v>LV</v>
      </c>
    </row>
    <row r="375" spans="1:3" x14ac:dyDescent="0.25">
      <c r="A375" t="str">
        <v>Levoglucosan</v>
      </c>
      <c r="B375" t="str">
        <v>SSEMG_STA_IS_20260302_0200</v>
      </c>
      <c r="C375" t="str">
        <f>IF(A375='Label IDs'!$Q$1,FILLME!$E$6,IF(A375='Label IDs'!$R$1,FILLME!$E$8,IF(A375='Label IDs'!$S$1,FILLME!$E$9,IF(A375='Label IDs'!$T$1,FILLME!$E$10,IF(A375='Label IDs'!$U$1,FILLME!$E$11)))))</f>
        <v>LV</v>
      </c>
    </row>
    <row r="376" spans="1:3" x14ac:dyDescent="0.25">
      <c r="A376" t="str">
        <v>Levoglucosan</v>
      </c>
      <c r="B376" t="str">
        <v>SSEMG_STA_IS_20260302_0400</v>
      </c>
      <c r="C376" t="str">
        <f>IF(A376='Label IDs'!$Q$1,FILLME!$E$6,IF(A376='Label IDs'!$R$1,FILLME!$E$8,IF(A376='Label IDs'!$S$1,FILLME!$E$9,IF(A376='Label IDs'!$T$1,FILLME!$E$10,IF(A376='Label IDs'!$U$1,FILLME!$E$11)))))</f>
        <v>LV</v>
      </c>
    </row>
    <row r="377" spans="1:3" x14ac:dyDescent="0.25">
      <c r="A377" t="str">
        <v>Levoglucosan</v>
      </c>
      <c r="B377" t="str">
        <v>SSEMG_STA_IS_20260302_0600</v>
      </c>
      <c r="C377" t="str">
        <f>IF(A377='Label IDs'!$Q$1,FILLME!$E$6,IF(A377='Label IDs'!$R$1,FILLME!$E$8,IF(A377='Label IDs'!$S$1,FILLME!$E$9,IF(A377='Label IDs'!$T$1,FILLME!$E$10,IF(A377='Label IDs'!$U$1,FILLME!$E$11)))))</f>
        <v>LV</v>
      </c>
    </row>
    <row r="378" spans="1:3" x14ac:dyDescent="0.25">
      <c r="A378" t="str">
        <v>Levoglucosan</v>
      </c>
      <c r="B378" t="str">
        <v>SSEMG_STA_IS_20260302_0800</v>
      </c>
      <c r="C378" t="str">
        <f>IF(A378='Label IDs'!$Q$1,FILLME!$E$6,IF(A378='Label IDs'!$R$1,FILLME!$E$8,IF(A378='Label IDs'!$S$1,FILLME!$E$9,IF(A378='Label IDs'!$T$1,FILLME!$E$10,IF(A378='Label IDs'!$U$1,FILLME!$E$11)))))</f>
        <v>LV</v>
      </c>
    </row>
    <row r="379" spans="1:3" x14ac:dyDescent="0.25">
      <c r="A379" t="str">
        <v>Levoglucosan</v>
      </c>
      <c r="B379" t="str">
        <v>SSEMG_STA_IS_20260302_1000</v>
      </c>
      <c r="C379" t="str">
        <f>IF(A379='Label IDs'!$Q$1,FILLME!$E$6,IF(A379='Label IDs'!$R$1,FILLME!$E$8,IF(A379='Label IDs'!$S$1,FILLME!$E$9,IF(A379='Label IDs'!$T$1,FILLME!$E$10,IF(A379='Label IDs'!$U$1,FILLME!$E$11)))))</f>
        <v>LV</v>
      </c>
    </row>
    <row r="380" spans="1:3" x14ac:dyDescent="0.25">
      <c r="A380" t="str">
        <v>Levoglucosan</v>
      </c>
      <c r="B380" t="str">
        <v>SSEMG_STA_IS_20260302_1200</v>
      </c>
      <c r="C380" t="str">
        <f>IF(A380='Label IDs'!$Q$1,FILLME!$E$6,IF(A380='Label IDs'!$R$1,FILLME!$E$8,IF(A380='Label IDs'!$S$1,FILLME!$E$9,IF(A380='Label IDs'!$T$1,FILLME!$E$10,IF(A380='Label IDs'!$U$1,FILLME!$E$11)))))</f>
        <v>LV</v>
      </c>
    </row>
    <row r="381" spans="1:3" x14ac:dyDescent="0.25">
      <c r="A381" t="str">
        <v>Levoglucosan</v>
      </c>
      <c r="B381" t="str">
        <v>SSEMG_STA_IS_20260302_1400</v>
      </c>
      <c r="C381" t="str">
        <f>IF(A381='Label IDs'!$Q$1,FILLME!$E$6,IF(A381='Label IDs'!$R$1,FILLME!$E$8,IF(A381='Label IDs'!$S$1,FILLME!$E$9,IF(A381='Label IDs'!$T$1,FILLME!$E$10,IF(A381='Label IDs'!$U$1,FILLME!$E$11)))))</f>
        <v>LV</v>
      </c>
    </row>
    <row r="382" spans="1:3" x14ac:dyDescent="0.25">
      <c r="A382" t="str">
        <v>Levoglucosan</v>
      </c>
      <c r="B382" t="str">
        <v>SSEMG_STA_IS_20260302_1600</v>
      </c>
      <c r="C382" t="str">
        <f>IF(A382='Label IDs'!$Q$1,FILLME!$E$6,IF(A382='Label IDs'!$R$1,FILLME!$E$8,IF(A382='Label IDs'!$S$1,FILLME!$E$9,IF(A382='Label IDs'!$T$1,FILLME!$E$10,IF(A382='Label IDs'!$U$1,FILLME!$E$11)))))</f>
        <v>LV</v>
      </c>
    </row>
    <row r="383" spans="1:3" x14ac:dyDescent="0.25">
      <c r="A383" t="str">
        <v>Levoglucosan</v>
      </c>
      <c r="B383" t="str">
        <v>SSEMG_STA_IS_20260302_1800</v>
      </c>
      <c r="C383" t="str">
        <f>IF(A383='Label IDs'!$Q$1,FILLME!$E$6,IF(A383='Label IDs'!$R$1,FILLME!$E$8,IF(A383='Label IDs'!$S$1,FILLME!$E$9,IF(A383='Label IDs'!$T$1,FILLME!$E$10,IF(A383='Label IDs'!$U$1,FILLME!$E$11)))))</f>
        <v>LV</v>
      </c>
    </row>
    <row r="384" spans="1:3" x14ac:dyDescent="0.25">
      <c r="A384" t="str">
        <v>Levoglucosan</v>
      </c>
      <c r="B384" t="str">
        <v>SSEMG_STA_IS_20260302_2000</v>
      </c>
      <c r="C384" t="str">
        <f>IF(A384='Label IDs'!$Q$1,FILLME!$E$6,IF(A384='Label IDs'!$R$1,FILLME!$E$8,IF(A384='Label IDs'!$S$1,FILLME!$E$9,IF(A384='Label IDs'!$T$1,FILLME!$E$10,IF(A384='Label IDs'!$U$1,FILLME!$E$11)))))</f>
        <v>LV</v>
      </c>
    </row>
    <row r="385" spans="1:3" x14ac:dyDescent="0.25">
      <c r="A385" t="str">
        <v>Levoglucosan</v>
      </c>
      <c r="B385" t="str">
        <v>SSEMG_STA_IS_20260302_2200</v>
      </c>
      <c r="C385" t="str">
        <f>IF(A385='Label IDs'!$Q$1,FILLME!$E$6,IF(A385='Label IDs'!$R$1,FILLME!$E$8,IF(A385='Label IDs'!$S$1,FILLME!$E$9,IF(A385='Label IDs'!$T$1,FILLME!$E$10,IF(A385='Label IDs'!$U$1,FILLME!$E$11)))))</f>
        <v>LV</v>
      </c>
    </row>
    <row r="386" spans="1:3" x14ac:dyDescent="0.25">
      <c r="A386" t="str">
        <v>Levoglucosan</v>
      </c>
      <c r="B386" t="str">
        <v>SSEMG_STA_IS_20260303_0000</v>
      </c>
      <c r="C386" t="str">
        <f>IF(A386='Label IDs'!$Q$1,FILLME!$E$6,IF(A386='Label IDs'!$R$1,FILLME!$E$8,IF(A386='Label IDs'!$S$1,FILLME!$E$9,IF(A386='Label IDs'!$T$1,FILLME!$E$10,IF(A386='Label IDs'!$U$1,FILLME!$E$11)))))</f>
        <v>LV</v>
      </c>
    </row>
    <row r="387" spans="1:3" x14ac:dyDescent="0.25">
      <c r="A387" t="str">
        <v>Levoglucosan</v>
      </c>
      <c r="B387" t="str">
        <v>SSEMG_STA_IS_20260303_0200</v>
      </c>
      <c r="C387" t="str">
        <f>IF(A387='Label IDs'!$Q$1,FILLME!$E$6,IF(A387='Label IDs'!$R$1,FILLME!$E$8,IF(A387='Label IDs'!$S$1,FILLME!$E$9,IF(A387='Label IDs'!$T$1,FILLME!$E$10,IF(A387='Label IDs'!$U$1,FILLME!$E$11)))))</f>
        <v>LV</v>
      </c>
    </row>
    <row r="388" spans="1:3" x14ac:dyDescent="0.25">
      <c r="A388" t="str">
        <v>Levoglucosan</v>
      </c>
      <c r="B388" t="str">
        <v>SSEMG_STA_IS_20260303_0400</v>
      </c>
      <c r="C388" t="str">
        <f>IF(A388='Label IDs'!$Q$1,FILLME!$E$6,IF(A388='Label IDs'!$R$1,FILLME!$E$8,IF(A388='Label IDs'!$S$1,FILLME!$E$9,IF(A388='Label IDs'!$T$1,FILLME!$E$10,IF(A388='Label IDs'!$U$1,FILLME!$E$11)))))</f>
        <v>LV</v>
      </c>
    </row>
    <row r="389" spans="1:3" x14ac:dyDescent="0.25">
      <c r="A389" t="str">
        <v>Levoglucosan</v>
      </c>
      <c r="B389" t="str">
        <v>SSEMG_STA_IS_20260303_0600</v>
      </c>
      <c r="C389" t="str">
        <f>IF(A389='Label IDs'!$Q$1,FILLME!$E$6,IF(A389='Label IDs'!$R$1,FILLME!$E$8,IF(A389='Label IDs'!$S$1,FILLME!$E$9,IF(A389='Label IDs'!$T$1,FILLME!$E$10,IF(A389='Label IDs'!$U$1,FILLME!$E$11)))))</f>
        <v>LV</v>
      </c>
    </row>
    <row r="390" spans="1:3" x14ac:dyDescent="0.25">
      <c r="A390" t="str">
        <v>Levoglucosan</v>
      </c>
      <c r="B390" t="str">
        <v>SSEMG_STA_IS_20260303_0800</v>
      </c>
      <c r="C390" t="str">
        <f>IF(A390='Label IDs'!$Q$1,FILLME!$E$6,IF(A390='Label IDs'!$R$1,FILLME!$E$8,IF(A390='Label IDs'!$S$1,FILLME!$E$9,IF(A390='Label IDs'!$T$1,FILLME!$E$10,IF(A390='Label IDs'!$U$1,FILLME!$E$11)))))</f>
        <v>LV</v>
      </c>
    </row>
    <row r="391" spans="1:3" x14ac:dyDescent="0.25">
      <c r="A391" t="str">
        <v>Levoglucosan</v>
      </c>
      <c r="B391" t="str">
        <v>SSEMG_STA_IS_20260303_1000</v>
      </c>
      <c r="C391" t="str">
        <f>IF(A391='Label IDs'!$Q$1,FILLME!$E$6,IF(A391='Label IDs'!$R$1,FILLME!$E$8,IF(A391='Label IDs'!$S$1,FILLME!$E$9,IF(A391='Label IDs'!$T$1,FILLME!$E$10,IF(A391='Label IDs'!$U$1,FILLME!$E$11)))))</f>
        <v>LV</v>
      </c>
    </row>
    <row r="392" spans="1:3" x14ac:dyDescent="0.25">
      <c r="A392" t="str">
        <v>Levoglucosan</v>
      </c>
      <c r="B392" t="str">
        <v>SSEMG_STA_IS_20260303_1200</v>
      </c>
      <c r="C392" t="str">
        <f>IF(A392='Label IDs'!$Q$1,FILLME!$E$6,IF(A392='Label IDs'!$R$1,FILLME!$E$8,IF(A392='Label IDs'!$S$1,FILLME!$E$9,IF(A392='Label IDs'!$T$1,FILLME!$E$10,IF(A392='Label IDs'!$U$1,FILLME!$E$11)))))</f>
        <v>LV</v>
      </c>
    </row>
    <row r="393" spans="1:3" x14ac:dyDescent="0.25">
      <c r="A393" t="str">
        <v>Levoglucosan</v>
      </c>
      <c r="B393" t="str">
        <v>SSEMG_STA_IS_20260303_1400</v>
      </c>
      <c r="C393" t="str">
        <f>IF(A393='Label IDs'!$Q$1,FILLME!$E$6,IF(A393='Label IDs'!$R$1,FILLME!$E$8,IF(A393='Label IDs'!$S$1,FILLME!$E$9,IF(A393='Label IDs'!$T$1,FILLME!$E$10,IF(A393='Label IDs'!$U$1,FILLME!$E$11)))))</f>
        <v>LV</v>
      </c>
    </row>
    <row r="394" spans="1:3" x14ac:dyDescent="0.25">
      <c r="A394" t="str">
        <v>Levoglucosan</v>
      </c>
      <c r="B394" t="str">
        <v>SSEMG_STA_IS_20260303_1600</v>
      </c>
      <c r="C394" t="str">
        <f>IF(A394='Label IDs'!$Q$1,FILLME!$E$6,IF(A394='Label IDs'!$R$1,FILLME!$E$8,IF(A394='Label IDs'!$S$1,FILLME!$E$9,IF(A394='Label IDs'!$T$1,FILLME!$E$10,IF(A394='Label IDs'!$U$1,FILLME!$E$11)))))</f>
        <v>LV</v>
      </c>
    </row>
    <row r="395" spans="1:3" x14ac:dyDescent="0.25">
      <c r="A395" t="str">
        <v>Levoglucosan</v>
      </c>
      <c r="B395" t="str">
        <v>SSEMG_STA_IS_20260303_1800</v>
      </c>
      <c r="C395" t="str">
        <f>IF(A395='Label IDs'!$Q$1,FILLME!$E$6,IF(A395='Label IDs'!$R$1,FILLME!$E$8,IF(A395='Label IDs'!$S$1,FILLME!$E$9,IF(A395='Label IDs'!$T$1,FILLME!$E$10,IF(A395='Label IDs'!$U$1,FILLME!$E$11)))))</f>
        <v>LV</v>
      </c>
    </row>
    <row r="396" spans="1:3" x14ac:dyDescent="0.25">
      <c r="A396" t="str">
        <v>Levoglucosan</v>
      </c>
      <c r="B396" t="str">
        <v>SSEMG_STA_IS_20260303_2000</v>
      </c>
      <c r="C396" t="str">
        <f>IF(A396='Label IDs'!$Q$1,FILLME!$E$6,IF(A396='Label IDs'!$R$1,FILLME!$E$8,IF(A396='Label IDs'!$S$1,FILLME!$E$9,IF(A396='Label IDs'!$T$1,FILLME!$E$10,IF(A396='Label IDs'!$U$1,FILLME!$E$11)))))</f>
        <v>LV</v>
      </c>
    </row>
    <row r="397" spans="1:3" x14ac:dyDescent="0.25">
      <c r="A397" t="str">
        <v>Levoglucosan</v>
      </c>
      <c r="B397" t="str">
        <v>SSEMG_STA_IS_20260303_2200</v>
      </c>
      <c r="C397" t="str">
        <f>IF(A397='Label IDs'!$Q$1,FILLME!$E$6,IF(A397='Label IDs'!$R$1,FILLME!$E$8,IF(A397='Label IDs'!$S$1,FILLME!$E$9,IF(A397='Label IDs'!$T$1,FILLME!$E$10,IF(A397='Label IDs'!$U$1,FILLME!$E$11)))))</f>
        <v>LV</v>
      </c>
    </row>
    <row r="398" spans="1:3" x14ac:dyDescent="0.25">
      <c r="A398" t="str">
        <v>Levoglucosan</v>
      </c>
      <c r="B398" t="str">
        <v>SSEMG_STA_IS_20260304_0000</v>
      </c>
      <c r="C398" t="str">
        <f>IF(A398='Label IDs'!$Q$1,FILLME!$E$6,IF(A398='Label IDs'!$R$1,FILLME!$E$8,IF(A398='Label IDs'!$S$1,FILLME!$E$9,IF(A398='Label IDs'!$T$1,FILLME!$E$10,IF(A398='Label IDs'!$U$1,FILLME!$E$11)))))</f>
        <v>LV</v>
      </c>
    </row>
    <row r="399" spans="1:3" x14ac:dyDescent="0.25">
      <c r="A399" t="str">
        <v>Levoglucosan</v>
      </c>
      <c r="B399" t="str">
        <v>SSEMG_STA_IS_20260304_0200</v>
      </c>
      <c r="C399" t="str">
        <f>IF(A399='Label IDs'!$Q$1,FILLME!$E$6,IF(A399='Label IDs'!$R$1,FILLME!$E$8,IF(A399='Label IDs'!$S$1,FILLME!$E$9,IF(A399='Label IDs'!$T$1,FILLME!$E$10,IF(A399='Label IDs'!$U$1,FILLME!$E$11)))))</f>
        <v>LV</v>
      </c>
    </row>
    <row r="400" spans="1:3" x14ac:dyDescent="0.25">
      <c r="A400" t="str">
        <v>Levoglucosan</v>
      </c>
      <c r="B400" t="str">
        <v>SSEMG_STA_IS_20260304_0400</v>
      </c>
      <c r="C400" t="str">
        <f>IF(A400='Label IDs'!$Q$1,FILLME!$E$6,IF(A400='Label IDs'!$R$1,FILLME!$E$8,IF(A400='Label IDs'!$S$1,FILLME!$E$9,IF(A400='Label IDs'!$T$1,FILLME!$E$10,IF(A400='Label IDs'!$U$1,FILLME!$E$11)))))</f>
        <v>LV</v>
      </c>
    </row>
    <row r="401" spans="1:3" x14ac:dyDescent="0.25">
      <c r="A401" t="str">
        <v>Levoglucosan</v>
      </c>
      <c r="B401" t="str">
        <v>SSEMG_STA_IS_20260304_0600</v>
      </c>
      <c r="C401" t="str">
        <f>IF(A401='Label IDs'!$Q$1,FILLME!$E$6,IF(A401='Label IDs'!$R$1,FILLME!$E$8,IF(A401='Label IDs'!$S$1,FILLME!$E$9,IF(A401='Label IDs'!$T$1,FILLME!$E$10,IF(A401='Label IDs'!$U$1,FILLME!$E$11)))))</f>
        <v>LV</v>
      </c>
    </row>
    <row r="402" spans="1:3" x14ac:dyDescent="0.25">
      <c r="A402" t="str">
        <v>Shimadzu</v>
      </c>
      <c r="B402" t="str">
        <v>SSEMG_STA_IS_20260224_0000</v>
      </c>
      <c r="C402" t="str">
        <f>IF(A402='Label IDs'!$Q$1,FILLME!$E$6,IF(A402='Label IDs'!$R$1,FILLME!$E$8,IF(A402='Label IDs'!$S$1,FILLME!$E$9,IF(A402='Label IDs'!$T$1,FILLME!$E$10,IF(A402='Label IDs'!$U$1,FILLME!$E$11)))))</f>
        <v>CN</v>
      </c>
    </row>
    <row r="403" spans="1:3" x14ac:dyDescent="0.25">
      <c r="A403" t="str">
        <v>Shimadzu</v>
      </c>
      <c r="B403" t="str">
        <v>SSEMG_STA_IS_20260224_0200</v>
      </c>
      <c r="C403" t="str">
        <f>IF(A403='Label IDs'!$Q$1,FILLME!$E$6,IF(A403='Label IDs'!$R$1,FILLME!$E$8,IF(A403='Label IDs'!$S$1,FILLME!$E$9,IF(A403='Label IDs'!$T$1,FILLME!$E$10,IF(A403='Label IDs'!$U$1,FILLME!$E$11)))))</f>
        <v>CN</v>
      </c>
    </row>
    <row r="404" spans="1:3" x14ac:dyDescent="0.25">
      <c r="A404" t="str">
        <v>Shimadzu</v>
      </c>
      <c r="B404" t="str">
        <v>SSEMG_STA_IS_20260224_0400</v>
      </c>
      <c r="C404" t="str">
        <f>IF(A404='Label IDs'!$Q$1,FILLME!$E$6,IF(A404='Label IDs'!$R$1,FILLME!$E$8,IF(A404='Label IDs'!$S$1,FILLME!$E$9,IF(A404='Label IDs'!$T$1,FILLME!$E$10,IF(A404='Label IDs'!$U$1,FILLME!$E$11)))))</f>
        <v>CN</v>
      </c>
    </row>
    <row r="405" spans="1:3" x14ac:dyDescent="0.25">
      <c r="A405" t="str">
        <v>Shimadzu</v>
      </c>
      <c r="B405" t="str">
        <v>SSEMG_STA_IS_20260224_0600</v>
      </c>
      <c r="C405" t="str">
        <f>IF(A405='Label IDs'!$Q$1,FILLME!$E$6,IF(A405='Label IDs'!$R$1,FILLME!$E$8,IF(A405='Label IDs'!$S$1,FILLME!$E$9,IF(A405='Label IDs'!$T$1,FILLME!$E$10,IF(A405='Label IDs'!$U$1,FILLME!$E$11)))))</f>
        <v>CN</v>
      </c>
    </row>
    <row r="406" spans="1:3" x14ac:dyDescent="0.25">
      <c r="A406" t="str">
        <v>Shimadzu</v>
      </c>
      <c r="B406" t="str">
        <v>SSEMG_STA_IS_20260224_0800</v>
      </c>
      <c r="C406" t="str">
        <f>IF(A406='Label IDs'!$Q$1,FILLME!$E$6,IF(A406='Label IDs'!$R$1,FILLME!$E$8,IF(A406='Label IDs'!$S$1,FILLME!$E$9,IF(A406='Label IDs'!$T$1,FILLME!$E$10,IF(A406='Label IDs'!$U$1,FILLME!$E$11)))))</f>
        <v>CN</v>
      </c>
    </row>
    <row r="407" spans="1:3" x14ac:dyDescent="0.25">
      <c r="A407" t="str">
        <v>Shimadzu</v>
      </c>
      <c r="B407" t="str">
        <v>SSEMG_STA_IS_20260224_1000</v>
      </c>
      <c r="C407" t="str">
        <f>IF(A407='Label IDs'!$Q$1,FILLME!$E$6,IF(A407='Label IDs'!$R$1,FILLME!$E$8,IF(A407='Label IDs'!$S$1,FILLME!$E$9,IF(A407='Label IDs'!$T$1,FILLME!$E$10,IF(A407='Label IDs'!$U$1,FILLME!$E$11)))))</f>
        <v>CN</v>
      </c>
    </row>
    <row r="408" spans="1:3" x14ac:dyDescent="0.25">
      <c r="A408" t="str">
        <v>Shimadzu</v>
      </c>
      <c r="B408" t="str">
        <v>SSEMG_STA_IS_20260224_1200</v>
      </c>
      <c r="C408" t="str">
        <f>IF(A408='Label IDs'!$Q$1,FILLME!$E$6,IF(A408='Label IDs'!$R$1,FILLME!$E$8,IF(A408='Label IDs'!$S$1,FILLME!$E$9,IF(A408='Label IDs'!$T$1,FILLME!$E$10,IF(A408='Label IDs'!$U$1,FILLME!$E$11)))))</f>
        <v>CN</v>
      </c>
    </row>
    <row r="409" spans="1:3" x14ac:dyDescent="0.25">
      <c r="A409" t="str">
        <v>Shimadzu</v>
      </c>
      <c r="B409" t="str">
        <v>SSEMG_STA_IS_20260224_1400</v>
      </c>
      <c r="C409" t="str">
        <f>IF(A409='Label IDs'!$Q$1,FILLME!$E$6,IF(A409='Label IDs'!$R$1,FILLME!$E$8,IF(A409='Label IDs'!$S$1,FILLME!$E$9,IF(A409='Label IDs'!$T$1,FILLME!$E$10,IF(A409='Label IDs'!$U$1,FILLME!$E$11)))))</f>
        <v>CN</v>
      </c>
    </row>
    <row r="410" spans="1:3" x14ac:dyDescent="0.25">
      <c r="A410" t="str">
        <v>Shimadzu</v>
      </c>
      <c r="B410" t="str">
        <v>SSEMG_STA_IS_20260224_1600</v>
      </c>
      <c r="C410" t="str">
        <f>IF(A410='Label IDs'!$Q$1,FILLME!$E$6,IF(A410='Label IDs'!$R$1,FILLME!$E$8,IF(A410='Label IDs'!$S$1,FILLME!$E$9,IF(A410='Label IDs'!$T$1,FILLME!$E$10,IF(A410='Label IDs'!$U$1,FILLME!$E$11)))))</f>
        <v>CN</v>
      </c>
    </row>
    <row r="411" spans="1:3" x14ac:dyDescent="0.25">
      <c r="A411" t="str">
        <v>Shimadzu</v>
      </c>
      <c r="B411" t="str">
        <v>SSEMG_STA_IS_20260224_1800</v>
      </c>
      <c r="C411" t="str">
        <f>IF(A411='Label IDs'!$Q$1,FILLME!$E$6,IF(A411='Label IDs'!$R$1,FILLME!$E$8,IF(A411='Label IDs'!$S$1,FILLME!$E$9,IF(A411='Label IDs'!$T$1,FILLME!$E$10,IF(A411='Label IDs'!$U$1,FILLME!$E$11)))))</f>
        <v>CN</v>
      </c>
    </row>
    <row r="412" spans="1:3" x14ac:dyDescent="0.25">
      <c r="A412" t="str">
        <v>Shimadzu</v>
      </c>
      <c r="B412" t="str">
        <v>SSEMG_STA_IS_20260224_2000</v>
      </c>
      <c r="C412" t="str">
        <f>IF(A412='Label IDs'!$Q$1,FILLME!$E$6,IF(A412='Label IDs'!$R$1,FILLME!$E$8,IF(A412='Label IDs'!$S$1,FILLME!$E$9,IF(A412='Label IDs'!$T$1,FILLME!$E$10,IF(A412='Label IDs'!$U$1,FILLME!$E$11)))))</f>
        <v>CN</v>
      </c>
    </row>
    <row r="413" spans="1:3" x14ac:dyDescent="0.25">
      <c r="A413" t="str">
        <v>Shimadzu</v>
      </c>
      <c r="B413" t="str">
        <v>SSEMG_STA_IS_20260224_2200</v>
      </c>
      <c r="C413" t="str">
        <f>IF(A413='Label IDs'!$Q$1,FILLME!$E$6,IF(A413='Label IDs'!$R$1,FILLME!$E$8,IF(A413='Label IDs'!$S$1,FILLME!$E$9,IF(A413='Label IDs'!$T$1,FILLME!$E$10,IF(A413='Label IDs'!$U$1,FILLME!$E$11)))))</f>
        <v>CN</v>
      </c>
    </row>
    <row r="414" spans="1:3" x14ac:dyDescent="0.25">
      <c r="A414" t="str">
        <v>Shimadzu</v>
      </c>
      <c r="B414" t="str">
        <v>SSEMG_STA_IS_20260225_0000</v>
      </c>
      <c r="C414" t="str">
        <f>IF(A414='Label IDs'!$Q$1,FILLME!$E$6,IF(A414='Label IDs'!$R$1,FILLME!$E$8,IF(A414='Label IDs'!$S$1,FILLME!$E$9,IF(A414='Label IDs'!$T$1,FILLME!$E$10,IF(A414='Label IDs'!$U$1,FILLME!$E$11)))))</f>
        <v>CN</v>
      </c>
    </row>
    <row r="415" spans="1:3" x14ac:dyDescent="0.25">
      <c r="A415" t="str">
        <v>Shimadzu</v>
      </c>
      <c r="B415" t="str">
        <v>SSEMG_STA_IS_20260225_0200</v>
      </c>
      <c r="C415" t="str">
        <f>IF(A415='Label IDs'!$Q$1,FILLME!$E$6,IF(A415='Label IDs'!$R$1,FILLME!$E$8,IF(A415='Label IDs'!$S$1,FILLME!$E$9,IF(A415='Label IDs'!$T$1,FILLME!$E$10,IF(A415='Label IDs'!$U$1,FILLME!$E$11)))))</f>
        <v>CN</v>
      </c>
    </row>
    <row r="416" spans="1:3" x14ac:dyDescent="0.25">
      <c r="A416" t="str">
        <v>Shimadzu</v>
      </c>
      <c r="B416" t="str">
        <v>SSEMG_STA_IS_20260225_0400</v>
      </c>
      <c r="C416" t="str">
        <f>IF(A416='Label IDs'!$Q$1,FILLME!$E$6,IF(A416='Label IDs'!$R$1,FILLME!$E$8,IF(A416='Label IDs'!$S$1,FILLME!$E$9,IF(A416='Label IDs'!$T$1,FILLME!$E$10,IF(A416='Label IDs'!$U$1,FILLME!$E$11)))))</f>
        <v>CN</v>
      </c>
    </row>
    <row r="417" spans="1:3" x14ac:dyDescent="0.25">
      <c r="A417" t="str">
        <v>Shimadzu</v>
      </c>
      <c r="B417" t="str">
        <v>SSEMG_STA_IS_20260225_0600</v>
      </c>
      <c r="C417" t="str">
        <f>IF(A417='Label IDs'!$Q$1,FILLME!$E$6,IF(A417='Label IDs'!$R$1,FILLME!$E$8,IF(A417='Label IDs'!$S$1,FILLME!$E$9,IF(A417='Label IDs'!$T$1,FILLME!$E$10,IF(A417='Label IDs'!$U$1,FILLME!$E$11)))))</f>
        <v>CN</v>
      </c>
    </row>
    <row r="418" spans="1:3" x14ac:dyDescent="0.25">
      <c r="A418" t="str">
        <v>Shimadzu</v>
      </c>
      <c r="B418" t="str">
        <v>SSEMG_STA_IS_20260225_0800</v>
      </c>
      <c r="C418" t="str">
        <f>IF(A418='Label IDs'!$Q$1,FILLME!$E$6,IF(A418='Label IDs'!$R$1,FILLME!$E$8,IF(A418='Label IDs'!$S$1,FILLME!$E$9,IF(A418='Label IDs'!$T$1,FILLME!$E$10,IF(A418='Label IDs'!$U$1,FILLME!$E$11)))))</f>
        <v>CN</v>
      </c>
    </row>
    <row r="419" spans="1:3" x14ac:dyDescent="0.25">
      <c r="A419" t="str">
        <v>Shimadzu</v>
      </c>
      <c r="B419" t="str">
        <v>SSEMG_STA_IS_20260225_1000</v>
      </c>
      <c r="C419" t="str">
        <f>IF(A419='Label IDs'!$Q$1,FILLME!$E$6,IF(A419='Label IDs'!$R$1,FILLME!$E$8,IF(A419='Label IDs'!$S$1,FILLME!$E$9,IF(A419='Label IDs'!$T$1,FILLME!$E$10,IF(A419='Label IDs'!$U$1,FILLME!$E$11)))))</f>
        <v>CN</v>
      </c>
    </row>
    <row r="420" spans="1:3" x14ac:dyDescent="0.25">
      <c r="A420" t="str">
        <v>Shimadzu</v>
      </c>
      <c r="B420" t="str">
        <v>SSEMG_STA_IS_20260225_1200</v>
      </c>
      <c r="C420" t="str">
        <f>IF(A420='Label IDs'!$Q$1,FILLME!$E$6,IF(A420='Label IDs'!$R$1,FILLME!$E$8,IF(A420='Label IDs'!$S$1,FILLME!$E$9,IF(A420='Label IDs'!$T$1,FILLME!$E$10,IF(A420='Label IDs'!$U$1,FILLME!$E$11)))))</f>
        <v>CN</v>
      </c>
    </row>
    <row r="421" spans="1:3" x14ac:dyDescent="0.25">
      <c r="A421" t="str">
        <v>Shimadzu</v>
      </c>
      <c r="B421" t="str">
        <v>SSEMG_STA_IS_20260225_1400</v>
      </c>
      <c r="C421" t="str">
        <f>IF(A421='Label IDs'!$Q$1,FILLME!$E$6,IF(A421='Label IDs'!$R$1,FILLME!$E$8,IF(A421='Label IDs'!$S$1,FILLME!$E$9,IF(A421='Label IDs'!$T$1,FILLME!$E$10,IF(A421='Label IDs'!$U$1,FILLME!$E$11)))))</f>
        <v>CN</v>
      </c>
    </row>
    <row r="422" spans="1:3" x14ac:dyDescent="0.25">
      <c r="A422" t="str">
        <v>Shimadzu</v>
      </c>
      <c r="B422" t="str">
        <v>SSEMG_STA_IS_20260225_1600</v>
      </c>
      <c r="C422" t="str">
        <f>IF(A422='Label IDs'!$Q$1,FILLME!$E$6,IF(A422='Label IDs'!$R$1,FILLME!$E$8,IF(A422='Label IDs'!$S$1,FILLME!$E$9,IF(A422='Label IDs'!$T$1,FILLME!$E$10,IF(A422='Label IDs'!$U$1,FILLME!$E$11)))))</f>
        <v>CN</v>
      </c>
    </row>
    <row r="423" spans="1:3" x14ac:dyDescent="0.25">
      <c r="A423" t="str">
        <v>Shimadzu</v>
      </c>
      <c r="B423" t="str">
        <v>SSEMG_STA_IS_20260225_1800</v>
      </c>
      <c r="C423" t="str">
        <f>IF(A423='Label IDs'!$Q$1,FILLME!$E$6,IF(A423='Label IDs'!$R$1,FILLME!$E$8,IF(A423='Label IDs'!$S$1,FILLME!$E$9,IF(A423='Label IDs'!$T$1,FILLME!$E$10,IF(A423='Label IDs'!$U$1,FILLME!$E$11)))))</f>
        <v>CN</v>
      </c>
    </row>
    <row r="424" spans="1:3" x14ac:dyDescent="0.25">
      <c r="A424" t="str">
        <v>Shimadzu</v>
      </c>
      <c r="B424" t="str">
        <v>SSEMG_STA_IS_20260225_2000</v>
      </c>
      <c r="C424" t="str">
        <f>IF(A424='Label IDs'!$Q$1,FILLME!$E$6,IF(A424='Label IDs'!$R$1,FILLME!$E$8,IF(A424='Label IDs'!$S$1,FILLME!$E$9,IF(A424='Label IDs'!$T$1,FILLME!$E$10,IF(A424='Label IDs'!$U$1,FILLME!$E$11)))))</f>
        <v>CN</v>
      </c>
    </row>
    <row r="425" spans="1:3" x14ac:dyDescent="0.25">
      <c r="A425" t="str">
        <v>Shimadzu</v>
      </c>
      <c r="B425" t="str">
        <v>SSEMG_STA_IS_20260225_2200</v>
      </c>
      <c r="C425" t="str">
        <f>IF(A425='Label IDs'!$Q$1,FILLME!$E$6,IF(A425='Label IDs'!$R$1,FILLME!$E$8,IF(A425='Label IDs'!$S$1,FILLME!$E$9,IF(A425='Label IDs'!$T$1,FILLME!$E$10,IF(A425='Label IDs'!$U$1,FILLME!$E$11)))))</f>
        <v>CN</v>
      </c>
    </row>
    <row r="426" spans="1:3" x14ac:dyDescent="0.25">
      <c r="A426" t="str">
        <v>Shimadzu</v>
      </c>
      <c r="B426" t="str">
        <v>SSEMG_STA_IS_20260226_0000</v>
      </c>
      <c r="C426" t="str">
        <f>IF(A426='Label IDs'!$Q$1,FILLME!$E$6,IF(A426='Label IDs'!$R$1,FILLME!$E$8,IF(A426='Label IDs'!$S$1,FILLME!$E$9,IF(A426='Label IDs'!$T$1,FILLME!$E$10,IF(A426='Label IDs'!$U$1,FILLME!$E$11)))))</f>
        <v>CN</v>
      </c>
    </row>
    <row r="427" spans="1:3" x14ac:dyDescent="0.25">
      <c r="A427" t="str">
        <v>Shimadzu</v>
      </c>
      <c r="B427" t="str">
        <v>SSEMG_STA_IS_20260226_0200</v>
      </c>
      <c r="C427" t="str">
        <f>IF(A427='Label IDs'!$Q$1,FILLME!$E$6,IF(A427='Label IDs'!$R$1,FILLME!$E$8,IF(A427='Label IDs'!$S$1,FILLME!$E$9,IF(A427='Label IDs'!$T$1,FILLME!$E$10,IF(A427='Label IDs'!$U$1,FILLME!$E$11)))))</f>
        <v>CN</v>
      </c>
    </row>
    <row r="428" spans="1:3" x14ac:dyDescent="0.25">
      <c r="A428" t="str">
        <v>Shimadzu</v>
      </c>
      <c r="B428" t="str">
        <v>SSEMG_STA_IS_20260226_0400</v>
      </c>
      <c r="C428" t="str">
        <f>IF(A428='Label IDs'!$Q$1,FILLME!$E$6,IF(A428='Label IDs'!$R$1,FILLME!$E$8,IF(A428='Label IDs'!$S$1,FILLME!$E$9,IF(A428='Label IDs'!$T$1,FILLME!$E$10,IF(A428='Label IDs'!$U$1,FILLME!$E$11)))))</f>
        <v>CN</v>
      </c>
    </row>
    <row r="429" spans="1:3" x14ac:dyDescent="0.25">
      <c r="A429" t="str">
        <v>Shimadzu</v>
      </c>
      <c r="B429" t="str">
        <v>SSEMG_STA_IS_20260226_0600</v>
      </c>
      <c r="C429" t="str">
        <f>IF(A429='Label IDs'!$Q$1,FILLME!$E$6,IF(A429='Label IDs'!$R$1,FILLME!$E$8,IF(A429='Label IDs'!$S$1,FILLME!$E$9,IF(A429='Label IDs'!$T$1,FILLME!$E$10,IF(A429='Label IDs'!$U$1,FILLME!$E$11)))))</f>
        <v>CN</v>
      </c>
    </row>
    <row r="430" spans="1:3" x14ac:dyDescent="0.25">
      <c r="A430" t="str">
        <v>Shimadzu</v>
      </c>
      <c r="B430" t="str">
        <v>SSEMG_STA_IS_20260226_0800</v>
      </c>
      <c r="C430" t="str">
        <f>IF(A430='Label IDs'!$Q$1,FILLME!$E$6,IF(A430='Label IDs'!$R$1,FILLME!$E$8,IF(A430='Label IDs'!$S$1,FILLME!$E$9,IF(A430='Label IDs'!$T$1,FILLME!$E$10,IF(A430='Label IDs'!$U$1,FILLME!$E$11)))))</f>
        <v>CN</v>
      </c>
    </row>
    <row r="431" spans="1:3" x14ac:dyDescent="0.25">
      <c r="A431" t="str">
        <v>Shimadzu</v>
      </c>
      <c r="B431" t="str">
        <v>SSEMG_STA_IS_20260226_1000</v>
      </c>
      <c r="C431" t="str">
        <f>IF(A431='Label IDs'!$Q$1,FILLME!$E$6,IF(A431='Label IDs'!$R$1,FILLME!$E$8,IF(A431='Label IDs'!$S$1,FILLME!$E$9,IF(A431='Label IDs'!$T$1,FILLME!$E$10,IF(A431='Label IDs'!$U$1,FILLME!$E$11)))))</f>
        <v>CN</v>
      </c>
    </row>
    <row r="432" spans="1:3" x14ac:dyDescent="0.25">
      <c r="A432" t="str">
        <v>Shimadzu</v>
      </c>
      <c r="B432" t="str">
        <v>SSEMG_STA_IS_20260226_1200</v>
      </c>
      <c r="C432" t="str">
        <f>IF(A432='Label IDs'!$Q$1,FILLME!$E$6,IF(A432='Label IDs'!$R$1,FILLME!$E$8,IF(A432='Label IDs'!$S$1,FILLME!$E$9,IF(A432='Label IDs'!$T$1,FILLME!$E$10,IF(A432='Label IDs'!$U$1,FILLME!$E$11)))))</f>
        <v>CN</v>
      </c>
    </row>
    <row r="433" spans="1:3" x14ac:dyDescent="0.25">
      <c r="A433" t="str">
        <v>Shimadzu</v>
      </c>
      <c r="B433" t="str">
        <v>SSEMG_STA_IS_20260226_1400</v>
      </c>
      <c r="C433" t="str">
        <f>IF(A433='Label IDs'!$Q$1,FILLME!$E$6,IF(A433='Label IDs'!$R$1,FILLME!$E$8,IF(A433='Label IDs'!$S$1,FILLME!$E$9,IF(A433='Label IDs'!$T$1,FILLME!$E$10,IF(A433='Label IDs'!$U$1,FILLME!$E$11)))))</f>
        <v>CN</v>
      </c>
    </row>
    <row r="434" spans="1:3" x14ac:dyDescent="0.25">
      <c r="A434" t="str">
        <v>Shimadzu</v>
      </c>
      <c r="B434" t="str">
        <v>SSEMG_STA_IS_20260226_1600</v>
      </c>
      <c r="C434" t="str">
        <f>IF(A434='Label IDs'!$Q$1,FILLME!$E$6,IF(A434='Label IDs'!$R$1,FILLME!$E$8,IF(A434='Label IDs'!$S$1,FILLME!$E$9,IF(A434='Label IDs'!$T$1,FILLME!$E$10,IF(A434='Label IDs'!$U$1,FILLME!$E$11)))))</f>
        <v>CN</v>
      </c>
    </row>
    <row r="435" spans="1:3" x14ac:dyDescent="0.25">
      <c r="A435" t="str">
        <v>Shimadzu</v>
      </c>
      <c r="B435" t="str">
        <v>SSEMG_STA_IS_20260226_1800</v>
      </c>
      <c r="C435" t="str">
        <f>IF(A435='Label IDs'!$Q$1,FILLME!$E$6,IF(A435='Label IDs'!$R$1,FILLME!$E$8,IF(A435='Label IDs'!$S$1,FILLME!$E$9,IF(A435='Label IDs'!$T$1,FILLME!$E$10,IF(A435='Label IDs'!$U$1,FILLME!$E$11)))))</f>
        <v>CN</v>
      </c>
    </row>
    <row r="436" spans="1:3" x14ac:dyDescent="0.25">
      <c r="A436" t="str">
        <v>Shimadzu</v>
      </c>
      <c r="B436" t="str">
        <v>SSEMG_STA_IS_20260226_2000</v>
      </c>
      <c r="C436" t="str">
        <f>IF(A436='Label IDs'!$Q$1,FILLME!$E$6,IF(A436='Label IDs'!$R$1,FILLME!$E$8,IF(A436='Label IDs'!$S$1,FILLME!$E$9,IF(A436='Label IDs'!$T$1,FILLME!$E$10,IF(A436='Label IDs'!$U$1,FILLME!$E$11)))))</f>
        <v>CN</v>
      </c>
    </row>
    <row r="437" spans="1:3" x14ac:dyDescent="0.25">
      <c r="A437" t="str">
        <v>Shimadzu</v>
      </c>
      <c r="B437" t="str">
        <v>SSEMG_STA_IS_20260226_2200</v>
      </c>
      <c r="C437" t="str">
        <f>IF(A437='Label IDs'!$Q$1,FILLME!$E$6,IF(A437='Label IDs'!$R$1,FILLME!$E$8,IF(A437='Label IDs'!$S$1,FILLME!$E$9,IF(A437='Label IDs'!$T$1,FILLME!$E$10,IF(A437='Label IDs'!$U$1,FILLME!$E$11)))))</f>
        <v>CN</v>
      </c>
    </row>
    <row r="438" spans="1:3" x14ac:dyDescent="0.25">
      <c r="A438" t="str">
        <v>Shimadzu</v>
      </c>
      <c r="B438" t="str">
        <v>SSEMG_STA_IS_20260227_0000</v>
      </c>
      <c r="C438" t="str">
        <f>IF(A438='Label IDs'!$Q$1,FILLME!$E$6,IF(A438='Label IDs'!$R$1,FILLME!$E$8,IF(A438='Label IDs'!$S$1,FILLME!$E$9,IF(A438='Label IDs'!$T$1,FILLME!$E$10,IF(A438='Label IDs'!$U$1,FILLME!$E$11)))))</f>
        <v>CN</v>
      </c>
    </row>
    <row r="439" spans="1:3" x14ac:dyDescent="0.25">
      <c r="A439" t="str">
        <v>Shimadzu</v>
      </c>
      <c r="B439" t="str">
        <v>SSEMG_STA_IS_20260227_0200</v>
      </c>
      <c r="C439" t="str">
        <f>IF(A439='Label IDs'!$Q$1,FILLME!$E$6,IF(A439='Label IDs'!$R$1,FILLME!$E$8,IF(A439='Label IDs'!$S$1,FILLME!$E$9,IF(A439='Label IDs'!$T$1,FILLME!$E$10,IF(A439='Label IDs'!$U$1,FILLME!$E$11)))))</f>
        <v>CN</v>
      </c>
    </row>
    <row r="440" spans="1:3" x14ac:dyDescent="0.25">
      <c r="A440" t="str">
        <v>Shimadzu</v>
      </c>
      <c r="B440" t="str">
        <v>SSEMG_STA_IS_20260227_0400</v>
      </c>
      <c r="C440" t="str">
        <f>IF(A440='Label IDs'!$Q$1,FILLME!$E$6,IF(A440='Label IDs'!$R$1,FILLME!$E$8,IF(A440='Label IDs'!$S$1,FILLME!$E$9,IF(A440='Label IDs'!$T$1,FILLME!$E$10,IF(A440='Label IDs'!$U$1,FILLME!$E$11)))))</f>
        <v>CN</v>
      </c>
    </row>
    <row r="441" spans="1:3" x14ac:dyDescent="0.25">
      <c r="A441" t="str">
        <v>Shimadzu</v>
      </c>
      <c r="B441" t="str">
        <v>SSEMG_STA_IS_20260227_0600</v>
      </c>
      <c r="C441" t="str">
        <f>IF(A441='Label IDs'!$Q$1,FILLME!$E$6,IF(A441='Label IDs'!$R$1,FILLME!$E$8,IF(A441='Label IDs'!$S$1,FILLME!$E$9,IF(A441='Label IDs'!$T$1,FILLME!$E$10,IF(A441='Label IDs'!$U$1,FILLME!$E$11)))))</f>
        <v>CN</v>
      </c>
    </row>
    <row r="442" spans="1:3" x14ac:dyDescent="0.25">
      <c r="A442" t="str">
        <v>Shimadzu</v>
      </c>
      <c r="B442" t="str">
        <v>SSEMG_STA_IS_20260227_0800</v>
      </c>
      <c r="C442" t="str">
        <f>IF(A442='Label IDs'!$Q$1,FILLME!$E$6,IF(A442='Label IDs'!$R$1,FILLME!$E$8,IF(A442='Label IDs'!$S$1,FILLME!$E$9,IF(A442='Label IDs'!$T$1,FILLME!$E$10,IF(A442='Label IDs'!$U$1,FILLME!$E$11)))))</f>
        <v>CN</v>
      </c>
    </row>
    <row r="443" spans="1:3" x14ac:dyDescent="0.25">
      <c r="A443" t="str">
        <v>Shimadzu</v>
      </c>
      <c r="B443" t="str">
        <v>SSEMG_STA_IS_20260227_1000</v>
      </c>
      <c r="C443" t="str">
        <f>IF(A443='Label IDs'!$Q$1,FILLME!$E$6,IF(A443='Label IDs'!$R$1,FILLME!$E$8,IF(A443='Label IDs'!$S$1,FILLME!$E$9,IF(A443='Label IDs'!$T$1,FILLME!$E$10,IF(A443='Label IDs'!$U$1,FILLME!$E$11)))))</f>
        <v>CN</v>
      </c>
    </row>
    <row r="444" spans="1:3" x14ac:dyDescent="0.25">
      <c r="A444" t="str">
        <v>Shimadzu</v>
      </c>
      <c r="B444" t="str">
        <v>SSEMG_STA_IS_20260227_1200</v>
      </c>
      <c r="C444" t="str">
        <f>IF(A444='Label IDs'!$Q$1,FILLME!$E$6,IF(A444='Label IDs'!$R$1,FILLME!$E$8,IF(A444='Label IDs'!$S$1,FILLME!$E$9,IF(A444='Label IDs'!$T$1,FILLME!$E$10,IF(A444='Label IDs'!$U$1,FILLME!$E$11)))))</f>
        <v>CN</v>
      </c>
    </row>
    <row r="445" spans="1:3" x14ac:dyDescent="0.25">
      <c r="A445" t="str">
        <v>Shimadzu</v>
      </c>
      <c r="B445" t="str">
        <v>SSEMG_STA_IS_20260227_1400</v>
      </c>
      <c r="C445" t="str">
        <f>IF(A445='Label IDs'!$Q$1,FILLME!$E$6,IF(A445='Label IDs'!$R$1,FILLME!$E$8,IF(A445='Label IDs'!$S$1,FILLME!$E$9,IF(A445='Label IDs'!$T$1,FILLME!$E$10,IF(A445='Label IDs'!$U$1,FILLME!$E$11)))))</f>
        <v>CN</v>
      </c>
    </row>
    <row r="446" spans="1:3" x14ac:dyDescent="0.25">
      <c r="A446" t="str">
        <v>Shimadzu</v>
      </c>
      <c r="B446" t="str">
        <v>SSEMG_STA_IS_20260227_1600</v>
      </c>
      <c r="C446" t="str">
        <f>IF(A446='Label IDs'!$Q$1,FILLME!$E$6,IF(A446='Label IDs'!$R$1,FILLME!$E$8,IF(A446='Label IDs'!$S$1,FILLME!$E$9,IF(A446='Label IDs'!$T$1,FILLME!$E$10,IF(A446='Label IDs'!$U$1,FILLME!$E$11)))))</f>
        <v>CN</v>
      </c>
    </row>
    <row r="447" spans="1:3" x14ac:dyDescent="0.25">
      <c r="A447" t="str">
        <v>Shimadzu</v>
      </c>
      <c r="B447" t="str">
        <v>SSEMG_STA_IS_20260227_1800</v>
      </c>
      <c r="C447" t="str">
        <f>IF(A447='Label IDs'!$Q$1,FILLME!$E$6,IF(A447='Label IDs'!$R$1,FILLME!$E$8,IF(A447='Label IDs'!$S$1,FILLME!$E$9,IF(A447='Label IDs'!$T$1,FILLME!$E$10,IF(A447='Label IDs'!$U$1,FILLME!$E$11)))))</f>
        <v>CN</v>
      </c>
    </row>
    <row r="448" spans="1:3" x14ac:dyDescent="0.25">
      <c r="A448" t="str">
        <v>Shimadzu</v>
      </c>
      <c r="B448" t="str">
        <v>SSEMG_STA_IS_20260227_2000</v>
      </c>
      <c r="C448" t="str">
        <f>IF(A448='Label IDs'!$Q$1,FILLME!$E$6,IF(A448='Label IDs'!$R$1,FILLME!$E$8,IF(A448='Label IDs'!$S$1,FILLME!$E$9,IF(A448='Label IDs'!$T$1,FILLME!$E$10,IF(A448='Label IDs'!$U$1,FILLME!$E$11)))))</f>
        <v>CN</v>
      </c>
    </row>
    <row r="449" spans="1:3" x14ac:dyDescent="0.25">
      <c r="A449" t="str">
        <v>Shimadzu</v>
      </c>
      <c r="B449" t="str">
        <v>SSEMG_STA_IS_20260227_2200</v>
      </c>
      <c r="C449" t="str">
        <f>IF(A449='Label IDs'!$Q$1,FILLME!$E$6,IF(A449='Label IDs'!$R$1,FILLME!$E$8,IF(A449='Label IDs'!$S$1,FILLME!$E$9,IF(A449='Label IDs'!$T$1,FILLME!$E$10,IF(A449='Label IDs'!$U$1,FILLME!$E$11)))))</f>
        <v>CN</v>
      </c>
    </row>
    <row r="450" spans="1:3" x14ac:dyDescent="0.25">
      <c r="A450" t="str">
        <v>Shimadzu</v>
      </c>
      <c r="B450" t="str">
        <v>SSEMG_STA_IS_20260228_0000</v>
      </c>
      <c r="C450" t="str">
        <f>IF(A450='Label IDs'!$Q$1,FILLME!$E$6,IF(A450='Label IDs'!$R$1,FILLME!$E$8,IF(A450='Label IDs'!$S$1,FILLME!$E$9,IF(A450='Label IDs'!$T$1,FILLME!$E$10,IF(A450='Label IDs'!$U$1,FILLME!$E$11)))))</f>
        <v>CN</v>
      </c>
    </row>
    <row r="451" spans="1:3" x14ac:dyDescent="0.25">
      <c r="A451" t="str">
        <v>Shimadzu</v>
      </c>
      <c r="B451" t="str">
        <v>SSEMG_STA_IS_20260228_0200</v>
      </c>
      <c r="C451" t="str">
        <f>IF(A451='Label IDs'!$Q$1,FILLME!$E$6,IF(A451='Label IDs'!$R$1,FILLME!$E$8,IF(A451='Label IDs'!$S$1,FILLME!$E$9,IF(A451='Label IDs'!$T$1,FILLME!$E$10,IF(A451='Label IDs'!$U$1,FILLME!$E$11)))))</f>
        <v>CN</v>
      </c>
    </row>
    <row r="452" spans="1:3" x14ac:dyDescent="0.25">
      <c r="A452" t="str">
        <v>Shimadzu</v>
      </c>
      <c r="B452" t="str">
        <v>SSEMG_STA_IS_20260228_0400</v>
      </c>
      <c r="C452" t="str">
        <f>IF(A452='Label IDs'!$Q$1,FILLME!$E$6,IF(A452='Label IDs'!$R$1,FILLME!$E$8,IF(A452='Label IDs'!$S$1,FILLME!$E$9,IF(A452='Label IDs'!$T$1,FILLME!$E$10,IF(A452='Label IDs'!$U$1,FILLME!$E$11)))))</f>
        <v>CN</v>
      </c>
    </row>
    <row r="453" spans="1:3" x14ac:dyDescent="0.25">
      <c r="A453" t="str">
        <v>Shimadzu</v>
      </c>
      <c r="B453" t="str">
        <v>SSEMG_STA_IS_20260228_0600</v>
      </c>
      <c r="C453" t="str">
        <f>IF(A453='Label IDs'!$Q$1,FILLME!$E$6,IF(A453='Label IDs'!$R$1,FILLME!$E$8,IF(A453='Label IDs'!$S$1,FILLME!$E$9,IF(A453='Label IDs'!$T$1,FILLME!$E$10,IF(A453='Label IDs'!$U$1,FILLME!$E$11)))))</f>
        <v>CN</v>
      </c>
    </row>
    <row r="454" spans="1:3" x14ac:dyDescent="0.25">
      <c r="A454" t="str">
        <v>Shimadzu</v>
      </c>
      <c r="B454" t="str">
        <v>SSEMG_STA_IS_20260228_0800</v>
      </c>
      <c r="C454" t="str">
        <f>IF(A454='Label IDs'!$Q$1,FILLME!$E$6,IF(A454='Label IDs'!$R$1,FILLME!$E$8,IF(A454='Label IDs'!$S$1,FILLME!$E$9,IF(A454='Label IDs'!$T$1,FILLME!$E$10,IF(A454='Label IDs'!$U$1,FILLME!$E$11)))))</f>
        <v>CN</v>
      </c>
    </row>
    <row r="455" spans="1:3" x14ac:dyDescent="0.25">
      <c r="A455" t="str">
        <v>Shimadzu</v>
      </c>
      <c r="B455" t="str">
        <v>SSEMG_STA_IS_20260228_1000</v>
      </c>
      <c r="C455" t="str">
        <f>IF(A455='Label IDs'!$Q$1,FILLME!$E$6,IF(A455='Label IDs'!$R$1,FILLME!$E$8,IF(A455='Label IDs'!$S$1,FILLME!$E$9,IF(A455='Label IDs'!$T$1,FILLME!$E$10,IF(A455='Label IDs'!$U$1,FILLME!$E$11)))))</f>
        <v>CN</v>
      </c>
    </row>
    <row r="456" spans="1:3" x14ac:dyDescent="0.25">
      <c r="A456" t="str">
        <v>Shimadzu</v>
      </c>
      <c r="B456" t="str">
        <v>SSEMG_STA_IS_20260228_1200</v>
      </c>
      <c r="C456" t="str">
        <f>IF(A456='Label IDs'!$Q$1,FILLME!$E$6,IF(A456='Label IDs'!$R$1,FILLME!$E$8,IF(A456='Label IDs'!$S$1,FILLME!$E$9,IF(A456='Label IDs'!$T$1,FILLME!$E$10,IF(A456='Label IDs'!$U$1,FILLME!$E$11)))))</f>
        <v>CN</v>
      </c>
    </row>
    <row r="457" spans="1:3" x14ac:dyDescent="0.25">
      <c r="A457" t="str">
        <v>Shimadzu</v>
      </c>
      <c r="B457" t="str">
        <v>SSEMG_STA_IS_20260228_1400</v>
      </c>
      <c r="C457" t="str">
        <f>IF(A457='Label IDs'!$Q$1,FILLME!$E$6,IF(A457='Label IDs'!$R$1,FILLME!$E$8,IF(A457='Label IDs'!$S$1,FILLME!$E$9,IF(A457='Label IDs'!$T$1,FILLME!$E$10,IF(A457='Label IDs'!$U$1,FILLME!$E$11)))))</f>
        <v>CN</v>
      </c>
    </row>
    <row r="458" spans="1:3" x14ac:dyDescent="0.25">
      <c r="A458" t="str">
        <v>Shimadzu</v>
      </c>
      <c r="B458" t="str">
        <v>SSEMG_STA_IS_20260228_1600</v>
      </c>
      <c r="C458" t="str">
        <f>IF(A458='Label IDs'!$Q$1,FILLME!$E$6,IF(A458='Label IDs'!$R$1,FILLME!$E$8,IF(A458='Label IDs'!$S$1,FILLME!$E$9,IF(A458='Label IDs'!$T$1,FILLME!$E$10,IF(A458='Label IDs'!$U$1,FILLME!$E$11)))))</f>
        <v>CN</v>
      </c>
    </row>
    <row r="459" spans="1:3" x14ac:dyDescent="0.25">
      <c r="A459" t="str">
        <v>Shimadzu</v>
      </c>
      <c r="B459" t="str">
        <v>SSEMG_STA_IS_20260228_1800</v>
      </c>
      <c r="C459" t="str">
        <f>IF(A459='Label IDs'!$Q$1,FILLME!$E$6,IF(A459='Label IDs'!$R$1,FILLME!$E$8,IF(A459='Label IDs'!$S$1,FILLME!$E$9,IF(A459='Label IDs'!$T$1,FILLME!$E$10,IF(A459='Label IDs'!$U$1,FILLME!$E$11)))))</f>
        <v>CN</v>
      </c>
    </row>
    <row r="460" spans="1:3" x14ac:dyDescent="0.25">
      <c r="A460" t="str">
        <v>Shimadzu</v>
      </c>
      <c r="B460" t="str">
        <v>SSEMG_STA_IS_20260228_2000</v>
      </c>
      <c r="C460" t="str">
        <f>IF(A460='Label IDs'!$Q$1,FILLME!$E$6,IF(A460='Label IDs'!$R$1,FILLME!$E$8,IF(A460='Label IDs'!$S$1,FILLME!$E$9,IF(A460='Label IDs'!$T$1,FILLME!$E$10,IF(A460='Label IDs'!$U$1,FILLME!$E$11)))))</f>
        <v>CN</v>
      </c>
    </row>
    <row r="461" spans="1:3" x14ac:dyDescent="0.25">
      <c r="A461" t="str">
        <v>Shimadzu</v>
      </c>
      <c r="B461" t="str">
        <v>SSEMG_STA_IS_20260228_2200</v>
      </c>
      <c r="C461" t="str">
        <f>IF(A461='Label IDs'!$Q$1,FILLME!$E$6,IF(A461='Label IDs'!$R$1,FILLME!$E$8,IF(A461='Label IDs'!$S$1,FILLME!$E$9,IF(A461='Label IDs'!$T$1,FILLME!$E$10,IF(A461='Label IDs'!$U$1,FILLME!$E$11)))))</f>
        <v>CN</v>
      </c>
    </row>
    <row r="462" spans="1:3" x14ac:dyDescent="0.25">
      <c r="A462" t="str">
        <v>Shimadzu</v>
      </c>
      <c r="B462" t="str">
        <v>SSEMG_STA_IS_20260301_0000</v>
      </c>
      <c r="C462" t="str">
        <f>IF(A462='Label IDs'!$Q$1,FILLME!$E$6,IF(A462='Label IDs'!$R$1,FILLME!$E$8,IF(A462='Label IDs'!$S$1,FILLME!$E$9,IF(A462='Label IDs'!$T$1,FILLME!$E$10,IF(A462='Label IDs'!$U$1,FILLME!$E$11)))))</f>
        <v>CN</v>
      </c>
    </row>
    <row r="463" spans="1:3" x14ac:dyDescent="0.25">
      <c r="A463" t="str">
        <v>Shimadzu</v>
      </c>
      <c r="B463" t="str">
        <v>SSEMG_STA_IS_20260301_0200</v>
      </c>
      <c r="C463" t="str">
        <f>IF(A463='Label IDs'!$Q$1,FILLME!$E$6,IF(A463='Label IDs'!$R$1,FILLME!$E$8,IF(A463='Label IDs'!$S$1,FILLME!$E$9,IF(A463='Label IDs'!$T$1,FILLME!$E$10,IF(A463='Label IDs'!$U$1,FILLME!$E$11)))))</f>
        <v>CN</v>
      </c>
    </row>
    <row r="464" spans="1:3" x14ac:dyDescent="0.25">
      <c r="A464" t="str">
        <v>Shimadzu</v>
      </c>
      <c r="B464" t="str">
        <v>SSEMG_STA_IS_20260301_0400</v>
      </c>
      <c r="C464" t="str">
        <f>IF(A464='Label IDs'!$Q$1,FILLME!$E$6,IF(A464='Label IDs'!$R$1,FILLME!$E$8,IF(A464='Label IDs'!$S$1,FILLME!$E$9,IF(A464='Label IDs'!$T$1,FILLME!$E$10,IF(A464='Label IDs'!$U$1,FILLME!$E$11)))))</f>
        <v>CN</v>
      </c>
    </row>
    <row r="465" spans="1:3" x14ac:dyDescent="0.25">
      <c r="A465" t="str">
        <v>Shimadzu</v>
      </c>
      <c r="B465" t="str">
        <v>SSEMG_STA_IS_20260301_0600</v>
      </c>
      <c r="C465" t="str">
        <f>IF(A465='Label IDs'!$Q$1,FILLME!$E$6,IF(A465='Label IDs'!$R$1,FILLME!$E$8,IF(A465='Label IDs'!$S$1,FILLME!$E$9,IF(A465='Label IDs'!$T$1,FILLME!$E$10,IF(A465='Label IDs'!$U$1,FILLME!$E$11)))))</f>
        <v>CN</v>
      </c>
    </row>
    <row r="466" spans="1:3" x14ac:dyDescent="0.25">
      <c r="A466" t="str">
        <v>Shimadzu</v>
      </c>
      <c r="B466" t="str">
        <v>SSEMG_STA_IS_20260301_0800</v>
      </c>
      <c r="C466" t="str">
        <f>IF(A466='Label IDs'!$Q$1,FILLME!$E$6,IF(A466='Label IDs'!$R$1,FILLME!$E$8,IF(A466='Label IDs'!$S$1,FILLME!$E$9,IF(A466='Label IDs'!$T$1,FILLME!$E$10,IF(A466='Label IDs'!$U$1,FILLME!$E$11)))))</f>
        <v>CN</v>
      </c>
    </row>
    <row r="467" spans="1:3" x14ac:dyDescent="0.25">
      <c r="A467" t="str">
        <v>Shimadzu</v>
      </c>
      <c r="B467" t="str">
        <v>SSEMG_STA_IS_20260301_1000</v>
      </c>
      <c r="C467" t="str">
        <f>IF(A467='Label IDs'!$Q$1,FILLME!$E$6,IF(A467='Label IDs'!$R$1,FILLME!$E$8,IF(A467='Label IDs'!$S$1,FILLME!$E$9,IF(A467='Label IDs'!$T$1,FILLME!$E$10,IF(A467='Label IDs'!$U$1,FILLME!$E$11)))))</f>
        <v>CN</v>
      </c>
    </row>
    <row r="468" spans="1:3" x14ac:dyDescent="0.25">
      <c r="A468" t="str">
        <v>Shimadzu</v>
      </c>
      <c r="B468" t="str">
        <v>SSEMG_STA_IS_20260301_1200</v>
      </c>
      <c r="C468" t="str">
        <f>IF(A468='Label IDs'!$Q$1,FILLME!$E$6,IF(A468='Label IDs'!$R$1,FILLME!$E$8,IF(A468='Label IDs'!$S$1,FILLME!$E$9,IF(A468='Label IDs'!$T$1,FILLME!$E$10,IF(A468='Label IDs'!$U$1,FILLME!$E$11)))))</f>
        <v>CN</v>
      </c>
    </row>
    <row r="469" spans="1:3" x14ac:dyDescent="0.25">
      <c r="A469" t="str">
        <v>Shimadzu</v>
      </c>
      <c r="B469" t="str">
        <v>SSEMG_STA_IS_20260301_1400</v>
      </c>
      <c r="C469" t="str">
        <f>IF(A469='Label IDs'!$Q$1,FILLME!$E$6,IF(A469='Label IDs'!$R$1,FILLME!$E$8,IF(A469='Label IDs'!$S$1,FILLME!$E$9,IF(A469='Label IDs'!$T$1,FILLME!$E$10,IF(A469='Label IDs'!$U$1,FILLME!$E$11)))))</f>
        <v>CN</v>
      </c>
    </row>
    <row r="470" spans="1:3" x14ac:dyDescent="0.25">
      <c r="A470" t="str">
        <v>Shimadzu</v>
      </c>
      <c r="B470" t="str">
        <v>SSEMG_STA_IS_20260301_1600</v>
      </c>
      <c r="C470" t="str">
        <f>IF(A470='Label IDs'!$Q$1,FILLME!$E$6,IF(A470='Label IDs'!$R$1,FILLME!$E$8,IF(A470='Label IDs'!$S$1,FILLME!$E$9,IF(A470='Label IDs'!$T$1,FILLME!$E$10,IF(A470='Label IDs'!$U$1,FILLME!$E$11)))))</f>
        <v>CN</v>
      </c>
    </row>
    <row r="471" spans="1:3" x14ac:dyDescent="0.25">
      <c r="A471" t="str">
        <v>Shimadzu</v>
      </c>
      <c r="B471" t="str">
        <v>SSEMG_STA_IS_20260301_1800</v>
      </c>
      <c r="C471" t="str">
        <f>IF(A471='Label IDs'!$Q$1,FILLME!$E$6,IF(A471='Label IDs'!$R$1,FILLME!$E$8,IF(A471='Label IDs'!$S$1,FILLME!$E$9,IF(A471='Label IDs'!$T$1,FILLME!$E$10,IF(A471='Label IDs'!$U$1,FILLME!$E$11)))))</f>
        <v>CN</v>
      </c>
    </row>
    <row r="472" spans="1:3" x14ac:dyDescent="0.25">
      <c r="A472" t="str">
        <v>Shimadzu</v>
      </c>
      <c r="B472" t="str">
        <v>SSEMG_STA_IS_20260301_2000</v>
      </c>
      <c r="C472" t="str">
        <f>IF(A472='Label IDs'!$Q$1,FILLME!$E$6,IF(A472='Label IDs'!$R$1,FILLME!$E$8,IF(A472='Label IDs'!$S$1,FILLME!$E$9,IF(A472='Label IDs'!$T$1,FILLME!$E$10,IF(A472='Label IDs'!$U$1,FILLME!$E$11)))))</f>
        <v>CN</v>
      </c>
    </row>
    <row r="473" spans="1:3" x14ac:dyDescent="0.25">
      <c r="A473" t="str">
        <v>Shimadzu</v>
      </c>
      <c r="B473" t="str">
        <v>SSEMG_STA_IS_20260301_2200</v>
      </c>
      <c r="C473" t="str">
        <f>IF(A473='Label IDs'!$Q$1,FILLME!$E$6,IF(A473='Label IDs'!$R$1,FILLME!$E$8,IF(A473='Label IDs'!$S$1,FILLME!$E$9,IF(A473='Label IDs'!$T$1,FILLME!$E$10,IF(A473='Label IDs'!$U$1,FILLME!$E$11)))))</f>
        <v>CN</v>
      </c>
    </row>
    <row r="474" spans="1:3" x14ac:dyDescent="0.25">
      <c r="A474" t="str">
        <v>Shimadzu</v>
      </c>
      <c r="B474" t="str">
        <v>SSEMG_STA_IS_20260302_0000</v>
      </c>
      <c r="C474" t="str">
        <f>IF(A474='Label IDs'!$Q$1,FILLME!$E$6,IF(A474='Label IDs'!$R$1,FILLME!$E$8,IF(A474='Label IDs'!$S$1,FILLME!$E$9,IF(A474='Label IDs'!$T$1,FILLME!$E$10,IF(A474='Label IDs'!$U$1,FILLME!$E$11)))))</f>
        <v>CN</v>
      </c>
    </row>
    <row r="475" spans="1:3" x14ac:dyDescent="0.25">
      <c r="A475" t="str">
        <v>Shimadzu</v>
      </c>
      <c r="B475" t="str">
        <v>SSEMG_STA_IS_20260302_0200</v>
      </c>
      <c r="C475" t="str">
        <f>IF(A475='Label IDs'!$Q$1,FILLME!$E$6,IF(A475='Label IDs'!$R$1,FILLME!$E$8,IF(A475='Label IDs'!$S$1,FILLME!$E$9,IF(A475='Label IDs'!$T$1,FILLME!$E$10,IF(A475='Label IDs'!$U$1,FILLME!$E$11)))))</f>
        <v>CN</v>
      </c>
    </row>
    <row r="476" spans="1:3" x14ac:dyDescent="0.25">
      <c r="A476" t="str">
        <v>Shimadzu</v>
      </c>
      <c r="B476" t="str">
        <v>SSEMG_STA_IS_20260302_0400</v>
      </c>
      <c r="C476" t="str">
        <f>IF(A476='Label IDs'!$Q$1,FILLME!$E$6,IF(A476='Label IDs'!$R$1,FILLME!$E$8,IF(A476='Label IDs'!$S$1,FILLME!$E$9,IF(A476='Label IDs'!$T$1,FILLME!$E$10,IF(A476='Label IDs'!$U$1,FILLME!$E$11)))))</f>
        <v>CN</v>
      </c>
    </row>
    <row r="477" spans="1:3" x14ac:dyDescent="0.25">
      <c r="A477" t="str">
        <v>Shimadzu</v>
      </c>
      <c r="B477" t="str">
        <v>SSEMG_STA_IS_20260302_0600</v>
      </c>
      <c r="C477" t="str">
        <f>IF(A477='Label IDs'!$Q$1,FILLME!$E$6,IF(A477='Label IDs'!$R$1,FILLME!$E$8,IF(A477='Label IDs'!$S$1,FILLME!$E$9,IF(A477='Label IDs'!$T$1,FILLME!$E$10,IF(A477='Label IDs'!$U$1,FILLME!$E$11)))))</f>
        <v>CN</v>
      </c>
    </row>
    <row r="478" spans="1:3" x14ac:dyDescent="0.25">
      <c r="A478" t="str">
        <v>Shimadzu</v>
      </c>
      <c r="B478" t="str">
        <v>SSEMG_STA_IS_20260302_0800</v>
      </c>
      <c r="C478" t="str">
        <f>IF(A478='Label IDs'!$Q$1,FILLME!$E$6,IF(A478='Label IDs'!$R$1,FILLME!$E$8,IF(A478='Label IDs'!$S$1,FILLME!$E$9,IF(A478='Label IDs'!$T$1,FILLME!$E$10,IF(A478='Label IDs'!$U$1,FILLME!$E$11)))))</f>
        <v>CN</v>
      </c>
    </row>
    <row r="479" spans="1:3" x14ac:dyDescent="0.25">
      <c r="A479" t="str">
        <v>Shimadzu</v>
      </c>
      <c r="B479" t="str">
        <v>SSEMG_STA_IS_20260302_1000</v>
      </c>
      <c r="C479" t="str">
        <f>IF(A479='Label IDs'!$Q$1,FILLME!$E$6,IF(A479='Label IDs'!$R$1,FILLME!$E$8,IF(A479='Label IDs'!$S$1,FILLME!$E$9,IF(A479='Label IDs'!$T$1,FILLME!$E$10,IF(A479='Label IDs'!$U$1,FILLME!$E$11)))))</f>
        <v>CN</v>
      </c>
    </row>
    <row r="480" spans="1:3" x14ac:dyDescent="0.25">
      <c r="A480" t="str">
        <v>Shimadzu</v>
      </c>
      <c r="B480" t="str">
        <v>SSEMG_STA_IS_20260302_1200</v>
      </c>
      <c r="C480" t="str">
        <f>IF(A480='Label IDs'!$Q$1,FILLME!$E$6,IF(A480='Label IDs'!$R$1,FILLME!$E$8,IF(A480='Label IDs'!$S$1,FILLME!$E$9,IF(A480='Label IDs'!$T$1,FILLME!$E$10,IF(A480='Label IDs'!$U$1,FILLME!$E$11)))))</f>
        <v>CN</v>
      </c>
    </row>
    <row r="481" spans="1:3" x14ac:dyDescent="0.25">
      <c r="A481" t="str">
        <v>Shimadzu</v>
      </c>
      <c r="B481" t="str">
        <v>SSEMG_STA_IS_20260302_1400</v>
      </c>
      <c r="C481" t="str">
        <f>IF(A481='Label IDs'!$Q$1,FILLME!$E$6,IF(A481='Label IDs'!$R$1,FILLME!$E$8,IF(A481='Label IDs'!$S$1,FILLME!$E$9,IF(A481='Label IDs'!$T$1,FILLME!$E$10,IF(A481='Label IDs'!$U$1,FILLME!$E$11)))))</f>
        <v>CN</v>
      </c>
    </row>
    <row r="482" spans="1:3" x14ac:dyDescent="0.25">
      <c r="A482" t="str">
        <v>Shimadzu</v>
      </c>
      <c r="B482" t="str">
        <v>SSEMG_STA_IS_20260302_1600</v>
      </c>
      <c r="C482" t="str">
        <f>IF(A482='Label IDs'!$Q$1,FILLME!$E$6,IF(A482='Label IDs'!$R$1,FILLME!$E$8,IF(A482='Label IDs'!$S$1,FILLME!$E$9,IF(A482='Label IDs'!$T$1,FILLME!$E$10,IF(A482='Label IDs'!$U$1,FILLME!$E$11)))))</f>
        <v>CN</v>
      </c>
    </row>
    <row r="483" spans="1:3" x14ac:dyDescent="0.25">
      <c r="A483" t="str">
        <v>Shimadzu</v>
      </c>
      <c r="B483" t="str">
        <v>SSEMG_STA_IS_20260302_1800</v>
      </c>
      <c r="C483" t="str">
        <f>IF(A483='Label IDs'!$Q$1,FILLME!$E$6,IF(A483='Label IDs'!$R$1,FILLME!$E$8,IF(A483='Label IDs'!$S$1,FILLME!$E$9,IF(A483='Label IDs'!$T$1,FILLME!$E$10,IF(A483='Label IDs'!$U$1,FILLME!$E$11)))))</f>
        <v>CN</v>
      </c>
    </row>
    <row r="484" spans="1:3" x14ac:dyDescent="0.25">
      <c r="A484" t="str">
        <v>Shimadzu</v>
      </c>
      <c r="B484" t="str">
        <v>SSEMG_STA_IS_20260302_2000</v>
      </c>
      <c r="C484" t="str">
        <f>IF(A484='Label IDs'!$Q$1,FILLME!$E$6,IF(A484='Label IDs'!$R$1,FILLME!$E$8,IF(A484='Label IDs'!$S$1,FILLME!$E$9,IF(A484='Label IDs'!$T$1,FILLME!$E$10,IF(A484='Label IDs'!$U$1,FILLME!$E$11)))))</f>
        <v>CN</v>
      </c>
    </row>
    <row r="485" spans="1:3" x14ac:dyDescent="0.25">
      <c r="A485" t="str">
        <v>Shimadzu</v>
      </c>
      <c r="B485" t="str">
        <v>SSEMG_STA_IS_20260302_2200</v>
      </c>
      <c r="C485" t="str">
        <f>IF(A485='Label IDs'!$Q$1,FILLME!$E$6,IF(A485='Label IDs'!$R$1,FILLME!$E$8,IF(A485='Label IDs'!$S$1,FILLME!$E$9,IF(A485='Label IDs'!$T$1,FILLME!$E$10,IF(A485='Label IDs'!$U$1,FILLME!$E$11)))))</f>
        <v>CN</v>
      </c>
    </row>
    <row r="486" spans="1:3" x14ac:dyDescent="0.25">
      <c r="A486" t="str">
        <v>Shimadzu</v>
      </c>
      <c r="B486" t="str">
        <v>SSEMG_STA_IS_20260303_0000</v>
      </c>
      <c r="C486" t="str">
        <f>IF(A486='Label IDs'!$Q$1,FILLME!$E$6,IF(A486='Label IDs'!$R$1,FILLME!$E$8,IF(A486='Label IDs'!$S$1,FILLME!$E$9,IF(A486='Label IDs'!$T$1,FILLME!$E$10,IF(A486='Label IDs'!$U$1,FILLME!$E$11)))))</f>
        <v>CN</v>
      </c>
    </row>
    <row r="487" spans="1:3" x14ac:dyDescent="0.25">
      <c r="A487" t="str">
        <v>Shimadzu</v>
      </c>
      <c r="B487" t="str">
        <v>SSEMG_STA_IS_20260303_0200</v>
      </c>
      <c r="C487" t="str">
        <f>IF(A487='Label IDs'!$Q$1,FILLME!$E$6,IF(A487='Label IDs'!$R$1,FILLME!$E$8,IF(A487='Label IDs'!$S$1,FILLME!$E$9,IF(A487='Label IDs'!$T$1,FILLME!$E$10,IF(A487='Label IDs'!$U$1,FILLME!$E$11)))))</f>
        <v>CN</v>
      </c>
    </row>
    <row r="488" spans="1:3" x14ac:dyDescent="0.25">
      <c r="A488" t="str">
        <v>Shimadzu</v>
      </c>
      <c r="B488" t="str">
        <v>SSEMG_STA_IS_20260303_0400</v>
      </c>
      <c r="C488" t="str">
        <f>IF(A488='Label IDs'!$Q$1,FILLME!$E$6,IF(A488='Label IDs'!$R$1,FILLME!$E$8,IF(A488='Label IDs'!$S$1,FILLME!$E$9,IF(A488='Label IDs'!$T$1,FILLME!$E$10,IF(A488='Label IDs'!$U$1,FILLME!$E$11)))))</f>
        <v>CN</v>
      </c>
    </row>
    <row r="489" spans="1:3" x14ac:dyDescent="0.25">
      <c r="A489" t="str">
        <v>Shimadzu</v>
      </c>
      <c r="B489" t="str">
        <v>SSEMG_STA_IS_20260303_0600</v>
      </c>
      <c r="C489" t="str">
        <f>IF(A489='Label IDs'!$Q$1,FILLME!$E$6,IF(A489='Label IDs'!$R$1,FILLME!$E$8,IF(A489='Label IDs'!$S$1,FILLME!$E$9,IF(A489='Label IDs'!$T$1,FILLME!$E$10,IF(A489='Label IDs'!$U$1,FILLME!$E$11)))))</f>
        <v>CN</v>
      </c>
    </row>
    <row r="490" spans="1:3" x14ac:dyDescent="0.25">
      <c r="A490" t="str">
        <v>Shimadzu</v>
      </c>
      <c r="B490" t="str">
        <v>SSEMG_STA_IS_20260303_0800</v>
      </c>
      <c r="C490" t="str">
        <f>IF(A490='Label IDs'!$Q$1,FILLME!$E$6,IF(A490='Label IDs'!$R$1,FILLME!$E$8,IF(A490='Label IDs'!$S$1,FILLME!$E$9,IF(A490='Label IDs'!$T$1,FILLME!$E$10,IF(A490='Label IDs'!$U$1,FILLME!$E$11)))))</f>
        <v>CN</v>
      </c>
    </row>
    <row r="491" spans="1:3" x14ac:dyDescent="0.25">
      <c r="A491" t="str">
        <v>Shimadzu</v>
      </c>
      <c r="B491" t="str">
        <v>SSEMG_STA_IS_20260303_1000</v>
      </c>
      <c r="C491" t="str">
        <f>IF(A491='Label IDs'!$Q$1,FILLME!$E$6,IF(A491='Label IDs'!$R$1,FILLME!$E$8,IF(A491='Label IDs'!$S$1,FILLME!$E$9,IF(A491='Label IDs'!$T$1,FILLME!$E$10,IF(A491='Label IDs'!$U$1,FILLME!$E$11)))))</f>
        <v>CN</v>
      </c>
    </row>
    <row r="492" spans="1:3" x14ac:dyDescent="0.25">
      <c r="A492" t="str">
        <v>Shimadzu</v>
      </c>
      <c r="B492" t="str">
        <v>SSEMG_STA_IS_20260303_1200</v>
      </c>
      <c r="C492" t="str">
        <f>IF(A492='Label IDs'!$Q$1,FILLME!$E$6,IF(A492='Label IDs'!$R$1,FILLME!$E$8,IF(A492='Label IDs'!$S$1,FILLME!$E$9,IF(A492='Label IDs'!$T$1,FILLME!$E$10,IF(A492='Label IDs'!$U$1,FILLME!$E$11)))))</f>
        <v>CN</v>
      </c>
    </row>
    <row r="493" spans="1:3" x14ac:dyDescent="0.25">
      <c r="A493" t="str">
        <v>Shimadzu</v>
      </c>
      <c r="B493" t="str">
        <v>SSEMG_STA_IS_20260303_1400</v>
      </c>
      <c r="C493" t="str">
        <f>IF(A493='Label IDs'!$Q$1,FILLME!$E$6,IF(A493='Label IDs'!$R$1,FILLME!$E$8,IF(A493='Label IDs'!$S$1,FILLME!$E$9,IF(A493='Label IDs'!$T$1,FILLME!$E$10,IF(A493='Label IDs'!$U$1,FILLME!$E$11)))))</f>
        <v>CN</v>
      </c>
    </row>
    <row r="494" spans="1:3" x14ac:dyDescent="0.25">
      <c r="A494" t="str">
        <v>Shimadzu</v>
      </c>
      <c r="B494" t="str">
        <v>SSEMG_STA_IS_20260303_1600</v>
      </c>
      <c r="C494" t="str">
        <f>IF(A494='Label IDs'!$Q$1,FILLME!$E$6,IF(A494='Label IDs'!$R$1,FILLME!$E$8,IF(A494='Label IDs'!$S$1,FILLME!$E$9,IF(A494='Label IDs'!$T$1,FILLME!$E$10,IF(A494='Label IDs'!$U$1,FILLME!$E$11)))))</f>
        <v>CN</v>
      </c>
    </row>
    <row r="495" spans="1:3" x14ac:dyDescent="0.25">
      <c r="A495" t="str">
        <v>Shimadzu</v>
      </c>
      <c r="B495" t="str">
        <v>SSEMG_STA_IS_20260303_1800</v>
      </c>
      <c r="C495" t="str">
        <f>IF(A495='Label IDs'!$Q$1,FILLME!$E$6,IF(A495='Label IDs'!$R$1,FILLME!$E$8,IF(A495='Label IDs'!$S$1,FILLME!$E$9,IF(A495='Label IDs'!$T$1,FILLME!$E$10,IF(A495='Label IDs'!$U$1,FILLME!$E$11)))))</f>
        <v>CN</v>
      </c>
    </row>
    <row r="496" spans="1:3" x14ac:dyDescent="0.25">
      <c r="A496" t="str">
        <v>Shimadzu</v>
      </c>
      <c r="B496" t="str">
        <v>SSEMG_STA_IS_20260303_2000</v>
      </c>
      <c r="C496" t="str">
        <f>IF(A496='Label IDs'!$Q$1,FILLME!$E$6,IF(A496='Label IDs'!$R$1,FILLME!$E$8,IF(A496='Label IDs'!$S$1,FILLME!$E$9,IF(A496='Label IDs'!$T$1,FILLME!$E$10,IF(A496='Label IDs'!$U$1,FILLME!$E$11)))))</f>
        <v>CN</v>
      </c>
    </row>
    <row r="497" spans="1:3" x14ac:dyDescent="0.25">
      <c r="A497" t="str">
        <v>Shimadzu</v>
      </c>
      <c r="B497" t="str">
        <v>SSEMG_STA_IS_20260303_2200</v>
      </c>
      <c r="C497" t="str">
        <f>IF(A497='Label IDs'!$Q$1,FILLME!$E$6,IF(A497='Label IDs'!$R$1,FILLME!$E$8,IF(A497='Label IDs'!$S$1,FILLME!$E$9,IF(A497='Label IDs'!$T$1,FILLME!$E$10,IF(A497='Label IDs'!$U$1,FILLME!$E$11)))))</f>
        <v>CN</v>
      </c>
    </row>
    <row r="498" spans="1:3" x14ac:dyDescent="0.25">
      <c r="A498" t="str">
        <v>Shimadzu</v>
      </c>
      <c r="B498" t="str">
        <v>SSEMG_STA_IS_20260304_0000</v>
      </c>
      <c r="C498" t="str">
        <f>IF(A498='Label IDs'!$Q$1,FILLME!$E$6,IF(A498='Label IDs'!$R$1,FILLME!$E$8,IF(A498='Label IDs'!$S$1,FILLME!$E$9,IF(A498='Label IDs'!$T$1,FILLME!$E$10,IF(A498='Label IDs'!$U$1,FILLME!$E$11)))))</f>
        <v>CN</v>
      </c>
    </row>
    <row r="499" spans="1:3" x14ac:dyDescent="0.25">
      <c r="A499" t="str">
        <v>Shimadzu</v>
      </c>
      <c r="B499" t="str">
        <v>SSEMG_STA_IS_20260304_0200</v>
      </c>
      <c r="C499" t="str">
        <f>IF(A499='Label IDs'!$Q$1,FILLME!$E$6,IF(A499='Label IDs'!$R$1,FILLME!$E$8,IF(A499='Label IDs'!$S$1,FILLME!$E$9,IF(A499='Label IDs'!$T$1,FILLME!$E$10,IF(A499='Label IDs'!$U$1,FILLME!$E$11)))))</f>
        <v>CN</v>
      </c>
    </row>
    <row r="500" spans="1:3" x14ac:dyDescent="0.25">
      <c r="A500" t="str">
        <v>Shimadzu</v>
      </c>
      <c r="B500" t="str">
        <v>SSEMG_STA_IS_20260304_0400</v>
      </c>
      <c r="C500" t="str">
        <f>IF(A500='Label IDs'!$Q$1,FILLME!$E$6,IF(A500='Label IDs'!$R$1,FILLME!$E$8,IF(A500='Label IDs'!$S$1,FILLME!$E$9,IF(A500='Label IDs'!$T$1,FILLME!$E$10,IF(A500='Label IDs'!$U$1,FILLME!$E$11)))))</f>
        <v>CN</v>
      </c>
    </row>
    <row r="501" spans="1:3" x14ac:dyDescent="0.25">
      <c r="A501" t="str">
        <v>Shimadzu</v>
      </c>
      <c r="B501" t="str">
        <v>SSEMG_STA_IS_20260304_0600</v>
      </c>
      <c r="C501" t="str">
        <f>IF(A501='Label IDs'!$Q$1,FILLME!$E$6,IF(A501='Label IDs'!$R$1,FILLME!$E$8,IF(A501='Label IDs'!$S$1,FILLME!$E$9,IF(A501='Label IDs'!$T$1,FILLME!$E$10,IF(A501='Label IDs'!$U$1,FILLME!$E$11)))))</f>
        <v>CN</v>
      </c>
    </row>
  </sheetData>
  <phoneticPr fontId="2" type="noConversion"/>
  <conditionalFormatting sqref="A1:A1048576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F4C7-78F1-4C98-B28B-4E3D6C123D4A}">
  <sheetPr>
    <pageSetUpPr fitToPage="1"/>
  </sheetPr>
  <dimension ref="A1:F102"/>
  <sheetViews>
    <sheetView zoomScaleNormal="100" workbookViewId="0">
      <selection activeCell="A8" sqref="A8"/>
    </sheetView>
  </sheetViews>
  <sheetFormatPr defaultRowHeight="15" x14ac:dyDescent="0.25"/>
  <cols>
    <col min="1" max="1" width="31" customWidth="1"/>
    <col min="2" max="2" width="16.7109375" customWidth="1"/>
    <col min="3" max="3" width="17.85546875" customWidth="1"/>
    <col min="4" max="4" width="13.28515625" customWidth="1"/>
    <col min="5" max="5" width="15.7109375" customWidth="1"/>
    <col min="6" max="6" width="33.28515625" customWidth="1"/>
  </cols>
  <sheetData>
    <row r="1" spans="1:6" ht="15.75" x14ac:dyDescent="0.25">
      <c r="A1" s="50" t="s">
        <v>58</v>
      </c>
      <c r="B1" s="51" t="s">
        <v>59</v>
      </c>
      <c r="C1" s="51" t="s">
        <v>60</v>
      </c>
      <c r="D1" s="51" t="s">
        <v>61</v>
      </c>
      <c r="E1" s="51" t="s">
        <v>62</v>
      </c>
      <c r="F1" s="63" t="s">
        <v>63</v>
      </c>
    </row>
    <row r="2" spans="1:6" ht="15.75" x14ac:dyDescent="0.25">
      <c r="A2" s="52" t="s">
        <v>64</v>
      </c>
      <c r="B2" s="53" t="s">
        <v>65</v>
      </c>
      <c r="C2" s="54" t="s">
        <v>66</v>
      </c>
      <c r="D2" s="54" t="s">
        <v>66</v>
      </c>
      <c r="E2" s="54" t="s">
        <v>67</v>
      </c>
      <c r="F2" s="54" t="s">
        <v>68</v>
      </c>
    </row>
    <row r="3" spans="1:6" ht="15.75" x14ac:dyDescent="0.25">
      <c r="A3" s="55" t="str" cm="1">
        <f t="array" ref="A3:A102">_xlfn.CHOOSEROWS(
    IF(FILLME!B9="Bottle Number", 'Label IDs'!L:L, 'Label IDs'!M:M),
    _xlfn.SEQUENCE(FILLME!B16*FILLME!B5) + 1
)</f>
        <v>SSEMG_STA_IS_20260224_0000</v>
      </c>
      <c r="B3" s="55"/>
      <c r="C3" s="55"/>
      <c r="D3" s="55"/>
      <c r="E3" s="55"/>
      <c r="F3" s="55"/>
    </row>
    <row r="4" spans="1:6" ht="15.75" x14ac:dyDescent="0.25">
      <c r="A4" s="56" t="str">
        <v>SSEMG_STA_IS_20260224_0200</v>
      </c>
      <c r="B4" s="56"/>
      <c r="C4" s="56"/>
      <c r="D4" s="56"/>
      <c r="E4" s="56"/>
      <c r="F4" s="56"/>
    </row>
    <row r="5" spans="1:6" ht="15.75" x14ac:dyDescent="0.25">
      <c r="A5" s="57" t="str">
        <v>SSEMG_STA_IS_20260224_0400</v>
      </c>
      <c r="B5" s="57"/>
      <c r="C5" s="57"/>
      <c r="D5" s="57"/>
      <c r="E5" s="57"/>
      <c r="F5" s="57"/>
    </row>
    <row r="6" spans="1:6" ht="15.75" x14ac:dyDescent="0.25">
      <c r="A6" s="56" t="str">
        <v>SSEMG_STA_IS_20260224_0600</v>
      </c>
      <c r="B6" s="56"/>
      <c r="C6" s="56"/>
      <c r="D6" s="56"/>
      <c r="E6" s="56"/>
      <c r="F6" s="56"/>
    </row>
    <row r="7" spans="1:6" ht="15.75" x14ac:dyDescent="0.25">
      <c r="A7" s="57" t="str">
        <v>SSEMG_STA_IS_20260224_0800</v>
      </c>
      <c r="B7" s="57"/>
      <c r="C7" s="57"/>
      <c r="D7" s="57"/>
      <c r="E7" s="57"/>
      <c r="F7" s="57"/>
    </row>
    <row r="8" spans="1:6" ht="15.75" x14ac:dyDescent="0.25">
      <c r="A8" s="56" t="str">
        <v>SSEMG_STA_IS_20260224_1000</v>
      </c>
      <c r="B8" s="56"/>
      <c r="C8" s="56"/>
      <c r="D8" s="56"/>
      <c r="E8" s="56"/>
      <c r="F8" s="56"/>
    </row>
    <row r="9" spans="1:6" ht="15.75" x14ac:dyDescent="0.25">
      <c r="A9" s="57" t="str">
        <v>SSEMG_STA_IS_20260224_1200</v>
      </c>
      <c r="B9" s="57"/>
      <c r="C9" s="57"/>
      <c r="D9" s="57"/>
      <c r="E9" s="57"/>
      <c r="F9" s="57"/>
    </row>
    <row r="10" spans="1:6" ht="15.75" x14ac:dyDescent="0.25">
      <c r="A10" s="56" t="str">
        <v>SSEMG_STA_IS_20260224_1400</v>
      </c>
      <c r="B10" s="56"/>
      <c r="C10" s="56"/>
      <c r="D10" s="56"/>
      <c r="E10" s="56"/>
      <c r="F10" s="56"/>
    </row>
    <row r="11" spans="1:6" ht="15.75" x14ac:dyDescent="0.25">
      <c r="A11" s="57" t="str">
        <v>SSEMG_STA_IS_20260224_1600</v>
      </c>
      <c r="B11" s="57"/>
      <c r="C11" s="57"/>
      <c r="D11" s="57"/>
      <c r="E11" s="57"/>
      <c r="F11" s="57"/>
    </row>
    <row r="12" spans="1:6" ht="15.75" x14ac:dyDescent="0.25">
      <c r="A12" s="56" t="str">
        <v>SSEMG_STA_IS_20260224_1800</v>
      </c>
      <c r="B12" s="56"/>
      <c r="C12" s="56"/>
      <c r="D12" s="56"/>
      <c r="E12" s="56"/>
      <c r="F12" s="56"/>
    </row>
    <row r="13" spans="1:6" ht="15.75" x14ac:dyDescent="0.25">
      <c r="A13" s="57" t="str">
        <v>SSEMG_STA_IS_20260224_2000</v>
      </c>
      <c r="B13" s="57"/>
      <c r="C13" s="57"/>
      <c r="D13" s="57"/>
      <c r="E13" s="57"/>
      <c r="F13" s="57"/>
    </row>
    <row r="14" spans="1:6" ht="15.75" x14ac:dyDescent="0.25">
      <c r="A14" s="56" t="str">
        <v>SSEMG_STA_IS_20260224_2200</v>
      </c>
      <c r="B14" s="56"/>
      <c r="C14" s="56"/>
      <c r="D14" s="56"/>
      <c r="E14" s="56"/>
      <c r="F14" s="56"/>
    </row>
    <row r="15" spans="1:6" ht="15.75" x14ac:dyDescent="0.25">
      <c r="A15" s="57" t="str">
        <v>SSEMG_STA_IS_20260225_0000</v>
      </c>
      <c r="B15" s="57"/>
      <c r="C15" s="57"/>
      <c r="D15" s="57"/>
      <c r="E15" s="57"/>
      <c r="F15" s="57"/>
    </row>
    <row r="16" spans="1:6" ht="15.75" x14ac:dyDescent="0.25">
      <c r="A16" s="56" t="str">
        <v>SSEMG_STA_IS_20260225_0200</v>
      </c>
      <c r="B16" s="56"/>
      <c r="C16" s="56"/>
      <c r="D16" s="56"/>
      <c r="E16" s="56"/>
      <c r="F16" s="56"/>
    </row>
    <row r="17" spans="1:6" ht="15.75" x14ac:dyDescent="0.25">
      <c r="A17" s="57" t="str">
        <v>SSEMG_STA_IS_20260225_0400</v>
      </c>
      <c r="B17" s="57"/>
      <c r="C17" s="57"/>
      <c r="D17" s="57"/>
      <c r="E17" s="57"/>
      <c r="F17" s="57"/>
    </row>
    <row r="18" spans="1:6" ht="15.75" x14ac:dyDescent="0.25">
      <c r="A18" s="56" t="str">
        <v>SSEMG_STA_IS_20260225_0600</v>
      </c>
      <c r="B18" s="56"/>
      <c r="C18" s="56"/>
      <c r="D18" s="56"/>
      <c r="E18" s="56"/>
      <c r="F18" s="56"/>
    </row>
    <row r="19" spans="1:6" ht="15.75" x14ac:dyDescent="0.25">
      <c r="A19" s="57" t="str">
        <v>SSEMG_STA_IS_20260225_0800</v>
      </c>
      <c r="B19" s="57"/>
      <c r="C19" s="57"/>
      <c r="D19" s="57"/>
      <c r="E19" s="57"/>
      <c r="F19" s="57"/>
    </row>
    <row r="20" spans="1:6" ht="15.75" x14ac:dyDescent="0.25">
      <c r="A20" s="56" t="str">
        <v>SSEMG_STA_IS_20260225_1000</v>
      </c>
      <c r="B20" s="56"/>
      <c r="C20" s="56"/>
      <c r="D20" s="56"/>
      <c r="E20" s="56"/>
      <c r="F20" s="56"/>
    </row>
    <row r="21" spans="1:6" ht="15.75" x14ac:dyDescent="0.25">
      <c r="A21" s="57" t="str">
        <v>SSEMG_STA_IS_20260225_1200</v>
      </c>
      <c r="B21" s="57"/>
      <c r="C21" s="57"/>
      <c r="D21" s="57"/>
      <c r="E21" s="57"/>
      <c r="F21" s="57"/>
    </row>
    <row r="22" spans="1:6" ht="15.75" x14ac:dyDescent="0.25">
      <c r="A22" s="56" t="str">
        <v>SSEMG_STA_IS_20260225_1400</v>
      </c>
      <c r="B22" s="56"/>
      <c r="C22" s="56"/>
      <c r="D22" s="56"/>
      <c r="E22" s="56"/>
      <c r="F22" s="56"/>
    </row>
    <row r="23" spans="1:6" ht="15.75" x14ac:dyDescent="0.25">
      <c r="A23" s="57" t="str">
        <v>SSEMG_STA_IS_20260225_1600</v>
      </c>
      <c r="B23" s="57"/>
      <c r="C23" s="57"/>
      <c r="D23" s="57"/>
      <c r="E23" s="57"/>
      <c r="F23" s="57"/>
    </row>
    <row r="24" spans="1:6" ht="15.75" x14ac:dyDescent="0.25">
      <c r="A24" s="56" t="str">
        <v>SSEMG_STA_IS_20260225_1800</v>
      </c>
      <c r="B24" s="56"/>
      <c r="C24" s="56"/>
      <c r="D24" s="56"/>
      <c r="E24" s="56"/>
      <c r="F24" s="56"/>
    </row>
    <row r="25" spans="1:6" ht="15.75" x14ac:dyDescent="0.25">
      <c r="A25" s="57" t="str">
        <v>SSEMG_STA_IS_20260225_2000</v>
      </c>
      <c r="B25" s="57"/>
      <c r="C25" s="57"/>
      <c r="D25" s="57"/>
      <c r="E25" s="57"/>
      <c r="F25" s="57"/>
    </row>
    <row r="26" spans="1:6" ht="15.75" x14ac:dyDescent="0.25">
      <c r="A26" s="56" t="str">
        <v>SSEMG_STA_IS_20260225_2200</v>
      </c>
      <c r="B26" s="56"/>
      <c r="C26" s="56"/>
      <c r="D26" s="56"/>
      <c r="E26" s="56"/>
      <c r="F26" s="56"/>
    </row>
    <row r="27" spans="1:6" ht="15.75" x14ac:dyDescent="0.25">
      <c r="A27" s="57" t="str">
        <v>SSEMG_STA_IS_20260226_0000</v>
      </c>
      <c r="B27" s="57"/>
      <c r="C27" s="57"/>
      <c r="D27" s="57"/>
      <c r="E27" s="57"/>
      <c r="F27" s="57"/>
    </row>
    <row r="28" spans="1:6" ht="15.75" x14ac:dyDescent="0.25">
      <c r="A28" s="56" t="str">
        <v>SSEMG_STA_IS_20260226_0200</v>
      </c>
      <c r="B28" s="56"/>
      <c r="C28" s="56"/>
      <c r="D28" s="56"/>
      <c r="E28" s="56"/>
      <c r="F28" s="56"/>
    </row>
    <row r="29" spans="1:6" ht="15.75" x14ac:dyDescent="0.25">
      <c r="A29" s="57" t="str">
        <v>SSEMG_STA_IS_20260226_0400</v>
      </c>
      <c r="B29" s="57"/>
      <c r="C29" s="57"/>
      <c r="D29" s="57"/>
      <c r="E29" s="57"/>
      <c r="F29" s="57"/>
    </row>
    <row r="30" spans="1:6" ht="15.75" x14ac:dyDescent="0.25">
      <c r="A30" s="56" t="str">
        <v>SSEMG_STA_IS_20260226_0600</v>
      </c>
      <c r="B30" s="56"/>
      <c r="C30" s="56"/>
      <c r="D30" s="56"/>
      <c r="E30" s="56"/>
      <c r="F30" s="56"/>
    </row>
    <row r="31" spans="1:6" ht="15.75" x14ac:dyDescent="0.25">
      <c r="A31" s="57" t="str">
        <v>SSEMG_STA_IS_20260226_0800</v>
      </c>
      <c r="B31" s="57"/>
      <c r="C31" s="57"/>
      <c r="D31" s="57"/>
      <c r="E31" s="57"/>
      <c r="F31" s="57"/>
    </row>
    <row r="32" spans="1:6" ht="15.75" x14ac:dyDescent="0.25">
      <c r="A32" s="56" t="str">
        <v>SSEMG_STA_IS_20260226_1000</v>
      </c>
      <c r="B32" s="56"/>
      <c r="C32" s="56"/>
      <c r="D32" s="56"/>
      <c r="E32" s="56"/>
      <c r="F32" s="56"/>
    </row>
    <row r="33" spans="1:6" ht="15.75" x14ac:dyDescent="0.25">
      <c r="A33" s="57" t="str">
        <v>SSEMG_STA_IS_20260226_1200</v>
      </c>
      <c r="B33" s="57"/>
      <c r="C33" s="57"/>
      <c r="D33" s="57"/>
      <c r="E33" s="57"/>
      <c r="F33" s="57"/>
    </row>
    <row r="34" spans="1:6" ht="15.75" x14ac:dyDescent="0.25">
      <c r="A34" s="56" t="str">
        <v>SSEMG_STA_IS_20260226_1400</v>
      </c>
      <c r="B34" s="56"/>
      <c r="C34" s="56"/>
      <c r="D34" s="56"/>
      <c r="E34" s="56"/>
      <c r="F34" s="56"/>
    </row>
    <row r="35" spans="1:6" ht="15.75" x14ac:dyDescent="0.25">
      <c r="A35" s="57" t="str">
        <v>SSEMG_STA_IS_20260226_1600</v>
      </c>
      <c r="B35" s="57"/>
      <c r="C35" s="57"/>
      <c r="D35" s="57"/>
      <c r="E35" s="57"/>
      <c r="F35" s="57"/>
    </row>
    <row r="36" spans="1:6" ht="15.75" x14ac:dyDescent="0.25">
      <c r="A36" s="56" t="str">
        <v>SSEMG_STA_IS_20260226_1800</v>
      </c>
      <c r="B36" s="56"/>
      <c r="C36" s="56"/>
      <c r="D36" s="56"/>
      <c r="E36" s="56"/>
      <c r="F36" s="56"/>
    </row>
    <row r="37" spans="1:6" ht="15.75" x14ac:dyDescent="0.25">
      <c r="A37" s="57" t="str">
        <v>SSEMG_STA_IS_20260226_2000</v>
      </c>
      <c r="B37" s="57"/>
      <c r="C37" s="57"/>
      <c r="D37" s="57"/>
      <c r="E37" s="57"/>
      <c r="F37" s="57"/>
    </row>
    <row r="38" spans="1:6" ht="15.75" x14ac:dyDescent="0.25">
      <c r="A38" s="56" t="str">
        <v>SSEMG_STA_IS_20260226_2200</v>
      </c>
      <c r="B38" s="56"/>
      <c r="C38" s="56"/>
      <c r="D38" s="56"/>
      <c r="E38" s="56"/>
      <c r="F38" s="56"/>
    </row>
    <row r="39" spans="1:6" ht="15.75" x14ac:dyDescent="0.25">
      <c r="A39" s="57" t="str">
        <v>SSEMG_STA_IS_20260227_0000</v>
      </c>
      <c r="B39" s="57"/>
      <c r="C39" s="57"/>
      <c r="D39" s="57"/>
      <c r="E39" s="57"/>
      <c r="F39" s="57"/>
    </row>
    <row r="40" spans="1:6" ht="15.75" x14ac:dyDescent="0.25">
      <c r="A40" s="56" t="str">
        <v>SSEMG_STA_IS_20260227_0200</v>
      </c>
      <c r="B40" s="56"/>
      <c r="C40" s="56"/>
      <c r="D40" s="56"/>
      <c r="E40" s="56"/>
      <c r="F40" s="56"/>
    </row>
    <row r="41" spans="1:6" ht="15.75" x14ac:dyDescent="0.25">
      <c r="A41" s="57" t="str">
        <v>SSEMG_STA_IS_20260227_0400</v>
      </c>
      <c r="B41" s="57"/>
      <c r="C41" s="57"/>
      <c r="D41" s="57"/>
      <c r="E41" s="57"/>
      <c r="F41" s="57"/>
    </row>
    <row r="42" spans="1:6" ht="15.75" x14ac:dyDescent="0.25">
      <c r="A42" s="56" t="str">
        <v>SSEMG_STA_IS_20260227_0600</v>
      </c>
      <c r="B42" s="56"/>
      <c r="C42" s="56"/>
      <c r="D42" s="56"/>
      <c r="E42" s="56"/>
      <c r="F42" s="56"/>
    </row>
    <row r="43" spans="1:6" ht="15.75" x14ac:dyDescent="0.25">
      <c r="A43" s="57" t="str">
        <v>SSEMG_STA_IS_20260227_0800</v>
      </c>
      <c r="B43" s="57"/>
      <c r="C43" s="57"/>
      <c r="D43" s="57"/>
      <c r="E43" s="57"/>
      <c r="F43" s="57"/>
    </row>
    <row r="44" spans="1:6" ht="15.75" x14ac:dyDescent="0.25">
      <c r="A44" s="56" t="str">
        <v>SSEMG_STA_IS_20260227_1000</v>
      </c>
      <c r="B44" s="56"/>
      <c r="C44" s="56"/>
      <c r="D44" s="56"/>
      <c r="E44" s="56"/>
      <c r="F44" s="56"/>
    </row>
    <row r="45" spans="1:6" ht="15.75" x14ac:dyDescent="0.25">
      <c r="A45" s="57" t="str">
        <v>SSEMG_STA_IS_20260227_1200</v>
      </c>
      <c r="B45" s="57"/>
      <c r="C45" s="57"/>
      <c r="D45" s="57"/>
      <c r="E45" s="57"/>
      <c r="F45" s="57"/>
    </row>
    <row r="46" spans="1:6" ht="15.75" x14ac:dyDescent="0.25">
      <c r="A46" s="56" t="str">
        <v>SSEMG_STA_IS_20260227_1400</v>
      </c>
      <c r="B46" s="56"/>
      <c r="C46" s="56"/>
      <c r="D46" s="56"/>
      <c r="E46" s="56"/>
      <c r="F46" s="56"/>
    </row>
    <row r="47" spans="1:6" ht="15.75" x14ac:dyDescent="0.25">
      <c r="A47" s="57" t="str">
        <v>SSEMG_STA_IS_20260227_1600</v>
      </c>
      <c r="B47" s="57"/>
      <c r="C47" s="57"/>
      <c r="D47" s="57"/>
      <c r="E47" s="57"/>
      <c r="F47" s="57"/>
    </row>
    <row r="48" spans="1:6" ht="15.75" x14ac:dyDescent="0.25">
      <c r="A48" s="56" t="str">
        <v>SSEMG_STA_IS_20260227_1800</v>
      </c>
      <c r="B48" s="56"/>
      <c r="C48" s="56"/>
      <c r="D48" s="56"/>
      <c r="E48" s="56"/>
      <c r="F48" s="56"/>
    </row>
    <row r="49" spans="1:6" ht="15.75" x14ac:dyDescent="0.25">
      <c r="A49" s="57" t="str">
        <v>SSEMG_STA_IS_20260227_2000</v>
      </c>
      <c r="B49" s="57"/>
      <c r="C49" s="57"/>
      <c r="D49" s="57"/>
      <c r="E49" s="57"/>
      <c r="F49" s="57"/>
    </row>
    <row r="50" spans="1:6" ht="15.75" x14ac:dyDescent="0.25">
      <c r="A50" s="56" t="str">
        <v>SSEMG_STA_IS_20260227_2200</v>
      </c>
      <c r="B50" s="56"/>
      <c r="C50" s="56"/>
      <c r="D50" s="56"/>
      <c r="E50" s="56"/>
      <c r="F50" s="56"/>
    </row>
    <row r="51" spans="1:6" ht="15.75" x14ac:dyDescent="0.25">
      <c r="A51" s="57" t="str">
        <v>SSEMG_STA_IS_20260228_0000</v>
      </c>
      <c r="B51" s="57"/>
      <c r="C51" s="57"/>
      <c r="D51" s="57"/>
      <c r="E51" s="57"/>
      <c r="F51" s="57"/>
    </row>
    <row r="52" spans="1:6" ht="15.75" x14ac:dyDescent="0.25">
      <c r="A52" s="56" t="str">
        <v>SSEMG_STA_IS_20260228_0200</v>
      </c>
      <c r="B52" s="56"/>
      <c r="C52" s="56"/>
      <c r="D52" s="56"/>
      <c r="E52" s="56"/>
      <c r="F52" s="56"/>
    </row>
    <row r="53" spans="1:6" ht="15.75" x14ac:dyDescent="0.25">
      <c r="A53" s="57" t="str">
        <v>SSEMG_STA_IS_20260228_0400</v>
      </c>
      <c r="B53" s="57"/>
      <c r="C53" s="57"/>
      <c r="D53" s="57"/>
      <c r="E53" s="57"/>
      <c r="F53" s="57"/>
    </row>
    <row r="54" spans="1:6" ht="15.75" x14ac:dyDescent="0.25">
      <c r="A54" s="56" t="str">
        <v>SSEMG_STA_IS_20260228_0600</v>
      </c>
      <c r="B54" s="56"/>
      <c r="C54" s="56"/>
      <c r="D54" s="56"/>
      <c r="E54" s="56"/>
      <c r="F54" s="56"/>
    </row>
    <row r="55" spans="1:6" ht="15.75" x14ac:dyDescent="0.25">
      <c r="A55" s="57" t="str">
        <v>SSEMG_STA_IS_20260228_0800</v>
      </c>
      <c r="B55" s="57"/>
      <c r="C55" s="57"/>
      <c r="D55" s="57"/>
      <c r="E55" s="57"/>
      <c r="F55" s="57"/>
    </row>
    <row r="56" spans="1:6" ht="15.75" x14ac:dyDescent="0.25">
      <c r="A56" s="56" t="str">
        <v>SSEMG_STA_IS_20260228_1000</v>
      </c>
      <c r="B56" s="56"/>
      <c r="C56" s="56"/>
      <c r="D56" s="56"/>
      <c r="E56" s="56"/>
      <c r="F56" s="56"/>
    </row>
    <row r="57" spans="1:6" ht="15.75" x14ac:dyDescent="0.25">
      <c r="A57" s="57" t="str">
        <v>SSEMG_STA_IS_20260228_1200</v>
      </c>
      <c r="B57" s="57"/>
      <c r="C57" s="57"/>
      <c r="D57" s="57"/>
      <c r="E57" s="57"/>
      <c r="F57" s="57"/>
    </row>
    <row r="58" spans="1:6" ht="15.75" x14ac:dyDescent="0.25">
      <c r="A58" s="56" t="str">
        <v>SSEMG_STA_IS_20260228_1400</v>
      </c>
      <c r="B58" s="56"/>
      <c r="C58" s="56"/>
      <c r="D58" s="56"/>
      <c r="E58" s="56"/>
      <c r="F58" s="56"/>
    </row>
    <row r="59" spans="1:6" ht="15.75" x14ac:dyDescent="0.25">
      <c r="A59" s="57" t="str">
        <v>SSEMG_STA_IS_20260228_1600</v>
      </c>
      <c r="B59" s="57"/>
      <c r="C59" s="57"/>
      <c r="D59" s="57"/>
      <c r="E59" s="57"/>
      <c r="F59" s="57"/>
    </row>
    <row r="60" spans="1:6" ht="15.75" x14ac:dyDescent="0.25">
      <c r="A60" s="56" t="str">
        <v>SSEMG_STA_IS_20260228_1800</v>
      </c>
      <c r="B60" s="56"/>
      <c r="C60" s="56"/>
      <c r="D60" s="56"/>
      <c r="E60" s="56"/>
      <c r="F60" s="56"/>
    </row>
    <row r="61" spans="1:6" ht="15.75" x14ac:dyDescent="0.25">
      <c r="A61" s="57" t="str">
        <v>SSEMG_STA_IS_20260228_2000</v>
      </c>
      <c r="B61" s="57"/>
      <c r="C61" s="57"/>
      <c r="D61" s="57"/>
      <c r="E61" s="57"/>
      <c r="F61" s="57"/>
    </row>
    <row r="62" spans="1:6" ht="15.75" x14ac:dyDescent="0.25">
      <c r="A62" s="56" t="str">
        <v>SSEMG_STA_IS_20260228_2200</v>
      </c>
      <c r="B62" s="56"/>
      <c r="C62" s="56"/>
      <c r="D62" s="56"/>
      <c r="E62" s="56"/>
      <c r="F62" s="56"/>
    </row>
    <row r="63" spans="1:6" ht="15.75" x14ac:dyDescent="0.25">
      <c r="A63" s="57" t="str">
        <v>SSEMG_STA_IS_20260301_0000</v>
      </c>
      <c r="B63" s="57"/>
      <c r="C63" s="57"/>
      <c r="D63" s="57"/>
      <c r="E63" s="57"/>
      <c r="F63" s="57"/>
    </row>
    <row r="64" spans="1:6" ht="15.75" x14ac:dyDescent="0.25">
      <c r="A64" s="56" t="str">
        <v>SSEMG_STA_IS_20260301_0200</v>
      </c>
      <c r="B64" s="56"/>
      <c r="C64" s="56"/>
      <c r="D64" s="56"/>
      <c r="E64" s="56"/>
      <c r="F64" s="56"/>
    </row>
    <row r="65" spans="1:6" ht="15.75" x14ac:dyDescent="0.25">
      <c r="A65" s="57" t="str">
        <v>SSEMG_STA_IS_20260301_0400</v>
      </c>
      <c r="B65" s="57"/>
      <c r="C65" s="57"/>
      <c r="D65" s="57"/>
      <c r="E65" s="57"/>
      <c r="F65" s="57"/>
    </row>
    <row r="66" spans="1:6" ht="15.75" x14ac:dyDescent="0.25">
      <c r="A66" s="56" t="str">
        <v>SSEMG_STA_IS_20260301_0600</v>
      </c>
      <c r="B66" s="56"/>
      <c r="C66" s="56"/>
      <c r="D66" s="56"/>
      <c r="E66" s="56"/>
      <c r="F66" s="56"/>
    </row>
    <row r="67" spans="1:6" ht="15.75" x14ac:dyDescent="0.25">
      <c r="A67" s="57" t="str">
        <v>SSEMG_STA_IS_20260301_0800</v>
      </c>
      <c r="B67" s="57"/>
      <c r="C67" s="57"/>
      <c r="D67" s="57"/>
      <c r="E67" s="57"/>
      <c r="F67" s="57"/>
    </row>
    <row r="68" spans="1:6" ht="15.75" x14ac:dyDescent="0.25">
      <c r="A68" s="56" t="str">
        <v>SSEMG_STA_IS_20260301_1000</v>
      </c>
      <c r="B68" s="56"/>
      <c r="C68" s="56"/>
      <c r="D68" s="56"/>
      <c r="E68" s="56"/>
      <c r="F68" s="56"/>
    </row>
    <row r="69" spans="1:6" ht="15.75" x14ac:dyDescent="0.25">
      <c r="A69" s="57" t="str">
        <v>SSEMG_STA_IS_20260301_1200</v>
      </c>
      <c r="B69" s="57"/>
      <c r="C69" s="57"/>
      <c r="D69" s="57"/>
      <c r="E69" s="57"/>
      <c r="F69" s="57"/>
    </row>
    <row r="70" spans="1:6" ht="15.75" x14ac:dyDescent="0.25">
      <c r="A70" s="56" t="str">
        <v>SSEMG_STA_IS_20260301_1400</v>
      </c>
      <c r="B70" s="56"/>
      <c r="C70" s="56"/>
      <c r="D70" s="56"/>
      <c r="E70" s="56"/>
      <c r="F70" s="56"/>
    </row>
    <row r="71" spans="1:6" ht="15.75" x14ac:dyDescent="0.25">
      <c r="A71" s="57" t="str">
        <v>SSEMG_STA_IS_20260301_1600</v>
      </c>
      <c r="B71" s="57"/>
      <c r="C71" s="57"/>
      <c r="D71" s="57"/>
      <c r="E71" s="57"/>
      <c r="F71" s="57"/>
    </row>
    <row r="72" spans="1:6" ht="15.75" x14ac:dyDescent="0.25">
      <c r="A72" s="56" t="str">
        <v>SSEMG_STA_IS_20260301_1800</v>
      </c>
      <c r="B72" s="56"/>
      <c r="C72" s="56"/>
      <c r="D72" s="56"/>
      <c r="E72" s="56"/>
      <c r="F72" s="56"/>
    </row>
    <row r="73" spans="1:6" ht="15.75" x14ac:dyDescent="0.25">
      <c r="A73" s="57" t="str">
        <v>SSEMG_STA_IS_20260301_2000</v>
      </c>
      <c r="B73" s="57"/>
      <c r="C73" s="57"/>
      <c r="D73" s="57"/>
      <c r="E73" s="57"/>
      <c r="F73" s="57"/>
    </row>
    <row r="74" spans="1:6" ht="15.75" x14ac:dyDescent="0.25">
      <c r="A74" s="56" t="str">
        <v>SSEMG_STA_IS_20260301_2200</v>
      </c>
      <c r="B74" s="56"/>
      <c r="C74" s="56"/>
      <c r="D74" s="56"/>
      <c r="E74" s="56"/>
      <c r="F74" s="56"/>
    </row>
    <row r="75" spans="1:6" ht="15.75" x14ac:dyDescent="0.25">
      <c r="A75" s="57" t="str">
        <v>SSEMG_STA_IS_20260302_0000</v>
      </c>
      <c r="B75" s="57"/>
      <c r="C75" s="57"/>
      <c r="D75" s="57"/>
      <c r="E75" s="57"/>
      <c r="F75" s="57"/>
    </row>
    <row r="76" spans="1:6" ht="15.75" x14ac:dyDescent="0.25">
      <c r="A76" s="56" t="str">
        <v>SSEMG_STA_IS_20260302_0200</v>
      </c>
      <c r="B76" s="56"/>
      <c r="C76" s="56"/>
      <c r="D76" s="56"/>
      <c r="E76" s="56"/>
      <c r="F76" s="56"/>
    </row>
    <row r="77" spans="1:6" ht="15.75" x14ac:dyDescent="0.25">
      <c r="A77" s="57" t="str">
        <v>SSEMG_STA_IS_20260302_0400</v>
      </c>
      <c r="B77" s="57"/>
      <c r="C77" s="57"/>
      <c r="D77" s="57"/>
      <c r="E77" s="57"/>
      <c r="F77" s="57"/>
    </row>
    <row r="78" spans="1:6" ht="15.75" x14ac:dyDescent="0.25">
      <c r="A78" s="56" t="str">
        <v>SSEMG_STA_IS_20260302_0600</v>
      </c>
      <c r="B78" s="56"/>
      <c r="C78" s="56"/>
      <c r="D78" s="56"/>
      <c r="E78" s="56"/>
      <c r="F78" s="56"/>
    </row>
    <row r="79" spans="1:6" ht="15.75" x14ac:dyDescent="0.25">
      <c r="A79" s="57" t="str">
        <v>SSEMG_STA_IS_20260302_0800</v>
      </c>
      <c r="B79" s="57"/>
      <c r="C79" s="57"/>
      <c r="D79" s="57"/>
      <c r="E79" s="57"/>
      <c r="F79" s="57"/>
    </row>
    <row r="80" spans="1:6" ht="15.75" x14ac:dyDescent="0.25">
      <c r="A80" s="56" t="str">
        <v>SSEMG_STA_IS_20260302_1000</v>
      </c>
      <c r="B80" s="56"/>
      <c r="C80" s="56"/>
      <c r="D80" s="56"/>
      <c r="E80" s="56"/>
      <c r="F80" s="56"/>
    </row>
    <row r="81" spans="1:6" ht="15.75" x14ac:dyDescent="0.25">
      <c r="A81" s="57" t="str">
        <v>SSEMG_STA_IS_20260302_1200</v>
      </c>
      <c r="B81" s="57"/>
      <c r="C81" s="57"/>
      <c r="D81" s="57"/>
      <c r="E81" s="57"/>
      <c r="F81" s="57"/>
    </row>
    <row r="82" spans="1:6" ht="15.75" x14ac:dyDescent="0.25">
      <c r="A82" s="56" t="str">
        <v>SSEMG_STA_IS_20260302_1400</v>
      </c>
      <c r="B82" s="56"/>
      <c r="C82" s="56"/>
      <c r="D82" s="56"/>
      <c r="E82" s="56"/>
      <c r="F82" s="56"/>
    </row>
    <row r="83" spans="1:6" ht="15.75" x14ac:dyDescent="0.25">
      <c r="A83" s="57" t="str">
        <v>SSEMG_STA_IS_20260302_1600</v>
      </c>
      <c r="B83" s="57"/>
      <c r="C83" s="57"/>
      <c r="D83" s="57"/>
      <c r="E83" s="57"/>
      <c r="F83" s="57"/>
    </row>
    <row r="84" spans="1:6" ht="15.75" x14ac:dyDescent="0.25">
      <c r="A84" s="56" t="str">
        <v>SSEMG_STA_IS_20260302_1800</v>
      </c>
      <c r="B84" s="56"/>
      <c r="C84" s="56"/>
      <c r="D84" s="56"/>
      <c r="E84" s="56"/>
      <c r="F84" s="56"/>
    </row>
    <row r="85" spans="1:6" ht="15.75" x14ac:dyDescent="0.25">
      <c r="A85" s="57" t="str">
        <v>SSEMG_STA_IS_20260302_2000</v>
      </c>
      <c r="B85" s="57"/>
      <c r="C85" s="57"/>
      <c r="D85" s="57"/>
      <c r="E85" s="57"/>
      <c r="F85" s="57"/>
    </row>
    <row r="86" spans="1:6" ht="15.75" x14ac:dyDescent="0.25">
      <c r="A86" s="56" t="str">
        <v>SSEMG_STA_IS_20260302_2200</v>
      </c>
      <c r="B86" s="56"/>
      <c r="C86" s="56"/>
      <c r="D86" s="56"/>
      <c r="E86" s="56"/>
      <c r="F86" s="56"/>
    </row>
    <row r="87" spans="1:6" ht="15.75" x14ac:dyDescent="0.25">
      <c r="A87" s="57" t="str">
        <v>SSEMG_STA_IS_20260303_0000</v>
      </c>
      <c r="B87" s="57"/>
      <c r="C87" s="57"/>
      <c r="D87" s="57"/>
      <c r="E87" s="57"/>
      <c r="F87" s="57"/>
    </row>
    <row r="88" spans="1:6" ht="15.75" x14ac:dyDescent="0.25">
      <c r="A88" s="56" t="str">
        <v>SSEMG_STA_IS_20260303_0200</v>
      </c>
      <c r="B88" s="56"/>
      <c r="C88" s="56"/>
      <c r="D88" s="56"/>
      <c r="E88" s="56"/>
      <c r="F88" s="56"/>
    </row>
    <row r="89" spans="1:6" ht="15.75" x14ac:dyDescent="0.25">
      <c r="A89" s="57" t="str">
        <v>SSEMG_STA_IS_20260303_0400</v>
      </c>
      <c r="B89" s="57"/>
      <c r="C89" s="57"/>
      <c r="D89" s="57"/>
      <c r="E89" s="57"/>
      <c r="F89" s="57"/>
    </row>
    <row r="90" spans="1:6" ht="15.75" x14ac:dyDescent="0.25">
      <c r="A90" s="56" t="str">
        <v>SSEMG_STA_IS_20260303_0600</v>
      </c>
      <c r="B90" s="56"/>
      <c r="C90" s="56"/>
      <c r="D90" s="56"/>
      <c r="E90" s="56"/>
      <c r="F90" s="56"/>
    </row>
    <row r="91" spans="1:6" ht="15.75" x14ac:dyDescent="0.25">
      <c r="A91" s="57" t="str">
        <v>SSEMG_STA_IS_20260303_0800</v>
      </c>
      <c r="B91" s="57"/>
      <c r="C91" s="57"/>
      <c r="D91" s="57"/>
      <c r="E91" s="57"/>
      <c r="F91" s="57"/>
    </row>
    <row r="92" spans="1:6" ht="15.75" x14ac:dyDescent="0.25">
      <c r="A92" s="56" t="str">
        <v>SSEMG_STA_IS_20260303_1000</v>
      </c>
      <c r="B92" s="56"/>
      <c r="C92" s="56"/>
      <c r="D92" s="56"/>
      <c r="E92" s="56"/>
      <c r="F92" s="56"/>
    </row>
    <row r="93" spans="1:6" ht="15.75" x14ac:dyDescent="0.25">
      <c r="A93" s="57" t="str">
        <v>SSEMG_STA_IS_20260303_1200</v>
      </c>
      <c r="B93" s="57"/>
      <c r="C93" s="57"/>
      <c r="D93" s="57"/>
      <c r="E93" s="57"/>
      <c r="F93" s="57"/>
    </row>
    <row r="94" spans="1:6" ht="15.75" x14ac:dyDescent="0.25">
      <c r="A94" s="56" t="str">
        <v>SSEMG_STA_IS_20260303_1400</v>
      </c>
      <c r="B94" s="56"/>
      <c r="C94" s="56"/>
      <c r="D94" s="56"/>
      <c r="E94" s="56"/>
      <c r="F94" s="56"/>
    </row>
    <row r="95" spans="1:6" x14ac:dyDescent="0.25">
      <c r="A95" t="str">
        <v>SSEMG_STA_IS_20260303_1600</v>
      </c>
    </row>
    <row r="96" spans="1:6" x14ac:dyDescent="0.25">
      <c r="A96" t="str">
        <v>SSEMG_STA_IS_20260303_1800</v>
      </c>
    </row>
    <row r="97" spans="1:1" x14ac:dyDescent="0.25">
      <c r="A97" t="str">
        <v>SSEMG_STA_IS_20260303_2000</v>
      </c>
    </row>
    <row r="98" spans="1:1" x14ac:dyDescent="0.25">
      <c r="A98" t="str">
        <v>SSEMG_STA_IS_20260303_2200</v>
      </c>
    </row>
    <row r="99" spans="1:1" x14ac:dyDescent="0.25">
      <c r="A99" t="str">
        <v>SSEMG_STA_IS_20260304_0000</v>
      </c>
    </row>
    <row r="100" spans="1:1" x14ac:dyDescent="0.25">
      <c r="A100" t="str">
        <v>SSEMG_STA_IS_20260304_0200</v>
      </c>
    </row>
    <row r="101" spans="1:1" x14ac:dyDescent="0.25">
      <c r="A101" t="str">
        <v>SSEMG_STA_IS_20260304_0400</v>
      </c>
    </row>
    <row r="102" spans="1:1" x14ac:dyDescent="0.25">
      <c r="A102" t="str">
        <v>SSEMG_STA_IS_20260304_0600</v>
      </c>
    </row>
  </sheetData>
  <pageMargins left="0.7" right="0.7" top="0.75" bottom="0.75" header="0.3" footer="0.3"/>
  <pageSetup scale="95" fitToHeight="0" orientation="landscape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AE67-9E12-4923-915F-252B25B4802C}">
  <sheetPr>
    <pageSetUpPr fitToPage="1"/>
  </sheetPr>
  <dimension ref="A1:D102"/>
  <sheetViews>
    <sheetView topLeftCell="A81" zoomScaleNormal="100" workbookViewId="0">
      <selection activeCell="D101" sqref="D100:D101"/>
    </sheetView>
  </sheetViews>
  <sheetFormatPr defaultRowHeight="15" x14ac:dyDescent="0.25"/>
  <cols>
    <col min="1" max="1" width="29.7109375" customWidth="1"/>
    <col min="2" max="2" width="13" customWidth="1"/>
    <col min="3" max="3" width="13.42578125" customWidth="1"/>
    <col min="4" max="4" width="36" customWidth="1"/>
  </cols>
  <sheetData>
    <row r="1" spans="1:4" ht="15.75" x14ac:dyDescent="0.25">
      <c r="A1" s="58" t="s">
        <v>69</v>
      </c>
      <c r="B1" s="76" t="s">
        <v>74</v>
      </c>
      <c r="C1" s="77"/>
      <c r="D1" s="61" t="s">
        <v>63</v>
      </c>
    </row>
    <row r="2" spans="1:4" ht="15.6" customHeight="1" x14ac:dyDescent="0.25">
      <c r="A2" s="52" t="s">
        <v>64</v>
      </c>
      <c r="B2" s="59" t="s">
        <v>72</v>
      </c>
      <c r="C2" s="59" t="s">
        <v>73</v>
      </c>
      <c r="D2" s="62" t="s">
        <v>68</v>
      </c>
    </row>
    <row r="3" spans="1:4" ht="15.75" x14ac:dyDescent="0.25">
      <c r="A3" s="55" t="str" cm="1">
        <f t="array" ref="A3:A102">_xlfn.CHOOSEROWS(
    IF(FILLME!B9="Bottle Number", 'Label IDs'!L:L, 'Label IDs'!M:M),
    _xlfn.SEQUENCE(FILLME!B16*FILLME!B5) + 1
)</f>
        <v>SSEMG_STA_IS_20260224_0000</v>
      </c>
      <c r="B3" s="55"/>
      <c r="C3" s="55"/>
      <c r="D3" s="55"/>
    </row>
    <row r="4" spans="1:4" ht="15.75" x14ac:dyDescent="0.25">
      <c r="A4" s="56" t="str">
        <v>SSEMG_STA_IS_20260224_0200</v>
      </c>
      <c r="B4" s="56"/>
      <c r="C4" s="56"/>
      <c r="D4" s="56"/>
    </row>
    <row r="5" spans="1:4" ht="15.75" x14ac:dyDescent="0.25">
      <c r="A5" s="55" t="str">
        <v>SSEMG_STA_IS_20260224_0400</v>
      </c>
      <c r="B5" s="55"/>
      <c r="C5" s="55"/>
      <c r="D5" s="55"/>
    </row>
    <row r="6" spans="1:4" ht="15.75" x14ac:dyDescent="0.25">
      <c r="A6" s="56" t="str">
        <v>SSEMG_STA_IS_20260224_0600</v>
      </c>
      <c r="B6" s="56"/>
      <c r="C6" s="56"/>
      <c r="D6" s="56"/>
    </row>
    <row r="7" spans="1:4" ht="15.75" x14ac:dyDescent="0.25">
      <c r="A7" s="55" t="str">
        <v>SSEMG_STA_IS_20260224_0800</v>
      </c>
      <c r="B7" s="55"/>
      <c r="C7" s="55"/>
      <c r="D7" s="55"/>
    </row>
    <row r="8" spans="1:4" ht="15.75" x14ac:dyDescent="0.25">
      <c r="A8" s="56" t="str">
        <v>SSEMG_STA_IS_20260224_1000</v>
      </c>
      <c r="B8" s="56"/>
      <c r="C8" s="56"/>
      <c r="D8" s="56"/>
    </row>
    <row r="9" spans="1:4" ht="15.75" x14ac:dyDescent="0.25">
      <c r="A9" s="55" t="str">
        <v>SSEMG_STA_IS_20260224_1200</v>
      </c>
      <c r="B9" s="55"/>
      <c r="C9" s="55"/>
      <c r="D9" s="55"/>
    </row>
    <row r="10" spans="1:4" ht="15.75" x14ac:dyDescent="0.25">
      <c r="A10" s="56" t="str">
        <v>SSEMG_STA_IS_20260224_1400</v>
      </c>
      <c r="B10" s="56"/>
      <c r="C10" s="56"/>
      <c r="D10" s="56"/>
    </row>
    <row r="11" spans="1:4" ht="15.75" x14ac:dyDescent="0.25">
      <c r="A11" s="55" t="str">
        <v>SSEMG_STA_IS_20260224_1600</v>
      </c>
      <c r="B11" s="55"/>
      <c r="C11" s="55"/>
      <c r="D11" s="55"/>
    </row>
    <row r="12" spans="1:4" ht="15.75" x14ac:dyDescent="0.25">
      <c r="A12" s="56" t="str">
        <v>SSEMG_STA_IS_20260224_1800</v>
      </c>
      <c r="B12" s="56"/>
      <c r="C12" s="56"/>
      <c r="D12" s="56"/>
    </row>
    <row r="13" spans="1:4" ht="15.75" x14ac:dyDescent="0.25">
      <c r="A13" s="55" t="str">
        <v>SSEMG_STA_IS_20260224_2000</v>
      </c>
      <c r="B13" s="55"/>
      <c r="C13" s="55"/>
      <c r="D13" s="55"/>
    </row>
    <row r="14" spans="1:4" ht="15.75" x14ac:dyDescent="0.25">
      <c r="A14" s="56" t="str">
        <v>SSEMG_STA_IS_20260224_2200</v>
      </c>
      <c r="B14" s="56"/>
      <c r="C14" s="56"/>
      <c r="D14" s="56"/>
    </row>
    <row r="15" spans="1:4" ht="15.75" x14ac:dyDescent="0.25">
      <c r="A15" s="55" t="str">
        <v>SSEMG_STA_IS_20260225_0000</v>
      </c>
      <c r="B15" s="55"/>
      <c r="C15" s="55"/>
      <c r="D15" s="55"/>
    </row>
    <row r="16" spans="1:4" ht="15.75" x14ac:dyDescent="0.25">
      <c r="A16" s="56" t="str">
        <v>SSEMG_STA_IS_20260225_0200</v>
      </c>
      <c r="B16" s="56"/>
      <c r="C16" s="56"/>
      <c r="D16" s="56"/>
    </row>
    <row r="17" spans="1:4" ht="15.75" x14ac:dyDescent="0.25">
      <c r="A17" s="55" t="str">
        <v>SSEMG_STA_IS_20260225_0400</v>
      </c>
      <c r="B17" s="55"/>
      <c r="C17" s="55"/>
      <c r="D17" s="55"/>
    </row>
    <row r="18" spans="1:4" ht="15.75" x14ac:dyDescent="0.25">
      <c r="A18" s="56" t="str">
        <v>SSEMG_STA_IS_20260225_0600</v>
      </c>
      <c r="B18" s="56"/>
      <c r="C18" s="56"/>
      <c r="D18" s="56"/>
    </row>
    <row r="19" spans="1:4" ht="15.75" x14ac:dyDescent="0.25">
      <c r="A19" s="55" t="str">
        <v>SSEMG_STA_IS_20260225_0800</v>
      </c>
      <c r="B19" s="55"/>
      <c r="C19" s="55"/>
      <c r="D19" s="55"/>
    </row>
    <row r="20" spans="1:4" ht="15.75" x14ac:dyDescent="0.25">
      <c r="A20" s="56" t="str">
        <v>SSEMG_STA_IS_20260225_1000</v>
      </c>
      <c r="B20" s="56"/>
      <c r="C20" s="56"/>
      <c r="D20" s="56"/>
    </row>
    <row r="21" spans="1:4" ht="15.75" x14ac:dyDescent="0.25">
      <c r="A21" s="55" t="str">
        <v>SSEMG_STA_IS_20260225_1200</v>
      </c>
      <c r="B21" s="55"/>
      <c r="C21" s="55"/>
      <c r="D21" s="55"/>
    </row>
    <row r="22" spans="1:4" ht="15.75" x14ac:dyDescent="0.25">
      <c r="A22" s="56" t="str">
        <v>SSEMG_STA_IS_20260225_1400</v>
      </c>
      <c r="B22" s="56"/>
      <c r="C22" s="56"/>
      <c r="D22" s="56"/>
    </row>
    <row r="23" spans="1:4" ht="15.75" x14ac:dyDescent="0.25">
      <c r="A23" s="55" t="str">
        <v>SSEMG_STA_IS_20260225_1600</v>
      </c>
      <c r="B23" s="55"/>
      <c r="C23" s="55"/>
      <c r="D23" s="55"/>
    </row>
    <row r="24" spans="1:4" ht="15.75" x14ac:dyDescent="0.25">
      <c r="A24" s="56" t="str">
        <v>SSEMG_STA_IS_20260225_1800</v>
      </c>
      <c r="B24" s="56"/>
      <c r="C24" s="56"/>
      <c r="D24" s="56"/>
    </row>
    <row r="25" spans="1:4" ht="15.75" x14ac:dyDescent="0.25">
      <c r="A25" s="55" t="str">
        <v>SSEMG_STA_IS_20260225_2000</v>
      </c>
      <c r="B25" s="55"/>
      <c r="C25" s="55"/>
      <c r="D25" s="55"/>
    </row>
    <row r="26" spans="1:4" ht="15.75" x14ac:dyDescent="0.25">
      <c r="A26" s="56" t="str">
        <v>SSEMG_STA_IS_20260225_2200</v>
      </c>
      <c r="B26" s="56"/>
      <c r="C26" s="56"/>
      <c r="D26" s="56"/>
    </row>
    <row r="27" spans="1:4" ht="15.75" x14ac:dyDescent="0.25">
      <c r="A27" s="55" t="str">
        <v>SSEMG_STA_IS_20260226_0000</v>
      </c>
      <c r="B27" s="55"/>
      <c r="C27" s="55"/>
      <c r="D27" s="55"/>
    </row>
    <row r="28" spans="1:4" ht="15.75" x14ac:dyDescent="0.25">
      <c r="A28" s="56" t="str">
        <v>SSEMG_STA_IS_20260226_0200</v>
      </c>
      <c r="B28" s="56"/>
      <c r="C28" s="56"/>
      <c r="D28" s="56"/>
    </row>
    <row r="29" spans="1:4" ht="15.75" x14ac:dyDescent="0.25">
      <c r="A29" s="55" t="str">
        <v>SSEMG_STA_IS_20260226_0400</v>
      </c>
      <c r="B29" s="55"/>
      <c r="C29" s="55"/>
      <c r="D29" s="55"/>
    </row>
    <row r="30" spans="1:4" ht="15.75" x14ac:dyDescent="0.25">
      <c r="A30" s="56" t="str">
        <v>SSEMG_STA_IS_20260226_0600</v>
      </c>
      <c r="B30" s="56"/>
      <c r="C30" s="56"/>
      <c r="D30" s="56"/>
    </row>
    <row r="31" spans="1:4" ht="15.75" x14ac:dyDescent="0.25">
      <c r="A31" s="55" t="str">
        <v>SSEMG_STA_IS_20260226_0800</v>
      </c>
      <c r="B31" s="55"/>
      <c r="C31" s="55"/>
      <c r="D31" s="55"/>
    </row>
    <row r="32" spans="1:4" ht="15.75" x14ac:dyDescent="0.25">
      <c r="A32" s="56" t="str">
        <v>SSEMG_STA_IS_20260226_1000</v>
      </c>
      <c r="B32" s="56"/>
      <c r="C32" s="56"/>
      <c r="D32" s="56"/>
    </row>
    <row r="33" spans="1:4" ht="15.75" x14ac:dyDescent="0.25">
      <c r="A33" s="55" t="str">
        <v>SSEMG_STA_IS_20260226_1200</v>
      </c>
      <c r="B33" s="55"/>
      <c r="C33" s="55"/>
      <c r="D33" s="55"/>
    </row>
    <row r="34" spans="1:4" ht="15.75" x14ac:dyDescent="0.25">
      <c r="A34" s="56" t="str">
        <v>SSEMG_STA_IS_20260226_1400</v>
      </c>
      <c r="B34" s="56"/>
      <c r="C34" s="56"/>
      <c r="D34" s="56"/>
    </row>
    <row r="35" spans="1:4" ht="15.75" x14ac:dyDescent="0.25">
      <c r="A35" s="55" t="str">
        <v>SSEMG_STA_IS_20260226_1600</v>
      </c>
      <c r="B35" s="55"/>
      <c r="C35" s="55"/>
      <c r="D35" s="55"/>
    </row>
    <row r="36" spans="1:4" ht="15.75" x14ac:dyDescent="0.25">
      <c r="A36" s="56" t="str">
        <v>SSEMG_STA_IS_20260226_1800</v>
      </c>
      <c r="B36" s="56"/>
      <c r="C36" s="56"/>
      <c r="D36" s="56"/>
    </row>
    <row r="37" spans="1:4" ht="15.75" x14ac:dyDescent="0.25">
      <c r="A37" s="55" t="str">
        <v>SSEMG_STA_IS_20260226_2000</v>
      </c>
      <c r="B37" s="55"/>
      <c r="C37" s="55"/>
      <c r="D37" s="55"/>
    </row>
    <row r="38" spans="1:4" ht="15.75" x14ac:dyDescent="0.25">
      <c r="A38" s="56" t="str">
        <v>SSEMG_STA_IS_20260226_2200</v>
      </c>
      <c r="B38" s="56"/>
      <c r="C38" s="56"/>
      <c r="D38" s="56"/>
    </row>
    <row r="39" spans="1:4" ht="15.75" x14ac:dyDescent="0.25">
      <c r="A39" s="55" t="str">
        <v>SSEMG_STA_IS_20260227_0000</v>
      </c>
      <c r="B39" s="55"/>
      <c r="C39" s="55"/>
      <c r="D39" s="55"/>
    </row>
    <row r="40" spans="1:4" ht="15.75" x14ac:dyDescent="0.25">
      <c r="A40" s="56" t="str">
        <v>SSEMG_STA_IS_20260227_0200</v>
      </c>
      <c r="B40" s="56"/>
      <c r="C40" s="56"/>
      <c r="D40" s="56"/>
    </row>
    <row r="41" spans="1:4" ht="15.75" x14ac:dyDescent="0.25">
      <c r="A41" s="55" t="str">
        <v>SSEMG_STA_IS_20260227_0400</v>
      </c>
      <c r="B41" s="55"/>
      <c r="C41" s="55"/>
      <c r="D41" s="55"/>
    </row>
    <row r="42" spans="1:4" ht="15.75" x14ac:dyDescent="0.25">
      <c r="A42" s="56" t="str">
        <v>SSEMG_STA_IS_20260227_0600</v>
      </c>
      <c r="B42" s="56"/>
      <c r="C42" s="56"/>
      <c r="D42" s="56"/>
    </row>
    <row r="43" spans="1:4" ht="15.75" x14ac:dyDescent="0.25">
      <c r="A43" s="55" t="str">
        <v>SSEMG_STA_IS_20260227_0800</v>
      </c>
      <c r="B43" s="55"/>
      <c r="C43" s="55"/>
      <c r="D43" s="55"/>
    </row>
    <row r="44" spans="1:4" ht="15.75" x14ac:dyDescent="0.25">
      <c r="A44" s="56" t="str">
        <v>SSEMG_STA_IS_20260227_1000</v>
      </c>
      <c r="B44" s="56"/>
      <c r="C44" s="56"/>
      <c r="D44" s="56"/>
    </row>
    <row r="45" spans="1:4" ht="15.75" x14ac:dyDescent="0.25">
      <c r="A45" s="55" t="str">
        <v>SSEMG_STA_IS_20260227_1200</v>
      </c>
      <c r="B45" s="55"/>
      <c r="C45" s="55"/>
      <c r="D45" s="55"/>
    </row>
    <row r="46" spans="1:4" ht="15.75" x14ac:dyDescent="0.25">
      <c r="A46" s="56" t="str">
        <v>SSEMG_STA_IS_20260227_1400</v>
      </c>
      <c r="B46" s="56"/>
      <c r="C46" s="56"/>
      <c r="D46" s="56"/>
    </row>
    <row r="47" spans="1:4" ht="15.75" x14ac:dyDescent="0.25">
      <c r="A47" s="55" t="str">
        <v>SSEMG_STA_IS_20260227_1600</v>
      </c>
      <c r="B47" s="55"/>
      <c r="C47" s="55"/>
      <c r="D47" s="55"/>
    </row>
    <row r="48" spans="1:4" ht="15.75" x14ac:dyDescent="0.25">
      <c r="A48" s="56" t="str">
        <v>SSEMG_STA_IS_20260227_1800</v>
      </c>
      <c r="B48" s="56"/>
      <c r="C48" s="56"/>
      <c r="D48" s="56"/>
    </row>
    <row r="49" spans="1:4" ht="15.75" x14ac:dyDescent="0.25">
      <c r="A49" s="55" t="str">
        <v>SSEMG_STA_IS_20260227_2000</v>
      </c>
      <c r="B49" s="55"/>
      <c r="C49" s="55"/>
      <c r="D49" s="55"/>
    </row>
    <row r="50" spans="1:4" ht="15.75" x14ac:dyDescent="0.25">
      <c r="A50" s="56" t="str">
        <v>SSEMG_STA_IS_20260227_2200</v>
      </c>
      <c r="B50" s="56"/>
      <c r="C50" s="56"/>
      <c r="D50" s="56"/>
    </row>
    <row r="51" spans="1:4" ht="15.75" x14ac:dyDescent="0.25">
      <c r="A51" s="55" t="str">
        <v>SSEMG_STA_IS_20260228_0000</v>
      </c>
      <c r="B51" s="55"/>
      <c r="C51" s="55"/>
      <c r="D51" s="55"/>
    </row>
    <row r="52" spans="1:4" ht="15.75" x14ac:dyDescent="0.25">
      <c r="A52" s="56" t="str">
        <v>SSEMG_STA_IS_20260228_0200</v>
      </c>
      <c r="B52" s="56"/>
      <c r="C52" s="56"/>
      <c r="D52" s="56"/>
    </row>
    <row r="53" spans="1:4" ht="15.75" x14ac:dyDescent="0.25">
      <c r="A53" s="55" t="str">
        <v>SSEMG_STA_IS_20260228_0400</v>
      </c>
      <c r="B53" s="55"/>
      <c r="C53" s="55"/>
      <c r="D53" s="55"/>
    </row>
    <row r="54" spans="1:4" ht="15.75" x14ac:dyDescent="0.25">
      <c r="A54" s="56" t="str">
        <v>SSEMG_STA_IS_20260228_0600</v>
      </c>
      <c r="B54" s="56"/>
      <c r="C54" s="56"/>
      <c r="D54" s="56"/>
    </row>
    <row r="55" spans="1:4" ht="15.75" x14ac:dyDescent="0.25">
      <c r="A55" s="55" t="str">
        <v>SSEMG_STA_IS_20260228_0800</v>
      </c>
      <c r="B55" s="55"/>
      <c r="C55" s="55"/>
      <c r="D55" s="55"/>
    </row>
    <row r="56" spans="1:4" ht="15.75" x14ac:dyDescent="0.25">
      <c r="A56" s="56" t="str">
        <v>SSEMG_STA_IS_20260228_1000</v>
      </c>
      <c r="B56" s="56"/>
      <c r="C56" s="56"/>
      <c r="D56" s="56"/>
    </row>
    <row r="57" spans="1:4" ht="15.75" x14ac:dyDescent="0.25">
      <c r="A57" s="55" t="str">
        <v>SSEMG_STA_IS_20260228_1200</v>
      </c>
      <c r="B57" s="55"/>
      <c r="C57" s="55"/>
      <c r="D57" s="55"/>
    </row>
    <row r="58" spans="1:4" ht="15.75" x14ac:dyDescent="0.25">
      <c r="A58" s="56" t="str">
        <v>SSEMG_STA_IS_20260228_1400</v>
      </c>
      <c r="B58" s="56"/>
      <c r="C58" s="56"/>
      <c r="D58" s="56"/>
    </row>
    <row r="59" spans="1:4" ht="15.75" x14ac:dyDescent="0.25">
      <c r="A59" s="55" t="str">
        <v>SSEMG_STA_IS_20260228_1600</v>
      </c>
      <c r="B59" s="55"/>
      <c r="C59" s="55"/>
      <c r="D59" s="55"/>
    </row>
    <row r="60" spans="1:4" ht="15.75" x14ac:dyDescent="0.25">
      <c r="A60" s="56" t="str">
        <v>SSEMG_STA_IS_20260228_1800</v>
      </c>
      <c r="B60" s="56"/>
      <c r="C60" s="56"/>
      <c r="D60" s="56"/>
    </row>
    <row r="61" spans="1:4" ht="15.75" x14ac:dyDescent="0.25">
      <c r="A61" s="55" t="str">
        <v>SSEMG_STA_IS_20260228_2000</v>
      </c>
      <c r="B61" s="55"/>
      <c r="C61" s="55"/>
      <c r="D61" s="55"/>
    </row>
    <row r="62" spans="1:4" ht="15.75" x14ac:dyDescent="0.25">
      <c r="A62" s="56" t="str">
        <v>SSEMG_STA_IS_20260228_2200</v>
      </c>
      <c r="B62" s="56"/>
      <c r="C62" s="56"/>
      <c r="D62" s="56"/>
    </row>
    <row r="63" spans="1:4" ht="15.75" x14ac:dyDescent="0.25">
      <c r="A63" s="55" t="str">
        <v>SSEMG_STA_IS_20260301_0000</v>
      </c>
      <c r="B63" s="55"/>
      <c r="C63" s="55"/>
      <c r="D63" s="55"/>
    </row>
    <row r="64" spans="1:4" ht="15.75" x14ac:dyDescent="0.25">
      <c r="A64" s="56" t="str">
        <v>SSEMG_STA_IS_20260301_0200</v>
      </c>
      <c r="B64" s="56"/>
      <c r="C64" s="56"/>
      <c r="D64" s="56"/>
    </row>
    <row r="65" spans="1:4" ht="15.75" x14ac:dyDescent="0.25">
      <c r="A65" s="55" t="str">
        <v>SSEMG_STA_IS_20260301_0400</v>
      </c>
      <c r="B65" s="55"/>
      <c r="C65" s="55"/>
      <c r="D65" s="55"/>
    </row>
    <row r="66" spans="1:4" ht="15.75" x14ac:dyDescent="0.25">
      <c r="A66" s="56" t="str">
        <v>SSEMG_STA_IS_20260301_0600</v>
      </c>
      <c r="B66" s="56"/>
      <c r="C66" s="56"/>
      <c r="D66" s="56"/>
    </row>
    <row r="67" spans="1:4" ht="15.75" x14ac:dyDescent="0.25">
      <c r="A67" s="55" t="str">
        <v>SSEMG_STA_IS_20260301_0800</v>
      </c>
      <c r="B67" s="55"/>
      <c r="C67" s="55"/>
      <c r="D67" s="55"/>
    </row>
    <row r="68" spans="1:4" ht="15.75" x14ac:dyDescent="0.25">
      <c r="A68" s="56" t="str">
        <v>SSEMG_STA_IS_20260301_1000</v>
      </c>
      <c r="B68" s="56"/>
      <c r="C68" s="56"/>
      <c r="D68" s="56"/>
    </row>
    <row r="69" spans="1:4" ht="15.75" x14ac:dyDescent="0.25">
      <c r="A69" s="55" t="str">
        <v>SSEMG_STA_IS_20260301_1200</v>
      </c>
      <c r="B69" s="55"/>
      <c r="C69" s="55"/>
      <c r="D69" s="55"/>
    </row>
    <row r="70" spans="1:4" ht="15.75" x14ac:dyDescent="0.25">
      <c r="A70" s="56" t="str">
        <v>SSEMG_STA_IS_20260301_1400</v>
      </c>
      <c r="B70" s="56"/>
      <c r="C70" s="56"/>
      <c r="D70" s="56"/>
    </row>
    <row r="71" spans="1:4" ht="15.75" x14ac:dyDescent="0.25">
      <c r="A71" s="55" t="str">
        <v>SSEMG_STA_IS_20260301_1600</v>
      </c>
      <c r="B71" s="55"/>
      <c r="C71" s="55"/>
      <c r="D71" s="55"/>
    </row>
    <row r="72" spans="1:4" ht="15.75" x14ac:dyDescent="0.25">
      <c r="A72" s="56" t="str">
        <v>SSEMG_STA_IS_20260301_1800</v>
      </c>
      <c r="B72" s="56"/>
      <c r="C72" s="56"/>
      <c r="D72" s="56"/>
    </row>
    <row r="73" spans="1:4" ht="15.75" x14ac:dyDescent="0.25">
      <c r="A73" s="55" t="str">
        <v>SSEMG_STA_IS_20260301_2000</v>
      </c>
      <c r="B73" s="55"/>
      <c r="C73" s="55"/>
      <c r="D73" s="55"/>
    </row>
    <row r="74" spans="1:4" ht="15.75" x14ac:dyDescent="0.25">
      <c r="A74" s="56" t="str">
        <v>SSEMG_STA_IS_20260301_2200</v>
      </c>
      <c r="B74" s="56"/>
      <c r="C74" s="56"/>
      <c r="D74" s="56"/>
    </row>
    <row r="75" spans="1:4" ht="15.75" x14ac:dyDescent="0.25">
      <c r="A75" s="55" t="str">
        <v>SSEMG_STA_IS_20260302_0000</v>
      </c>
      <c r="B75" s="55"/>
      <c r="C75" s="55"/>
      <c r="D75" s="55"/>
    </row>
    <row r="76" spans="1:4" ht="15.75" x14ac:dyDescent="0.25">
      <c r="A76" s="56" t="str">
        <v>SSEMG_STA_IS_20260302_0200</v>
      </c>
      <c r="B76" s="56"/>
      <c r="C76" s="56"/>
      <c r="D76" s="56"/>
    </row>
    <row r="77" spans="1:4" ht="15.75" x14ac:dyDescent="0.25">
      <c r="A77" s="55" t="str">
        <v>SSEMG_STA_IS_20260302_0400</v>
      </c>
      <c r="B77" s="55"/>
      <c r="C77" s="55"/>
      <c r="D77" s="55"/>
    </row>
    <row r="78" spans="1:4" ht="15.75" x14ac:dyDescent="0.25">
      <c r="A78" s="56" t="str">
        <v>SSEMG_STA_IS_20260302_0600</v>
      </c>
      <c r="B78" s="56"/>
      <c r="C78" s="56"/>
      <c r="D78" s="56"/>
    </row>
    <row r="79" spans="1:4" ht="15.75" x14ac:dyDescent="0.25">
      <c r="A79" s="55" t="str">
        <v>SSEMG_STA_IS_20260302_0800</v>
      </c>
      <c r="B79" s="55"/>
      <c r="C79" s="55"/>
      <c r="D79" s="55"/>
    </row>
    <row r="80" spans="1:4" ht="15.75" x14ac:dyDescent="0.25">
      <c r="A80" s="56" t="str">
        <v>SSEMG_STA_IS_20260302_1000</v>
      </c>
      <c r="B80" s="56"/>
      <c r="C80" s="56"/>
      <c r="D80" s="56"/>
    </row>
    <row r="81" spans="1:4" ht="15.75" x14ac:dyDescent="0.25">
      <c r="A81" s="55" t="str">
        <v>SSEMG_STA_IS_20260302_1200</v>
      </c>
      <c r="B81" s="55"/>
      <c r="C81" s="55"/>
      <c r="D81" s="55"/>
    </row>
    <row r="82" spans="1:4" ht="15.75" x14ac:dyDescent="0.25">
      <c r="A82" s="56" t="str">
        <v>SSEMG_STA_IS_20260302_1400</v>
      </c>
      <c r="B82" s="56"/>
      <c r="C82" s="56"/>
      <c r="D82" s="56"/>
    </row>
    <row r="83" spans="1:4" ht="15.75" x14ac:dyDescent="0.25">
      <c r="A83" s="55" t="str">
        <v>SSEMG_STA_IS_20260302_1600</v>
      </c>
      <c r="B83" s="55"/>
      <c r="C83" s="55"/>
      <c r="D83" s="55"/>
    </row>
    <row r="84" spans="1:4" ht="15.75" x14ac:dyDescent="0.25">
      <c r="A84" s="56" t="str">
        <v>SSEMG_STA_IS_20260302_1800</v>
      </c>
      <c r="B84" s="56"/>
      <c r="C84" s="56"/>
      <c r="D84" s="56"/>
    </row>
    <row r="85" spans="1:4" ht="15.75" x14ac:dyDescent="0.25">
      <c r="A85" s="55" t="str">
        <v>SSEMG_STA_IS_20260302_2000</v>
      </c>
      <c r="B85" s="55"/>
      <c r="C85" s="55"/>
      <c r="D85" s="55"/>
    </row>
    <row r="86" spans="1:4" ht="15.75" x14ac:dyDescent="0.25">
      <c r="A86" s="56" t="str">
        <v>SSEMG_STA_IS_20260302_2200</v>
      </c>
      <c r="B86" s="56"/>
      <c r="C86" s="56"/>
      <c r="D86" s="56"/>
    </row>
    <row r="87" spans="1:4" ht="15.75" x14ac:dyDescent="0.25">
      <c r="A87" s="55" t="str">
        <v>SSEMG_STA_IS_20260303_0000</v>
      </c>
      <c r="B87" s="55"/>
      <c r="C87" s="55"/>
      <c r="D87" s="55"/>
    </row>
    <row r="88" spans="1:4" ht="15.75" x14ac:dyDescent="0.25">
      <c r="A88" s="56" t="str">
        <v>SSEMG_STA_IS_20260303_0200</v>
      </c>
      <c r="B88" s="56"/>
      <c r="C88" s="56"/>
      <c r="D88" s="56"/>
    </row>
    <row r="89" spans="1:4" ht="15.75" x14ac:dyDescent="0.25">
      <c r="A89" s="55" t="str">
        <v>SSEMG_STA_IS_20260303_0400</v>
      </c>
      <c r="B89" s="55"/>
      <c r="C89" s="55"/>
      <c r="D89" s="55"/>
    </row>
    <row r="90" spans="1:4" ht="15.75" x14ac:dyDescent="0.25">
      <c r="A90" s="56" t="str">
        <v>SSEMG_STA_IS_20260303_0600</v>
      </c>
      <c r="B90" s="56"/>
      <c r="C90" s="56"/>
      <c r="D90" s="56"/>
    </row>
    <row r="91" spans="1:4" ht="15.75" x14ac:dyDescent="0.25">
      <c r="A91" s="55" t="str">
        <v>SSEMG_STA_IS_20260303_0800</v>
      </c>
      <c r="B91" s="55"/>
      <c r="C91" s="55"/>
      <c r="D91" s="55"/>
    </row>
    <row r="92" spans="1:4" ht="15.75" x14ac:dyDescent="0.25">
      <c r="A92" s="56" t="str">
        <v>SSEMG_STA_IS_20260303_1000</v>
      </c>
      <c r="B92" s="56"/>
      <c r="C92" s="56"/>
      <c r="D92" s="56"/>
    </row>
    <row r="93" spans="1:4" ht="15.75" x14ac:dyDescent="0.25">
      <c r="A93" s="55" t="str">
        <v>SSEMG_STA_IS_20260303_1200</v>
      </c>
      <c r="B93" s="55"/>
      <c r="C93" s="55"/>
      <c r="D93" s="55"/>
    </row>
    <row r="94" spans="1:4" ht="15.75" x14ac:dyDescent="0.25">
      <c r="A94" s="56" t="str">
        <v>SSEMG_STA_IS_20260303_1400</v>
      </c>
      <c r="B94" s="56"/>
      <c r="C94" s="56"/>
      <c r="D94" s="56"/>
    </row>
    <row r="95" spans="1:4" ht="15.75" x14ac:dyDescent="0.25">
      <c r="A95" s="55" t="str">
        <v>SSEMG_STA_IS_20260303_1600</v>
      </c>
      <c r="B95" s="55"/>
      <c r="C95" s="55"/>
      <c r="D95" s="55"/>
    </row>
    <row r="96" spans="1:4" ht="15.75" x14ac:dyDescent="0.25">
      <c r="A96" s="56" t="str">
        <v>SSEMG_STA_IS_20260303_1800</v>
      </c>
      <c r="B96" s="56"/>
      <c r="C96" s="56"/>
      <c r="D96" s="56"/>
    </row>
    <row r="97" spans="1:4" ht="15.75" x14ac:dyDescent="0.25">
      <c r="A97" s="55" t="str">
        <v>SSEMG_STA_IS_20260303_2000</v>
      </c>
      <c r="B97" s="55"/>
      <c r="C97" s="55"/>
      <c r="D97" s="55"/>
    </row>
    <row r="98" spans="1:4" ht="15.75" x14ac:dyDescent="0.25">
      <c r="A98" s="56" t="str">
        <v>SSEMG_STA_IS_20260303_2200</v>
      </c>
      <c r="B98" s="56"/>
      <c r="C98" s="56"/>
      <c r="D98" s="56"/>
    </row>
    <row r="99" spans="1:4" ht="15.75" x14ac:dyDescent="0.25">
      <c r="A99" s="55" t="str">
        <v>SSEMG_STA_IS_20260304_0000</v>
      </c>
      <c r="B99" s="55"/>
      <c r="C99" s="55"/>
      <c r="D99" s="55"/>
    </row>
    <row r="100" spans="1:4" x14ac:dyDescent="0.25">
      <c r="A100" t="str">
        <v>SSEMG_STA_IS_20260304_0200</v>
      </c>
    </row>
    <row r="101" spans="1:4" x14ac:dyDescent="0.25">
      <c r="A101" t="str">
        <v>SSEMG_STA_IS_20260304_0400</v>
      </c>
    </row>
    <row r="102" spans="1:4" x14ac:dyDescent="0.25">
      <c r="A102" t="str">
        <v>SSEMG_STA_IS_20260304_0600</v>
      </c>
    </row>
  </sheetData>
  <mergeCells count="1">
    <mergeCell ref="B1:C1"/>
  </mergeCells>
  <pageMargins left="0.7" right="0.7" top="0.75" bottom="0.75" header="0.3" footer="0.3"/>
  <pageSetup scale="98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61CB-AFF6-4988-8C26-F70360C91095}">
  <sheetPr>
    <pageSetUpPr fitToPage="1"/>
  </sheetPr>
  <dimension ref="A1:D102"/>
  <sheetViews>
    <sheetView topLeftCell="A78" zoomScaleNormal="100" workbookViewId="0">
      <selection activeCell="A104" sqref="A104"/>
    </sheetView>
  </sheetViews>
  <sheetFormatPr defaultRowHeight="15" x14ac:dyDescent="0.25"/>
  <cols>
    <col min="1" max="1" width="29.28515625" customWidth="1"/>
    <col min="2" max="2" width="12.28515625" customWidth="1"/>
    <col min="3" max="3" width="12.85546875" customWidth="1"/>
    <col min="4" max="4" width="36.28515625" customWidth="1"/>
  </cols>
  <sheetData>
    <row r="1" spans="1:4" ht="15.75" x14ac:dyDescent="0.25">
      <c r="A1" s="60" t="s">
        <v>70</v>
      </c>
      <c r="B1" s="76" t="s">
        <v>71</v>
      </c>
      <c r="C1" s="77"/>
      <c r="D1" s="61" t="s">
        <v>63</v>
      </c>
    </row>
    <row r="2" spans="1:4" ht="16.899999999999999" customHeight="1" x14ac:dyDescent="0.25">
      <c r="A2" s="52" t="s">
        <v>64</v>
      </c>
      <c r="B2" s="59" t="s">
        <v>72</v>
      </c>
      <c r="C2" s="59" t="s">
        <v>73</v>
      </c>
      <c r="D2" s="62" t="s">
        <v>68</v>
      </c>
    </row>
    <row r="3" spans="1:4" ht="15.75" x14ac:dyDescent="0.25">
      <c r="A3" s="55" t="str" cm="1">
        <f t="array" ref="A3:A102">_xlfn.CHOOSEROWS(
    IF(FILLME!B9="Bottle Number", 'Label IDs'!L:L, 'Label IDs'!M:M),
    _xlfn.SEQUENCE(FILLME!B16*FILLME!B5) + 1
)</f>
        <v>SSEMG_STA_IS_20260224_0000</v>
      </c>
      <c r="B3" s="55"/>
      <c r="C3" s="55"/>
      <c r="D3" s="55"/>
    </row>
    <row r="4" spans="1:4" ht="15.75" x14ac:dyDescent="0.25">
      <c r="A4" s="56" t="str">
        <v>SSEMG_STA_IS_20260224_0200</v>
      </c>
      <c r="B4" s="56"/>
      <c r="C4" s="56"/>
      <c r="D4" s="56"/>
    </row>
    <row r="5" spans="1:4" ht="15.75" x14ac:dyDescent="0.25">
      <c r="A5" s="55" t="str">
        <v>SSEMG_STA_IS_20260224_0400</v>
      </c>
      <c r="B5" s="55"/>
      <c r="C5" s="55"/>
      <c r="D5" s="55"/>
    </row>
    <row r="6" spans="1:4" ht="15.75" x14ac:dyDescent="0.25">
      <c r="A6" s="56" t="str">
        <v>SSEMG_STA_IS_20260224_0600</v>
      </c>
      <c r="B6" s="56"/>
      <c r="C6" s="56"/>
      <c r="D6" s="56"/>
    </row>
    <row r="7" spans="1:4" ht="15.75" x14ac:dyDescent="0.25">
      <c r="A7" s="55" t="str">
        <v>SSEMG_STA_IS_20260224_0800</v>
      </c>
      <c r="B7" s="55"/>
      <c r="C7" s="55"/>
      <c r="D7" s="55"/>
    </row>
    <row r="8" spans="1:4" ht="15.75" x14ac:dyDescent="0.25">
      <c r="A8" s="56" t="str">
        <v>SSEMG_STA_IS_20260224_1000</v>
      </c>
      <c r="B8" s="56"/>
      <c r="C8" s="56"/>
      <c r="D8" s="56"/>
    </row>
    <row r="9" spans="1:4" ht="15.75" x14ac:dyDescent="0.25">
      <c r="A9" s="55" t="str">
        <v>SSEMG_STA_IS_20260224_1200</v>
      </c>
      <c r="B9" s="55"/>
      <c r="C9" s="55"/>
      <c r="D9" s="55"/>
    </row>
    <row r="10" spans="1:4" ht="15.75" x14ac:dyDescent="0.25">
      <c r="A10" s="56" t="str">
        <v>SSEMG_STA_IS_20260224_1400</v>
      </c>
      <c r="B10" s="56"/>
      <c r="C10" s="56"/>
      <c r="D10" s="56"/>
    </row>
    <row r="11" spans="1:4" ht="15.75" x14ac:dyDescent="0.25">
      <c r="A11" s="55" t="str">
        <v>SSEMG_STA_IS_20260224_1600</v>
      </c>
      <c r="B11" s="55"/>
      <c r="C11" s="55"/>
      <c r="D11" s="55"/>
    </row>
    <row r="12" spans="1:4" ht="15.75" x14ac:dyDescent="0.25">
      <c r="A12" s="56" t="str">
        <v>SSEMG_STA_IS_20260224_1800</v>
      </c>
      <c r="B12" s="56"/>
      <c r="C12" s="56"/>
      <c r="D12" s="56"/>
    </row>
    <row r="13" spans="1:4" ht="15.75" x14ac:dyDescent="0.25">
      <c r="A13" s="55" t="str">
        <v>SSEMG_STA_IS_20260224_2000</v>
      </c>
      <c r="B13" s="55"/>
      <c r="C13" s="55"/>
      <c r="D13" s="55"/>
    </row>
    <row r="14" spans="1:4" ht="15.75" x14ac:dyDescent="0.25">
      <c r="A14" s="56" t="str">
        <v>SSEMG_STA_IS_20260224_2200</v>
      </c>
      <c r="B14" s="56"/>
      <c r="C14" s="56"/>
      <c r="D14" s="56"/>
    </row>
    <row r="15" spans="1:4" ht="15.75" x14ac:dyDescent="0.25">
      <c r="A15" s="55" t="str">
        <v>SSEMG_STA_IS_20260225_0000</v>
      </c>
      <c r="B15" s="55"/>
      <c r="C15" s="55"/>
      <c r="D15" s="55"/>
    </row>
    <row r="16" spans="1:4" ht="15.75" x14ac:dyDescent="0.25">
      <c r="A16" s="56" t="str">
        <v>SSEMG_STA_IS_20260225_0200</v>
      </c>
      <c r="B16" s="56"/>
      <c r="C16" s="56"/>
      <c r="D16" s="56"/>
    </row>
    <row r="17" spans="1:4" ht="15.75" x14ac:dyDescent="0.25">
      <c r="A17" s="55" t="str">
        <v>SSEMG_STA_IS_20260225_0400</v>
      </c>
      <c r="B17" s="55"/>
      <c r="C17" s="55"/>
      <c r="D17" s="55"/>
    </row>
    <row r="18" spans="1:4" ht="15.75" x14ac:dyDescent="0.25">
      <c r="A18" s="56" t="str">
        <v>SSEMG_STA_IS_20260225_0600</v>
      </c>
      <c r="B18" s="56"/>
      <c r="C18" s="56"/>
      <c r="D18" s="56"/>
    </row>
    <row r="19" spans="1:4" ht="15.75" x14ac:dyDescent="0.25">
      <c r="A19" s="55" t="str">
        <v>SSEMG_STA_IS_20260225_0800</v>
      </c>
      <c r="B19" s="55"/>
      <c r="C19" s="55"/>
      <c r="D19" s="55"/>
    </row>
    <row r="20" spans="1:4" ht="15.75" x14ac:dyDescent="0.25">
      <c r="A20" s="56" t="str">
        <v>SSEMG_STA_IS_20260225_1000</v>
      </c>
      <c r="B20" s="56"/>
      <c r="C20" s="56"/>
      <c r="D20" s="56"/>
    </row>
    <row r="21" spans="1:4" ht="15.75" x14ac:dyDescent="0.25">
      <c r="A21" s="55" t="str">
        <v>SSEMG_STA_IS_20260225_1200</v>
      </c>
      <c r="B21" s="55"/>
      <c r="C21" s="55"/>
      <c r="D21" s="55"/>
    </row>
    <row r="22" spans="1:4" ht="15.75" x14ac:dyDescent="0.25">
      <c r="A22" s="56" t="str">
        <v>SSEMG_STA_IS_20260225_1400</v>
      </c>
      <c r="B22" s="56"/>
      <c r="C22" s="56"/>
      <c r="D22" s="56"/>
    </row>
    <row r="23" spans="1:4" ht="15.75" x14ac:dyDescent="0.25">
      <c r="A23" s="55" t="str">
        <v>SSEMG_STA_IS_20260225_1600</v>
      </c>
      <c r="B23" s="55"/>
      <c r="C23" s="55"/>
      <c r="D23" s="55"/>
    </row>
    <row r="24" spans="1:4" ht="15.75" x14ac:dyDescent="0.25">
      <c r="A24" s="56" t="str">
        <v>SSEMG_STA_IS_20260225_1800</v>
      </c>
      <c r="B24" s="56"/>
      <c r="C24" s="56"/>
      <c r="D24" s="56"/>
    </row>
    <row r="25" spans="1:4" ht="15.75" x14ac:dyDescent="0.25">
      <c r="A25" s="55" t="str">
        <v>SSEMG_STA_IS_20260225_2000</v>
      </c>
      <c r="B25" s="55"/>
      <c r="C25" s="55"/>
      <c r="D25" s="55"/>
    </row>
    <row r="26" spans="1:4" ht="15.75" x14ac:dyDescent="0.25">
      <c r="A26" s="56" t="str">
        <v>SSEMG_STA_IS_20260225_2200</v>
      </c>
      <c r="B26" s="56"/>
      <c r="C26" s="56"/>
      <c r="D26" s="56"/>
    </row>
    <row r="27" spans="1:4" ht="15.75" x14ac:dyDescent="0.25">
      <c r="A27" s="55" t="str">
        <v>SSEMG_STA_IS_20260226_0000</v>
      </c>
      <c r="B27" s="55"/>
      <c r="C27" s="55"/>
      <c r="D27" s="55"/>
    </row>
    <row r="28" spans="1:4" ht="15.75" x14ac:dyDescent="0.25">
      <c r="A28" s="56" t="str">
        <v>SSEMG_STA_IS_20260226_0200</v>
      </c>
      <c r="B28" s="56"/>
      <c r="C28" s="56"/>
      <c r="D28" s="56"/>
    </row>
    <row r="29" spans="1:4" ht="15.75" x14ac:dyDescent="0.25">
      <c r="A29" s="55" t="str">
        <v>SSEMG_STA_IS_20260226_0400</v>
      </c>
      <c r="B29" s="55"/>
      <c r="C29" s="55"/>
      <c r="D29" s="55"/>
    </row>
    <row r="30" spans="1:4" ht="15.75" x14ac:dyDescent="0.25">
      <c r="A30" s="56" t="str">
        <v>SSEMG_STA_IS_20260226_0600</v>
      </c>
      <c r="B30" s="56"/>
      <c r="C30" s="56"/>
      <c r="D30" s="56"/>
    </row>
    <row r="31" spans="1:4" ht="15.75" x14ac:dyDescent="0.25">
      <c r="A31" s="55" t="str">
        <v>SSEMG_STA_IS_20260226_0800</v>
      </c>
      <c r="B31" s="55"/>
      <c r="C31" s="55"/>
      <c r="D31" s="55"/>
    </row>
    <row r="32" spans="1:4" ht="15.75" x14ac:dyDescent="0.25">
      <c r="A32" s="56" t="str">
        <v>SSEMG_STA_IS_20260226_1000</v>
      </c>
      <c r="B32" s="56"/>
      <c r="C32" s="56"/>
      <c r="D32" s="56"/>
    </row>
    <row r="33" spans="1:4" ht="15.75" x14ac:dyDescent="0.25">
      <c r="A33" s="55" t="str">
        <v>SSEMG_STA_IS_20260226_1200</v>
      </c>
      <c r="B33" s="55"/>
      <c r="C33" s="55"/>
      <c r="D33" s="55"/>
    </row>
    <row r="34" spans="1:4" ht="15.75" x14ac:dyDescent="0.25">
      <c r="A34" s="56" t="str">
        <v>SSEMG_STA_IS_20260226_1400</v>
      </c>
      <c r="B34" s="56"/>
      <c r="C34" s="56"/>
      <c r="D34" s="56"/>
    </row>
    <row r="35" spans="1:4" ht="15.75" x14ac:dyDescent="0.25">
      <c r="A35" s="55" t="str">
        <v>SSEMG_STA_IS_20260226_1600</v>
      </c>
      <c r="B35" s="55"/>
      <c r="C35" s="55"/>
      <c r="D35" s="55"/>
    </row>
    <row r="36" spans="1:4" ht="15.75" x14ac:dyDescent="0.25">
      <c r="A36" s="56" t="str">
        <v>SSEMG_STA_IS_20260226_1800</v>
      </c>
      <c r="B36" s="56"/>
      <c r="C36" s="56"/>
      <c r="D36" s="56"/>
    </row>
    <row r="37" spans="1:4" ht="15.75" x14ac:dyDescent="0.25">
      <c r="A37" s="55" t="str">
        <v>SSEMG_STA_IS_20260226_2000</v>
      </c>
      <c r="B37" s="55"/>
      <c r="C37" s="55"/>
      <c r="D37" s="55"/>
    </row>
    <row r="38" spans="1:4" ht="15.75" x14ac:dyDescent="0.25">
      <c r="A38" s="56" t="str">
        <v>SSEMG_STA_IS_20260226_2200</v>
      </c>
      <c r="B38" s="56"/>
      <c r="C38" s="56"/>
      <c r="D38" s="56"/>
    </row>
    <row r="39" spans="1:4" ht="15.75" x14ac:dyDescent="0.25">
      <c r="A39" s="55" t="str">
        <v>SSEMG_STA_IS_20260227_0000</v>
      </c>
      <c r="B39" s="55"/>
      <c r="C39" s="55"/>
      <c r="D39" s="55"/>
    </row>
    <row r="40" spans="1:4" ht="15.75" x14ac:dyDescent="0.25">
      <c r="A40" s="56" t="str">
        <v>SSEMG_STA_IS_20260227_0200</v>
      </c>
      <c r="B40" s="56"/>
      <c r="C40" s="56"/>
      <c r="D40" s="56"/>
    </row>
    <row r="41" spans="1:4" ht="15.75" x14ac:dyDescent="0.25">
      <c r="A41" s="55" t="str">
        <v>SSEMG_STA_IS_20260227_0400</v>
      </c>
      <c r="B41" s="55"/>
      <c r="C41" s="55"/>
      <c r="D41" s="55"/>
    </row>
    <row r="42" spans="1:4" ht="15.75" x14ac:dyDescent="0.25">
      <c r="A42" s="56" t="str">
        <v>SSEMG_STA_IS_20260227_0600</v>
      </c>
      <c r="B42" s="56"/>
      <c r="C42" s="56"/>
      <c r="D42" s="56"/>
    </row>
    <row r="43" spans="1:4" ht="15.75" x14ac:dyDescent="0.25">
      <c r="A43" s="55" t="str">
        <v>SSEMG_STA_IS_20260227_0800</v>
      </c>
      <c r="B43" s="55"/>
      <c r="C43" s="55"/>
      <c r="D43" s="55"/>
    </row>
    <row r="44" spans="1:4" ht="15.75" x14ac:dyDescent="0.25">
      <c r="A44" s="56" t="str">
        <v>SSEMG_STA_IS_20260227_1000</v>
      </c>
      <c r="B44" s="56"/>
      <c r="C44" s="56"/>
      <c r="D44" s="56"/>
    </row>
    <row r="45" spans="1:4" ht="15.75" x14ac:dyDescent="0.25">
      <c r="A45" s="55" t="str">
        <v>SSEMG_STA_IS_20260227_1200</v>
      </c>
      <c r="B45" s="55"/>
      <c r="C45" s="55"/>
      <c r="D45" s="55"/>
    </row>
    <row r="46" spans="1:4" ht="15.75" x14ac:dyDescent="0.25">
      <c r="A46" s="56" t="str">
        <v>SSEMG_STA_IS_20260227_1400</v>
      </c>
      <c r="B46" s="56"/>
      <c r="C46" s="56"/>
      <c r="D46" s="56"/>
    </row>
    <row r="47" spans="1:4" ht="15.75" x14ac:dyDescent="0.25">
      <c r="A47" s="55" t="str">
        <v>SSEMG_STA_IS_20260227_1600</v>
      </c>
      <c r="B47" s="55"/>
      <c r="C47" s="55"/>
      <c r="D47" s="55"/>
    </row>
    <row r="48" spans="1:4" ht="15.75" x14ac:dyDescent="0.25">
      <c r="A48" s="56" t="str">
        <v>SSEMG_STA_IS_20260227_1800</v>
      </c>
      <c r="B48" s="56"/>
      <c r="C48" s="56"/>
      <c r="D48" s="56"/>
    </row>
    <row r="49" spans="1:4" ht="15.75" x14ac:dyDescent="0.25">
      <c r="A49" s="55" t="str">
        <v>SSEMG_STA_IS_20260227_2000</v>
      </c>
      <c r="B49" s="55"/>
      <c r="C49" s="55"/>
      <c r="D49" s="55"/>
    </row>
    <row r="50" spans="1:4" ht="15.75" x14ac:dyDescent="0.25">
      <c r="A50" s="56" t="str">
        <v>SSEMG_STA_IS_20260227_2200</v>
      </c>
      <c r="B50" s="56"/>
      <c r="C50" s="56"/>
      <c r="D50" s="56"/>
    </row>
    <row r="51" spans="1:4" ht="15.75" x14ac:dyDescent="0.25">
      <c r="A51" s="55" t="str">
        <v>SSEMG_STA_IS_20260228_0000</v>
      </c>
      <c r="B51" s="55"/>
      <c r="C51" s="55"/>
      <c r="D51" s="55"/>
    </row>
    <row r="52" spans="1:4" ht="15.75" x14ac:dyDescent="0.25">
      <c r="A52" s="56" t="str">
        <v>SSEMG_STA_IS_20260228_0200</v>
      </c>
      <c r="B52" s="56"/>
      <c r="C52" s="56"/>
      <c r="D52" s="56"/>
    </row>
    <row r="53" spans="1:4" ht="15.75" x14ac:dyDescent="0.25">
      <c r="A53" s="55" t="str">
        <v>SSEMG_STA_IS_20260228_0400</v>
      </c>
      <c r="B53" s="55"/>
      <c r="C53" s="55"/>
      <c r="D53" s="55"/>
    </row>
    <row r="54" spans="1:4" ht="15.75" x14ac:dyDescent="0.25">
      <c r="A54" s="56" t="str">
        <v>SSEMG_STA_IS_20260228_0600</v>
      </c>
      <c r="B54" s="56"/>
      <c r="C54" s="56"/>
      <c r="D54" s="56"/>
    </row>
    <row r="55" spans="1:4" ht="15.75" x14ac:dyDescent="0.25">
      <c r="A55" s="55" t="str">
        <v>SSEMG_STA_IS_20260228_0800</v>
      </c>
      <c r="B55" s="55"/>
      <c r="C55" s="55"/>
      <c r="D55" s="55"/>
    </row>
    <row r="56" spans="1:4" ht="15.75" x14ac:dyDescent="0.25">
      <c r="A56" s="56" t="str">
        <v>SSEMG_STA_IS_20260228_1000</v>
      </c>
      <c r="B56" s="56"/>
      <c r="C56" s="56"/>
      <c r="D56" s="56"/>
    </row>
    <row r="57" spans="1:4" ht="15.75" x14ac:dyDescent="0.25">
      <c r="A57" s="55" t="str">
        <v>SSEMG_STA_IS_20260228_1200</v>
      </c>
      <c r="B57" s="55"/>
      <c r="C57" s="55"/>
      <c r="D57" s="55"/>
    </row>
    <row r="58" spans="1:4" ht="15.75" x14ac:dyDescent="0.25">
      <c r="A58" s="56" t="str">
        <v>SSEMG_STA_IS_20260228_1400</v>
      </c>
      <c r="B58" s="56"/>
      <c r="C58" s="56"/>
      <c r="D58" s="56"/>
    </row>
    <row r="59" spans="1:4" ht="15.75" x14ac:dyDescent="0.25">
      <c r="A59" s="55" t="str">
        <v>SSEMG_STA_IS_20260228_1600</v>
      </c>
      <c r="B59" s="55"/>
      <c r="C59" s="55"/>
      <c r="D59" s="55"/>
    </row>
    <row r="60" spans="1:4" ht="15.75" x14ac:dyDescent="0.25">
      <c r="A60" s="56" t="str">
        <v>SSEMG_STA_IS_20260228_1800</v>
      </c>
      <c r="B60" s="56"/>
      <c r="C60" s="56"/>
      <c r="D60" s="56"/>
    </row>
    <row r="61" spans="1:4" ht="15.75" x14ac:dyDescent="0.25">
      <c r="A61" s="55" t="str">
        <v>SSEMG_STA_IS_20260228_2000</v>
      </c>
      <c r="B61" s="55"/>
      <c r="C61" s="55"/>
      <c r="D61" s="55"/>
    </row>
    <row r="62" spans="1:4" ht="15.75" x14ac:dyDescent="0.25">
      <c r="A62" s="56" t="str">
        <v>SSEMG_STA_IS_20260228_2200</v>
      </c>
      <c r="B62" s="56"/>
      <c r="C62" s="56"/>
      <c r="D62" s="56"/>
    </row>
    <row r="63" spans="1:4" ht="15.75" x14ac:dyDescent="0.25">
      <c r="A63" s="55" t="str">
        <v>SSEMG_STA_IS_20260301_0000</v>
      </c>
      <c r="B63" s="55"/>
      <c r="C63" s="55"/>
      <c r="D63" s="55"/>
    </row>
    <row r="64" spans="1:4" ht="15.75" x14ac:dyDescent="0.25">
      <c r="A64" s="56" t="str">
        <v>SSEMG_STA_IS_20260301_0200</v>
      </c>
      <c r="B64" s="56"/>
      <c r="C64" s="56"/>
      <c r="D64" s="56"/>
    </row>
    <row r="65" spans="1:4" ht="15.75" x14ac:dyDescent="0.25">
      <c r="A65" s="55" t="str">
        <v>SSEMG_STA_IS_20260301_0400</v>
      </c>
      <c r="B65" s="55"/>
      <c r="C65" s="55"/>
      <c r="D65" s="55"/>
    </row>
    <row r="66" spans="1:4" ht="15.75" x14ac:dyDescent="0.25">
      <c r="A66" s="56" t="str">
        <v>SSEMG_STA_IS_20260301_0600</v>
      </c>
      <c r="B66" s="56"/>
      <c r="C66" s="56"/>
      <c r="D66" s="56"/>
    </row>
    <row r="67" spans="1:4" ht="15.75" x14ac:dyDescent="0.25">
      <c r="A67" s="55" t="str">
        <v>SSEMG_STA_IS_20260301_0800</v>
      </c>
      <c r="B67" s="55"/>
      <c r="C67" s="55"/>
      <c r="D67" s="55"/>
    </row>
    <row r="68" spans="1:4" ht="15.75" x14ac:dyDescent="0.25">
      <c r="A68" s="56" t="str">
        <v>SSEMG_STA_IS_20260301_1000</v>
      </c>
      <c r="B68" s="56"/>
      <c r="C68" s="56"/>
      <c r="D68" s="56"/>
    </row>
    <row r="69" spans="1:4" ht="15.75" x14ac:dyDescent="0.25">
      <c r="A69" s="55" t="str">
        <v>SSEMG_STA_IS_20260301_1200</v>
      </c>
      <c r="B69" s="55"/>
      <c r="C69" s="55"/>
      <c r="D69" s="55"/>
    </row>
    <row r="70" spans="1:4" ht="15.75" x14ac:dyDescent="0.25">
      <c r="A70" s="56" t="str">
        <v>SSEMG_STA_IS_20260301_1400</v>
      </c>
      <c r="B70" s="56"/>
      <c r="C70" s="56"/>
      <c r="D70" s="56"/>
    </row>
    <row r="71" spans="1:4" ht="15.75" x14ac:dyDescent="0.25">
      <c r="A71" s="55" t="str">
        <v>SSEMG_STA_IS_20260301_1600</v>
      </c>
      <c r="B71" s="55"/>
      <c r="C71" s="55"/>
      <c r="D71" s="55"/>
    </row>
    <row r="72" spans="1:4" ht="15.75" x14ac:dyDescent="0.25">
      <c r="A72" s="56" t="str">
        <v>SSEMG_STA_IS_20260301_1800</v>
      </c>
      <c r="B72" s="56"/>
      <c r="C72" s="56"/>
      <c r="D72" s="56"/>
    </row>
    <row r="73" spans="1:4" ht="15.75" x14ac:dyDescent="0.25">
      <c r="A73" s="55" t="str">
        <v>SSEMG_STA_IS_20260301_2000</v>
      </c>
      <c r="B73" s="55"/>
      <c r="C73" s="55"/>
      <c r="D73" s="55"/>
    </row>
    <row r="74" spans="1:4" ht="15.75" x14ac:dyDescent="0.25">
      <c r="A74" s="56" t="str">
        <v>SSEMG_STA_IS_20260301_2200</v>
      </c>
      <c r="B74" s="56"/>
      <c r="C74" s="56"/>
      <c r="D74" s="56"/>
    </row>
    <row r="75" spans="1:4" ht="15.75" x14ac:dyDescent="0.25">
      <c r="A75" s="55" t="str">
        <v>SSEMG_STA_IS_20260302_0000</v>
      </c>
      <c r="B75" s="55"/>
      <c r="C75" s="55"/>
      <c r="D75" s="55"/>
    </row>
    <row r="76" spans="1:4" ht="15.75" x14ac:dyDescent="0.25">
      <c r="A76" s="56" t="str">
        <v>SSEMG_STA_IS_20260302_0200</v>
      </c>
      <c r="B76" s="56"/>
      <c r="C76" s="56"/>
      <c r="D76" s="56"/>
    </row>
    <row r="77" spans="1:4" ht="15.75" x14ac:dyDescent="0.25">
      <c r="A77" s="55" t="str">
        <v>SSEMG_STA_IS_20260302_0400</v>
      </c>
      <c r="B77" s="55"/>
      <c r="C77" s="55"/>
      <c r="D77" s="55"/>
    </row>
    <row r="78" spans="1:4" ht="15.75" x14ac:dyDescent="0.25">
      <c r="A78" s="56" t="str">
        <v>SSEMG_STA_IS_20260302_0600</v>
      </c>
      <c r="B78" s="56"/>
      <c r="C78" s="56"/>
      <c r="D78" s="56"/>
    </row>
    <row r="79" spans="1:4" ht="15.75" x14ac:dyDescent="0.25">
      <c r="A79" s="55" t="str">
        <v>SSEMG_STA_IS_20260302_0800</v>
      </c>
      <c r="B79" s="55"/>
      <c r="C79" s="55"/>
      <c r="D79" s="55"/>
    </row>
    <row r="80" spans="1:4" ht="15.75" x14ac:dyDescent="0.25">
      <c r="A80" s="56" t="str">
        <v>SSEMG_STA_IS_20260302_1000</v>
      </c>
      <c r="B80" s="56"/>
      <c r="C80" s="56"/>
      <c r="D80" s="56"/>
    </row>
    <row r="81" spans="1:4" ht="15.75" x14ac:dyDescent="0.25">
      <c r="A81" s="55" t="str">
        <v>SSEMG_STA_IS_20260302_1200</v>
      </c>
      <c r="B81" s="55"/>
      <c r="C81" s="55"/>
      <c r="D81" s="55"/>
    </row>
    <row r="82" spans="1:4" ht="15.75" x14ac:dyDescent="0.25">
      <c r="A82" s="56" t="str">
        <v>SSEMG_STA_IS_20260302_1400</v>
      </c>
      <c r="B82" s="56"/>
      <c r="C82" s="56"/>
      <c r="D82" s="56"/>
    </row>
    <row r="83" spans="1:4" ht="15.75" x14ac:dyDescent="0.25">
      <c r="A83" s="55" t="str">
        <v>SSEMG_STA_IS_20260302_1600</v>
      </c>
      <c r="B83" s="55"/>
      <c r="C83" s="55"/>
      <c r="D83" s="55"/>
    </row>
    <row r="84" spans="1:4" ht="15.75" x14ac:dyDescent="0.25">
      <c r="A84" s="56" t="str">
        <v>SSEMG_STA_IS_20260302_1800</v>
      </c>
      <c r="B84" s="56"/>
      <c r="C84" s="56"/>
      <c r="D84" s="56"/>
    </row>
    <row r="85" spans="1:4" ht="15.75" x14ac:dyDescent="0.25">
      <c r="A85" s="55" t="str">
        <v>SSEMG_STA_IS_20260302_2000</v>
      </c>
      <c r="B85" s="55"/>
      <c r="C85" s="55"/>
      <c r="D85" s="55"/>
    </row>
    <row r="86" spans="1:4" ht="15.75" x14ac:dyDescent="0.25">
      <c r="A86" s="56" t="str">
        <v>SSEMG_STA_IS_20260302_2200</v>
      </c>
      <c r="B86" s="56"/>
      <c r="C86" s="56"/>
      <c r="D86" s="56"/>
    </row>
    <row r="87" spans="1:4" ht="15.75" x14ac:dyDescent="0.25">
      <c r="A87" s="55" t="str">
        <v>SSEMG_STA_IS_20260303_0000</v>
      </c>
      <c r="B87" s="55"/>
      <c r="C87" s="55"/>
      <c r="D87" s="55"/>
    </row>
    <row r="88" spans="1:4" ht="15.75" x14ac:dyDescent="0.25">
      <c r="A88" s="56" t="str">
        <v>SSEMG_STA_IS_20260303_0200</v>
      </c>
      <c r="B88" s="56"/>
      <c r="C88" s="56"/>
      <c r="D88" s="56"/>
    </row>
    <row r="89" spans="1:4" ht="15.75" x14ac:dyDescent="0.25">
      <c r="A89" s="55" t="str">
        <v>SSEMG_STA_IS_20260303_0400</v>
      </c>
      <c r="B89" s="55"/>
      <c r="C89" s="55"/>
      <c r="D89" s="55"/>
    </row>
    <row r="90" spans="1:4" ht="15.75" x14ac:dyDescent="0.25">
      <c r="A90" s="56" t="str">
        <v>SSEMG_STA_IS_20260303_0600</v>
      </c>
      <c r="B90" s="56"/>
      <c r="C90" s="56"/>
      <c r="D90" s="56"/>
    </row>
    <row r="91" spans="1:4" ht="15.75" x14ac:dyDescent="0.25">
      <c r="A91" s="55" t="str">
        <v>SSEMG_STA_IS_20260303_0800</v>
      </c>
      <c r="B91" s="55"/>
      <c r="C91" s="55"/>
      <c r="D91" s="55"/>
    </row>
    <row r="92" spans="1:4" ht="15.75" x14ac:dyDescent="0.25">
      <c r="A92" s="56" t="str">
        <v>SSEMG_STA_IS_20260303_1000</v>
      </c>
      <c r="B92" s="56"/>
      <c r="C92" s="56"/>
      <c r="D92" s="56"/>
    </row>
    <row r="93" spans="1:4" ht="15.75" x14ac:dyDescent="0.25">
      <c r="A93" s="55" t="str">
        <v>SSEMG_STA_IS_20260303_1200</v>
      </c>
      <c r="B93" s="55"/>
      <c r="C93" s="55"/>
      <c r="D93" s="55"/>
    </row>
    <row r="94" spans="1:4" ht="15.75" x14ac:dyDescent="0.25">
      <c r="A94" s="56" t="str">
        <v>SSEMG_STA_IS_20260303_1400</v>
      </c>
      <c r="B94" s="56"/>
      <c r="C94" s="56"/>
      <c r="D94" s="56"/>
    </row>
    <row r="95" spans="1:4" ht="15.75" x14ac:dyDescent="0.25">
      <c r="A95" s="55" t="str">
        <v>SSEMG_STA_IS_20260303_1600</v>
      </c>
      <c r="B95" s="55"/>
      <c r="C95" s="55"/>
      <c r="D95" s="55"/>
    </row>
    <row r="96" spans="1:4" ht="15.75" x14ac:dyDescent="0.25">
      <c r="A96" s="56" t="str">
        <v>SSEMG_STA_IS_20260303_1800</v>
      </c>
      <c r="B96" s="56"/>
      <c r="C96" s="56"/>
      <c r="D96" s="56"/>
    </row>
    <row r="97" spans="1:4" ht="15.75" x14ac:dyDescent="0.25">
      <c r="A97" s="55" t="str">
        <v>SSEMG_STA_IS_20260303_2000</v>
      </c>
      <c r="B97" s="55"/>
      <c r="C97" s="55"/>
      <c r="D97" s="55"/>
    </row>
    <row r="98" spans="1:4" ht="15.75" x14ac:dyDescent="0.25">
      <c r="A98" s="56" t="str">
        <v>SSEMG_STA_IS_20260303_2200</v>
      </c>
      <c r="B98" s="56"/>
      <c r="C98" s="56"/>
      <c r="D98" s="56"/>
    </row>
    <row r="99" spans="1:4" ht="15.75" x14ac:dyDescent="0.25">
      <c r="A99" s="55" t="str">
        <v>SSEMG_STA_IS_20260304_0000</v>
      </c>
      <c r="B99" s="55"/>
      <c r="C99" s="55"/>
      <c r="D99" s="55"/>
    </row>
    <row r="100" spans="1:4" x14ac:dyDescent="0.25">
      <c r="A100" t="str">
        <v>SSEMG_STA_IS_20260304_0200</v>
      </c>
    </row>
    <row r="101" spans="1:4" x14ac:dyDescent="0.25">
      <c r="A101" t="str">
        <v>SSEMG_STA_IS_20260304_0400</v>
      </c>
    </row>
    <row r="102" spans="1:4" x14ac:dyDescent="0.25">
      <c r="A102" t="str">
        <v>SSEMG_STA_IS_20260304_0600</v>
      </c>
    </row>
  </sheetData>
  <mergeCells count="1">
    <mergeCell ref="B1:C1"/>
  </mergeCells>
  <pageMargins left="0.7" right="0.7" top="0.75" bottom="0.75" header="0.3" footer="0.3"/>
  <pageSetup scale="99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FILLME</vt:lpstr>
      <vt:lpstr>Label IDs</vt:lpstr>
      <vt:lpstr>Random numbers</vt:lpstr>
      <vt:lpstr>Labels-Field</vt:lpstr>
      <vt:lpstr>Labels-Lab</vt:lpstr>
      <vt:lpstr>DS-Bottle Numbers</vt:lpstr>
      <vt:lpstr>DS-ISCO Bottle Weight</vt:lpstr>
      <vt:lpstr>DS-Filter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Nussdorfer, Emily Elizabeth</cp:lastModifiedBy>
  <cp:revision/>
  <cp:lastPrinted>2026-03-21T17:41:49Z</cp:lastPrinted>
  <dcterms:created xsi:type="dcterms:W3CDTF">2025-10-22T18:56:39Z</dcterms:created>
  <dcterms:modified xsi:type="dcterms:W3CDTF">2026-05-26T21:40:21Z</dcterms:modified>
  <cp:category/>
  <cp:contentStatus/>
</cp:coreProperties>
</file>