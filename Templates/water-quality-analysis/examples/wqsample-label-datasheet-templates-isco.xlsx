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wampleka\Documents\Projects\WWS-standard-methods\Templates\water-quality-analysis\examples\"/>
    </mc:Choice>
  </mc:AlternateContent>
  <xr:revisionPtr revIDLastSave="0" documentId="8_{1F7B231A-0E3B-41D2-9572-D551BFF5A2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9" r:id="rId1"/>
    <sheet name="FILLME" sheetId="10" r:id="rId2"/>
    <sheet name="Label IDs" sheetId="4" r:id="rId3"/>
    <sheet name="Labels-Field" sheetId="11" r:id="rId4"/>
    <sheet name="Labels-Lab" sheetId="7" r:id="rId5"/>
    <sheet name="DS-Bottle Numbers" sheetId="16" r:id="rId6"/>
    <sheet name="DS-ISCO Bottle Weight" sheetId="17" r:id="rId7"/>
    <sheet name="DS-Filter Weight" sheetId="1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0" l="1"/>
  <c r="F293" i="4"/>
  <c r="J321" i="4"/>
  <c r="C321" i="4"/>
  <c r="B321" i="4"/>
  <c r="A321" i="4"/>
  <c r="J320" i="4"/>
  <c r="C320" i="4"/>
  <c r="B320" i="4"/>
  <c r="A320" i="4"/>
  <c r="J319" i="4"/>
  <c r="C319" i="4"/>
  <c r="B319" i="4"/>
  <c r="A319" i="4"/>
  <c r="J318" i="4"/>
  <c r="C318" i="4"/>
  <c r="B318" i="4"/>
  <c r="A318" i="4"/>
  <c r="J317" i="4"/>
  <c r="C317" i="4"/>
  <c r="B317" i="4"/>
  <c r="A317" i="4"/>
  <c r="J316" i="4"/>
  <c r="C316" i="4"/>
  <c r="B316" i="4"/>
  <c r="A316" i="4"/>
  <c r="J315" i="4"/>
  <c r="C315" i="4"/>
  <c r="B315" i="4"/>
  <c r="A315" i="4"/>
  <c r="J314" i="4"/>
  <c r="C314" i="4"/>
  <c r="B314" i="4"/>
  <c r="A314" i="4"/>
  <c r="J313" i="4"/>
  <c r="C313" i="4"/>
  <c r="B313" i="4"/>
  <c r="A313" i="4"/>
  <c r="J312" i="4"/>
  <c r="C312" i="4"/>
  <c r="B312" i="4"/>
  <c r="A312" i="4"/>
  <c r="J311" i="4"/>
  <c r="C311" i="4"/>
  <c r="B311" i="4"/>
  <c r="A311" i="4"/>
  <c r="J310" i="4"/>
  <c r="C310" i="4"/>
  <c r="B310" i="4"/>
  <c r="A310" i="4"/>
  <c r="J309" i="4"/>
  <c r="C309" i="4"/>
  <c r="B309" i="4"/>
  <c r="A309" i="4"/>
  <c r="J308" i="4"/>
  <c r="C308" i="4"/>
  <c r="B308" i="4"/>
  <c r="A308" i="4"/>
  <c r="J307" i="4"/>
  <c r="C307" i="4"/>
  <c r="B307" i="4"/>
  <c r="A307" i="4"/>
  <c r="J306" i="4"/>
  <c r="C306" i="4"/>
  <c r="B306" i="4"/>
  <c r="A306" i="4"/>
  <c r="J305" i="4"/>
  <c r="C305" i="4"/>
  <c r="B305" i="4"/>
  <c r="A305" i="4"/>
  <c r="J304" i="4"/>
  <c r="C304" i="4"/>
  <c r="B304" i="4"/>
  <c r="A304" i="4"/>
  <c r="J303" i="4"/>
  <c r="C303" i="4"/>
  <c r="B303" i="4"/>
  <c r="A303" i="4"/>
  <c r="J302" i="4"/>
  <c r="C302" i="4"/>
  <c r="B302" i="4"/>
  <c r="A302" i="4"/>
  <c r="J301" i="4"/>
  <c r="C301" i="4"/>
  <c r="B301" i="4"/>
  <c r="A301" i="4"/>
  <c r="J300" i="4"/>
  <c r="C300" i="4"/>
  <c r="B300" i="4"/>
  <c r="A300" i="4"/>
  <c r="J299" i="4"/>
  <c r="C299" i="4"/>
  <c r="B299" i="4"/>
  <c r="A299" i="4"/>
  <c r="J298" i="4"/>
  <c r="C298" i="4"/>
  <c r="B298" i="4"/>
  <c r="A298" i="4"/>
  <c r="J297" i="4"/>
  <c r="C297" i="4"/>
  <c r="B297" i="4"/>
  <c r="A297" i="4"/>
  <c r="J296" i="4"/>
  <c r="C296" i="4"/>
  <c r="B296" i="4"/>
  <c r="A296" i="4"/>
  <c r="J295" i="4"/>
  <c r="C295" i="4"/>
  <c r="B295" i="4"/>
  <c r="A295" i="4"/>
  <c r="J294" i="4"/>
  <c r="C294" i="4"/>
  <c r="B294" i="4"/>
  <c r="A294" i="4"/>
  <c r="J293" i="4"/>
  <c r="C293" i="4"/>
  <c r="B293" i="4"/>
  <c r="A293" i="4"/>
  <c r="J292" i="4"/>
  <c r="C292" i="4"/>
  <c r="B292" i="4"/>
  <c r="A292" i="4"/>
  <c r="J291" i="4"/>
  <c r="C291" i="4"/>
  <c r="B291" i="4"/>
  <c r="A291" i="4"/>
  <c r="J290" i="4"/>
  <c r="C290" i="4"/>
  <c r="B290" i="4"/>
  <c r="A290" i="4"/>
  <c r="J289" i="4"/>
  <c r="C289" i="4"/>
  <c r="B289" i="4"/>
  <c r="A289" i="4"/>
  <c r="J288" i="4"/>
  <c r="C288" i="4"/>
  <c r="B288" i="4"/>
  <c r="A288" i="4"/>
  <c r="J287" i="4"/>
  <c r="C287" i="4"/>
  <c r="B287" i="4"/>
  <c r="A287" i="4"/>
  <c r="J286" i="4"/>
  <c r="C286" i="4"/>
  <c r="B286" i="4"/>
  <c r="A286" i="4"/>
  <c r="J285" i="4"/>
  <c r="C285" i="4"/>
  <c r="B285" i="4"/>
  <c r="A285" i="4"/>
  <c r="J284" i="4"/>
  <c r="C284" i="4"/>
  <c r="B284" i="4"/>
  <c r="A284" i="4"/>
  <c r="J283" i="4"/>
  <c r="C283" i="4"/>
  <c r="B283" i="4"/>
  <c r="A283" i="4"/>
  <c r="J282" i="4"/>
  <c r="C282" i="4"/>
  <c r="B282" i="4"/>
  <c r="A282" i="4"/>
  <c r="J281" i="4"/>
  <c r="C281" i="4"/>
  <c r="B281" i="4"/>
  <c r="A281" i="4"/>
  <c r="J280" i="4"/>
  <c r="C280" i="4"/>
  <c r="B280" i="4"/>
  <c r="A280" i="4"/>
  <c r="J279" i="4"/>
  <c r="C279" i="4"/>
  <c r="B279" i="4"/>
  <c r="A279" i="4"/>
  <c r="J278" i="4"/>
  <c r="C278" i="4"/>
  <c r="B278" i="4"/>
  <c r="A278" i="4"/>
  <c r="J277" i="4"/>
  <c r="C277" i="4"/>
  <c r="B277" i="4"/>
  <c r="A277" i="4"/>
  <c r="J276" i="4"/>
  <c r="C276" i="4"/>
  <c r="B276" i="4"/>
  <c r="A276" i="4"/>
  <c r="J275" i="4"/>
  <c r="C275" i="4"/>
  <c r="B275" i="4"/>
  <c r="A275" i="4"/>
  <c r="J274" i="4"/>
  <c r="C274" i="4"/>
  <c r="B274" i="4"/>
  <c r="A274" i="4"/>
  <c r="J273" i="4"/>
  <c r="C273" i="4"/>
  <c r="B273" i="4"/>
  <c r="A273" i="4"/>
  <c r="J272" i="4"/>
  <c r="C272" i="4"/>
  <c r="B272" i="4"/>
  <c r="A272" i="4"/>
  <c r="J271" i="4"/>
  <c r="C271" i="4"/>
  <c r="B271" i="4"/>
  <c r="A271" i="4"/>
  <c r="J270" i="4"/>
  <c r="C270" i="4"/>
  <c r="B270" i="4"/>
  <c r="A270" i="4"/>
  <c r="J269" i="4"/>
  <c r="C269" i="4"/>
  <c r="B269" i="4"/>
  <c r="A269" i="4"/>
  <c r="J268" i="4"/>
  <c r="C268" i="4"/>
  <c r="B268" i="4"/>
  <c r="A268" i="4"/>
  <c r="J267" i="4"/>
  <c r="C267" i="4"/>
  <c r="B267" i="4"/>
  <c r="A267" i="4"/>
  <c r="J266" i="4"/>
  <c r="C266" i="4"/>
  <c r="B266" i="4"/>
  <c r="A266" i="4"/>
  <c r="J265" i="4"/>
  <c r="C265" i="4"/>
  <c r="B265" i="4"/>
  <c r="A265" i="4"/>
  <c r="J264" i="4"/>
  <c r="C264" i="4"/>
  <c r="B264" i="4"/>
  <c r="A264" i="4"/>
  <c r="J263" i="4"/>
  <c r="C263" i="4"/>
  <c r="B263" i="4"/>
  <c r="A263" i="4"/>
  <c r="J262" i="4"/>
  <c r="C262" i="4"/>
  <c r="B262" i="4"/>
  <c r="A262" i="4"/>
  <c r="J261" i="4"/>
  <c r="C261" i="4"/>
  <c r="B261" i="4"/>
  <c r="A261" i="4"/>
  <c r="J260" i="4"/>
  <c r="C260" i="4"/>
  <c r="B260" i="4"/>
  <c r="A260" i="4"/>
  <c r="J259" i="4"/>
  <c r="C259" i="4"/>
  <c r="B259" i="4"/>
  <c r="A259" i="4"/>
  <c r="J258" i="4"/>
  <c r="C258" i="4"/>
  <c r="B258" i="4"/>
  <c r="A258" i="4"/>
  <c r="J257" i="4"/>
  <c r="C257" i="4"/>
  <c r="B257" i="4"/>
  <c r="A257" i="4"/>
  <c r="J256" i="4"/>
  <c r="C256" i="4"/>
  <c r="B256" i="4"/>
  <c r="A256" i="4"/>
  <c r="J255" i="4"/>
  <c r="C255" i="4"/>
  <c r="B255" i="4"/>
  <c r="A255" i="4"/>
  <c r="J254" i="4"/>
  <c r="C254" i="4"/>
  <c r="B254" i="4"/>
  <c r="A254" i="4"/>
  <c r="J253" i="4"/>
  <c r="C253" i="4"/>
  <c r="B253" i="4"/>
  <c r="A253" i="4"/>
  <c r="J252" i="4"/>
  <c r="C252" i="4"/>
  <c r="B252" i="4"/>
  <c r="A252" i="4"/>
  <c r="J251" i="4"/>
  <c r="C251" i="4"/>
  <c r="B251" i="4"/>
  <c r="A251" i="4"/>
  <c r="J250" i="4"/>
  <c r="C250" i="4"/>
  <c r="B250" i="4"/>
  <c r="A250" i="4"/>
  <c r="J249" i="4"/>
  <c r="C249" i="4"/>
  <c r="B249" i="4"/>
  <c r="A249" i="4"/>
  <c r="J248" i="4"/>
  <c r="C248" i="4"/>
  <c r="B248" i="4"/>
  <c r="A248" i="4"/>
  <c r="J247" i="4"/>
  <c r="C247" i="4"/>
  <c r="B247" i="4"/>
  <c r="A247" i="4"/>
  <c r="J246" i="4"/>
  <c r="C246" i="4"/>
  <c r="B246" i="4"/>
  <c r="A246" i="4"/>
  <c r="J245" i="4"/>
  <c r="C245" i="4"/>
  <c r="B245" i="4"/>
  <c r="A245" i="4"/>
  <c r="J244" i="4"/>
  <c r="C244" i="4"/>
  <c r="B244" i="4"/>
  <c r="A244" i="4"/>
  <c r="J243" i="4"/>
  <c r="C243" i="4"/>
  <c r="B243" i="4"/>
  <c r="A243" i="4"/>
  <c r="J242" i="4"/>
  <c r="C242" i="4"/>
  <c r="B242" i="4"/>
  <c r="A242" i="4"/>
  <c r="J241" i="4"/>
  <c r="C241" i="4"/>
  <c r="B241" i="4"/>
  <c r="A241" i="4"/>
  <c r="J240" i="4"/>
  <c r="C240" i="4"/>
  <c r="B240" i="4"/>
  <c r="A240" i="4"/>
  <c r="J239" i="4"/>
  <c r="C239" i="4"/>
  <c r="B239" i="4"/>
  <c r="A239" i="4"/>
  <c r="J238" i="4"/>
  <c r="C238" i="4"/>
  <c r="B238" i="4"/>
  <c r="A238" i="4"/>
  <c r="J237" i="4"/>
  <c r="C237" i="4"/>
  <c r="B237" i="4"/>
  <c r="A237" i="4"/>
  <c r="J236" i="4"/>
  <c r="C236" i="4"/>
  <c r="B236" i="4"/>
  <c r="A236" i="4"/>
  <c r="J235" i="4"/>
  <c r="C235" i="4"/>
  <c r="B235" i="4"/>
  <c r="A235" i="4"/>
  <c r="J234" i="4"/>
  <c r="C234" i="4"/>
  <c r="B234" i="4"/>
  <c r="A234" i="4"/>
  <c r="J233" i="4"/>
  <c r="C233" i="4"/>
  <c r="B233" i="4"/>
  <c r="A233" i="4"/>
  <c r="J232" i="4"/>
  <c r="C232" i="4"/>
  <c r="B232" i="4"/>
  <c r="A232" i="4"/>
  <c r="J231" i="4"/>
  <c r="C231" i="4"/>
  <c r="B231" i="4"/>
  <c r="A231" i="4"/>
  <c r="J230" i="4"/>
  <c r="C230" i="4"/>
  <c r="B230" i="4"/>
  <c r="A230" i="4"/>
  <c r="J229" i="4"/>
  <c r="C229" i="4"/>
  <c r="B229" i="4"/>
  <c r="A229" i="4"/>
  <c r="J228" i="4"/>
  <c r="C228" i="4"/>
  <c r="B228" i="4"/>
  <c r="A228" i="4"/>
  <c r="J227" i="4"/>
  <c r="C227" i="4"/>
  <c r="B227" i="4"/>
  <c r="A227" i="4"/>
  <c r="J226" i="4"/>
  <c r="C226" i="4"/>
  <c r="B226" i="4"/>
  <c r="A226" i="4"/>
  <c r="J225" i="4"/>
  <c r="C225" i="4"/>
  <c r="B225" i="4"/>
  <c r="A225" i="4"/>
  <c r="J224" i="4"/>
  <c r="C224" i="4"/>
  <c r="B224" i="4"/>
  <c r="A224" i="4"/>
  <c r="J223" i="4"/>
  <c r="C223" i="4"/>
  <c r="B223" i="4"/>
  <c r="A223" i="4"/>
  <c r="J222" i="4"/>
  <c r="C222" i="4"/>
  <c r="B222" i="4"/>
  <c r="A222" i="4"/>
  <c r="J221" i="4"/>
  <c r="C221" i="4"/>
  <c r="B221" i="4"/>
  <c r="A221" i="4"/>
  <c r="J220" i="4"/>
  <c r="C220" i="4"/>
  <c r="B220" i="4"/>
  <c r="A220" i="4"/>
  <c r="J219" i="4"/>
  <c r="C219" i="4"/>
  <c r="B219" i="4"/>
  <c r="A219" i="4"/>
  <c r="J218" i="4"/>
  <c r="C218" i="4"/>
  <c r="B218" i="4"/>
  <c r="A218" i="4"/>
  <c r="J217" i="4"/>
  <c r="C217" i="4"/>
  <c r="B217" i="4"/>
  <c r="A217" i="4"/>
  <c r="J216" i="4"/>
  <c r="C216" i="4"/>
  <c r="B216" i="4"/>
  <c r="A216" i="4"/>
  <c r="J215" i="4"/>
  <c r="C215" i="4"/>
  <c r="B215" i="4"/>
  <c r="A215" i="4"/>
  <c r="J214" i="4"/>
  <c r="C214" i="4"/>
  <c r="B214" i="4"/>
  <c r="A214" i="4"/>
  <c r="J213" i="4"/>
  <c r="C213" i="4"/>
  <c r="B213" i="4"/>
  <c r="A213" i="4"/>
  <c r="J212" i="4"/>
  <c r="C212" i="4"/>
  <c r="B212" i="4"/>
  <c r="A212" i="4"/>
  <c r="J211" i="4"/>
  <c r="C211" i="4"/>
  <c r="B211" i="4"/>
  <c r="A211" i="4"/>
  <c r="J210" i="4"/>
  <c r="C210" i="4"/>
  <c r="B210" i="4"/>
  <c r="A210" i="4"/>
  <c r="J209" i="4"/>
  <c r="C209" i="4"/>
  <c r="B209" i="4"/>
  <c r="A209" i="4"/>
  <c r="J208" i="4"/>
  <c r="C208" i="4"/>
  <c r="B208" i="4"/>
  <c r="A208" i="4"/>
  <c r="J207" i="4"/>
  <c r="C207" i="4"/>
  <c r="B207" i="4"/>
  <c r="A207" i="4"/>
  <c r="J206" i="4"/>
  <c r="C206" i="4"/>
  <c r="B206" i="4"/>
  <c r="A206" i="4"/>
  <c r="J205" i="4"/>
  <c r="C205" i="4"/>
  <c r="B205" i="4"/>
  <c r="A205" i="4"/>
  <c r="J204" i="4"/>
  <c r="C204" i="4"/>
  <c r="B204" i="4"/>
  <c r="A204" i="4"/>
  <c r="J203" i="4"/>
  <c r="C203" i="4"/>
  <c r="B203" i="4"/>
  <c r="A203" i="4"/>
  <c r="J202" i="4"/>
  <c r="C202" i="4"/>
  <c r="B202" i="4"/>
  <c r="A202" i="4"/>
  <c r="J201" i="4"/>
  <c r="C201" i="4"/>
  <c r="B201" i="4"/>
  <c r="A201" i="4"/>
  <c r="J200" i="4"/>
  <c r="C200" i="4"/>
  <c r="B200" i="4"/>
  <c r="A200" i="4"/>
  <c r="J199" i="4"/>
  <c r="C199" i="4"/>
  <c r="B199" i="4"/>
  <c r="A199" i="4"/>
  <c r="J198" i="4"/>
  <c r="C198" i="4"/>
  <c r="B198" i="4"/>
  <c r="A198" i="4"/>
  <c r="J197" i="4"/>
  <c r="C197" i="4"/>
  <c r="B197" i="4"/>
  <c r="A197" i="4"/>
  <c r="J196" i="4"/>
  <c r="C196" i="4"/>
  <c r="B196" i="4"/>
  <c r="A196" i="4"/>
  <c r="J195" i="4"/>
  <c r="C195" i="4"/>
  <c r="B195" i="4"/>
  <c r="A195" i="4"/>
  <c r="J194" i="4"/>
  <c r="C194" i="4"/>
  <c r="B194" i="4"/>
  <c r="A194" i="4"/>
  <c r="J193" i="4"/>
  <c r="C193" i="4"/>
  <c r="B193" i="4"/>
  <c r="A193" i="4"/>
  <c r="J192" i="4"/>
  <c r="C192" i="4"/>
  <c r="B192" i="4"/>
  <c r="A192" i="4"/>
  <c r="J191" i="4"/>
  <c r="C191" i="4"/>
  <c r="B191" i="4"/>
  <c r="A191" i="4"/>
  <c r="J190" i="4"/>
  <c r="C190" i="4"/>
  <c r="B190" i="4"/>
  <c r="A190" i="4"/>
  <c r="J189" i="4"/>
  <c r="C189" i="4"/>
  <c r="B189" i="4"/>
  <c r="A189" i="4"/>
  <c r="J188" i="4"/>
  <c r="C188" i="4"/>
  <c r="B188" i="4"/>
  <c r="A188" i="4"/>
  <c r="J187" i="4"/>
  <c r="C187" i="4"/>
  <c r="B187" i="4"/>
  <c r="A187" i="4"/>
  <c r="J186" i="4"/>
  <c r="C186" i="4"/>
  <c r="B186" i="4"/>
  <c r="A186" i="4"/>
  <c r="J185" i="4"/>
  <c r="C185" i="4"/>
  <c r="B185" i="4"/>
  <c r="A185" i="4"/>
  <c r="J184" i="4"/>
  <c r="C184" i="4"/>
  <c r="B184" i="4"/>
  <c r="A184" i="4"/>
  <c r="J183" i="4"/>
  <c r="C183" i="4"/>
  <c r="B183" i="4"/>
  <c r="A183" i="4"/>
  <c r="J182" i="4"/>
  <c r="C182" i="4"/>
  <c r="B182" i="4"/>
  <c r="A182" i="4"/>
  <c r="J181" i="4"/>
  <c r="C181" i="4"/>
  <c r="B181" i="4"/>
  <c r="A181" i="4"/>
  <c r="J180" i="4"/>
  <c r="C180" i="4"/>
  <c r="B180" i="4"/>
  <c r="A180" i="4"/>
  <c r="J179" i="4"/>
  <c r="C179" i="4"/>
  <c r="B179" i="4"/>
  <c r="A179" i="4"/>
  <c r="J178" i="4"/>
  <c r="C178" i="4"/>
  <c r="B178" i="4"/>
  <c r="A178" i="4"/>
  <c r="J177" i="4"/>
  <c r="C177" i="4"/>
  <c r="B177" i="4"/>
  <c r="A177" i="4"/>
  <c r="J176" i="4"/>
  <c r="C176" i="4"/>
  <c r="B176" i="4"/>
  <c r="A176" i="4"/>
  <c r="J175" i="4"/>
  <c r="C175" i="4"/>
  <c r="B175" i="4"/>
  <c r="A175" i="4"/>
  <c r="J174" i="4"/>
  <c r="C174" i="4"/>
  <c r="B174" i="4"/>
  <c r="A174" i="4"/>
  <c r="J173" i="4"/>
  <c r="C173" i="4"/>
  <c r="B173" i="4"/>
  <c r="A173" i="4"/>
  <c r="J172" i="4"/>
  <c r="C172" i="4"/>
  <c r="B172" i="4"/>
  <c r="A172" i="4"/>
  <c r="J171" i="4"/>
  <c r="C171" i="4"/>
  <c r="B171" i="4"/>
  <c r="A171" i="4"/>
  <c r="J170" i="4"/>
  <c r="C170" i="4"/>
  <c r="B170" i="4"/>
  <c r="A170" i="4"/>
  <c r="J169" i="4"/>
  <c r="C169" i="4"/>
  <c r="B169" i="4"/>
  <c r="A169" i="4"/>
  <c r="J168" i="4"/>
  <c r="C168" i="4"/>
  <c r="B168" i="4"/>
  <c r="A168" i="4"/>
  <c r="J167" i="4"/>
  <c r="C167" i="4"/>
  <c r="B167" i="4"/>
  <c r="A167" i="4"/>
  <c r="J166" i="4"/>
  <c r="C166" i="4"/>
  <c r="B166" i="4"/>
  <c r="A166" i="4"/>
  <c r="J165" i="4"/>
  <c r="C165" i="4"/>
  <c r="B165" i="4"/>
  <c r="A165" i="4"/>
  <c r="J164" i="4"/>
  <c r="C164" i="4"/>
  <c r="B164" i="4"/>
  <c r="A164" i="4"/>
  <c r="J163" i="4"/>
  <c r="C163" i="4"/>
  <c r="B163" i="4"/>
  <c r="A163" i="4"/>
  <c r="J162" i="4"/>
  <c r="C162" i="4"/>
  <c r="B162" i="4"/>
  <c r="A162" i="4"/>
  <c r="J161" i="4"/>
  <c r="C161" i="4"/>
  <c r="B161" i="4"/>
  <c r="A161" i="4"/>
  <c r="J160" i="4"/>
  <c r="C160" i="4"/>
  <c r="B160" i="4"/>
  <c r="A160" i="4"/>
  <c r="J159" i="4"/>
  <c r="C159" i="4"/>
  <c r="B159" i="4"/>
  <c r="A159" i="4"/>
  <c r="J158" i="4"/>
  <c r="C158" i="4"/>
  <c r="B158" i="4"/>
  <c r="A158" i="4"/>
  <c r="J157" i="4"/>
  <c r="C157" i="4"/>
  <c r="B157" i="4"/>
  <c r="A157" i="4"/>
  <c r="J156" i="4"/>
  <c r="C156" i="4"/>
  <c r="B156" i="4"/>
  <c r="A156" i="4"/>
  <c r="J155" i="4"/>
  <c r="C155" i="4"/>
  <c r="B155" i="4"/>
  <c r="A155" i="4"/>
  <c r="J154" i="4"/>
  <c r="C154" i="4"/>
  <c r="B154" i="4"/>
  <c r="A154" i="4"/>
  <c r="J153" i="4"/>
  <c r="C153" i="4"/>
  <c r="B153" i="4"/>
  <c r="A153" i="4"/>
  <c r="J152" i="4"/>
  <c r="C152" i="4"/>
  <c r="B152" i="4"/>
  <c r="A152" i="4"/>
  <c r="J151" i="4"/>
  <c r="C151" i="4"/>
  <c r="B151" i="4"/>
  <c r="A151" i="4"/>
  <c r="J150" i="4"/>
  <c r="C150" i="4"/>
  <c r="B150" i="4"/>
  <c r="A150" i="4"/>
  <c r="J149" i="4"/>
  <c r="C149" i="4"/>
  <c r="B149" i="4"/>
  <c r="A149" i="4"/>
  <c r="J148" i="4"/>
  <c r="C148" i="4"/>
  <c r="B148" i="4"/>
  <c r="A148" i="4"/>
  <c r="J147" i="4"/>
  <c r="C147" i="4"/>
  <c r="B147" i="4"/>
  <c r="A147" i="4"/>
  <c r="J146" i="4"/>
  <c r="C146" i="4"/>
  <c r="B146" i="4"/>
  <c r="A146" i="4"/>
  <c r="J145" i="4"/>
  <c r="C145" i="4"/>
  <c r="B145" i="4"/>
  <c r="A145" i="4"/>
  <c r="J144" i="4"/>
  <c r="C144" i="4"/>
  <c r="B144" i="4"/>
  <c r="A144" i="4"/>
  <c r="J143" i="4"/>
  <c r="C143" i="4"/>
  <c r="B143" i="4"/>
  <c r="A143" i="4"/>
  <c r="J142" i="4"/>
  <c r="C142" i="4"/>
  <c r="B142" i="4"/>
  <c r="A142" i="4"/>
  <c r="J141" i="4"/>
  <c r="C141" i="4"/>
  <c r="B141" i="4"/>
  <c r="A141" i="4"/>
  <c r="J140" i="4"/>
  <c r="C140" i="4"/>
  <c r="B140" i="4"/>
  <c r="A140" i="4"/>
  <c r="J139" i="4"/>
  <c r="C139" i="4"/>
  <c r="B139" i="4"/>
  <c r="A139" i="4"/>
  <c r="J138" i="4"/>
  <c r="C138" i="4"/>
  <c r="B138" i="4"/>
  <c r="A138" i="4"/>
  <c r="J137" i="4"/>
  <c r="C137" i="4"/>
  <c r="B137" i="4"/>
  <c r="A137" i="4"/>
  <c r="J136" i="4"/>
  <c r="C136" i="4"/>
  <c r="B136" i="4"/>
  <c r="A136" i="4"/>
  <c r="J135" i="4"/>
  <c r="C135" i="4"/>
  <c r="B135" i="4"/>
  <c r="A135" i="4"/>
  <c r="J134" i="4"/>
  <c r="C134" i="4"/>
  <c r="B134" i="4"/>
  <c r="A134" i="4"/>
  <c r="J133" i="4"/>
  <c r="C133" i="4"/>
  <c r="B133" i="4"/>
  <c r="A133" i="4"/>
  <c r="J132" i="4"/>
  <c r="C132" i="4"/>
  <c r="B132" i="4"/>
  <c r="A132" i="4"/>
  <c r="J131" i="4"/>
  <c r="C131" i="4"/>
  <c r="B131" i="4"/>
  <c r="A131" i="4"/>
  <c r="J130" i="4"/>
  <c r="C130" i="4"/>
  <c r="B130" i="4"/>
  <c r="A130" i="4"/>
  <c r="J129" i="4"/>
  <c r="C129" i="4"/>
  <c r="B129" i="4"/>
  <c r="A129" i="4"/>
  <c r="J128" i="4"/>
  <c r="C128" i="4"/>
  <c r="B128" i="4"/>
  <c r="A128" i="4"/>
  <c r="J127" i="4"/>
  <c r="C127" i="4"/>
  <c r="B127" i="4"/>
  <c r="A127" i="4"/>
  <c r="J126" i="4"/>
  <c r="C126" i="4"/>
  <c r="B126" i="4"/>
  <c r="A126" i="4"/>
  <c r="J125" i="4"/>
  <c r="C125" i="4"/>
  <c r="B125" i="4"/>
  <c r="A125" i="4"/>
  <c r="J124" i="4"/>
  <c r="C124" i="4"/>
  <c r="B124" i="4"/>
  <c r="A124" i="4"/>
  <c r="J123" i="4"/>
  <c r="C123" i="4"/>
  <c r="B123" i="4"/>
  <c r="A123" i="4"/>
  <c r="J122" i="4"/>
  <c r="C122" i="4"/>
  <c r="B122" i="4"/>
  <c r="A122" i="4"/>
  <c r="J121" i="4"/>
  <c r="C121" i="4"/>
  <c r="B121" i="4"/>
  <c r="A121" i="4"/>
  <c r="J120" i="4"/>
  <c r="C120" i="4"/>
  <c r="B120" i="4"/>
  <c r="A120" i="4"/>
  <c r="J119" i="4"/>
  <c r="C119" i="4"/>
  <c r="B119" i="4"/>
  <c r="A119" i="4"/>
  <c r="J118" i="4"/>
  <c r="C118" i="4"/>
  <c r="B118" i="4"/>
  <c r="A118" i="4"/>
  <c r="J117" i="4"/>
  <c r="C117" i="4"/>
  <c r="B117" i="4"/>
  <c r="A117" i="4"/>
  <c r="J116" i="4"/>
  <c r="C116" i="4"/>
  <c r="B116" i="4"/>
  <c r="A116" i="4"/>
  <c r="J115" i="4"/>
  <c r="C115" i="4"/>
  <c r="B115" i="4"/>
  <c r="A115" i="4"/>
  <c r="J114" i="4"/>
  <c r="C114" i="4"/>
  <c r="B114" i="4"/>
  <c r="A114" i="4"/>
  <c r="J113" i="4"/>
  <c r="C113" i="4"/>
  <c r="B113" i="4"/>
  <c r="A113" i="4"/>
  <c r="J112" i="4"/>
  <c r="C112" i="4"/>
  <c r="B112" i="4"/>
  <c r="A112" i="4"/>
  <c r="J111" i="4"/>
  <c r="C111" i="4"/>
  <c r="B111" i="4"/>
  <c r="A111" i="4"/>
  <c r="J110" i="4"/>
  <c r="C110" i="4"/>
  <c r="B110" i="4"/>
  <c r="A110" i="4"/>
  <c r="J109" i="4"/>
  <c r="C109" i="4"/>
  <c r="B109" i="4"/>
  <c r="A109" i="4"/>
  <c r="J108" i="4"/>
  <c r="C108" i="4"/>
  <c r="B108" i="4"/>
  <c r="A108" i="4"/>
  <c r="J107" i="4"/>
  <c r="C107" i="4"/>
  <c r="B107" i="4"/>
  <c r="A107" i="4"/>
  <c r="J106" i="4"/>
  <c r="C106" i="4"/>
  <c r="B106" i="4"/>
  <c r="A106" i="4"/>
  <c r="J105" i="4"/>
  <c r="C105" i="4"/>
  <c r="B105" i="4"/>
  <c r="A105" i="4"/>
  <c r="J104" i="4"/>
  <c r="C104" i="4"/>
  <c r="B104" i="4"/>
  <c r="A104" i="4"/>
  <c r="J103" i="4"/>
  <c r="C103" i="4"/>
  <c r="B103" i="4"/>
  <c r="A103" i="4"/>
  <c r="J102" i="4"/>
  <c r="C102" i="4"/>
  <c r="B102" i="4"/>
  <c r="A102" i="4"/>
  <c r="J101" i="4"/>
  <c r="C101" i="4"/>
  <c r="B101" i="4"/>
  <c r="A101" i="4"/>
  <c r="J100" i="4"/>
  <c r="C100" i="4"/>
  <c r="B100" i="4"/>
  <c r="A100" i="4"/>
  <c r="J99" i="4"/>
  <c r="C99" i="4"/>
  <c r="B99" i="4"/>
  <c r="A99" i="4"/>
  <c r="J98" i="4"/>
  <c r="C98" i="4"/>
  <c r="B98" i="4"/>
  <c r="A98" i="4"/>
  <c r="J97" i="4"/>
  <c r="C97" i="4"/>
  <c r="B97" i="4"/>
  <c r="A97" i="4"/>
  <c r="J96" i="4"/>
  <c r="C96" i="4"/>
  <c r="B96" i="4"/>
  <c r="A96" i="4"/>
  <c r="J95" i="4"/>
  <c r="C95" i="4"/>
  <c r="B95" i="4"/>
  <c r="A95" i="4"/>
  <c r="J94" i="4"/>
  <c r="C94" i="4"/>
  <c r="B94" i="4"/>
  <c r="A94" i="4"/>
  <c r="J93" i="4"/>
  <c r="C93" i="4"/>
  <c r="B93" i="4"/>
  <c r="A93" i="4"/>
  <c r="J92" i="4"/>
  <c r="C92" i="4"/>
  <c r="B92" i="4"/>
  <c r="A92" i="4"/>
  <c r="J91" i="4"/>
  <c r="C91" i="4"/>
  <c r="B91" i="4"/>
  <c r="A91" i="4"/>
  <c r="J90" i="4"/>
  <c r="C90" i="4"/>
  <c r="B90" i="4"/>
  <c r="A90" i="4"/>
  <c r="J89" i="4"/>
  <c r="C89" i="4"/>
  <c r="B89" i="4"/>
  <c r="A89" i="4"/>
  <c r="J88" i="4"/>
  <c r="C88" i="4"/>
  <c r="B88" i="4"/>
  <c r="A88" i="4"/>
  <c r="J87" i="4"/>
  <c r="C87" i="4"/>
  <c r="B87" i="4"/>
  <c r="A87" i="4"/>
  <c r="J86" i="4"/>
  <c r="C86" i="4"/>
  <c r="B86" i="4"/>
  <c r="A86" i="4"/>
  <c r="J85" i="4"/>
  <c r="C85" i="4"/>
  <c r="B85" i="4"/>
  <c r="A85" i="4"/>
  <c r="J84" i="4"/>
  <c r="C84" i="4"/>
  <c r="B84" i="4"/>
  <c r="A84" i="4"/>
  <c r="J83" i="4"/>
  <c r="C83" i="4"/>
  <c r="B83" i="4"/>
  <c r="A83" i="4"/>
  <c r="J82" i="4"/>
  <c r="C82" i="4"/>
  <c r="B82" i="4"/>
  <c r="A82" i="4"/>
  <c r="J81" i="4"/>
  <c r="C81" i="4"/>
  <c r="B81" i="4"/>
  <c r="A81" i="4"/>
  <c r="J80" i="4"/>
  <c r="C80" i="4"/>
  <c r="B80" i="4"/>
  <c r="A80" i="4"/>
  <c r="J79" i="4"/>
  <c r="C79" i="4"/>
  <c r="B79" i="4"/>
  <c r="A79" i="4"/>
  <c r="J78" i="4"/>
  <c r="C78" i="4"/>
  <c r="B78" i="4"/>
  <c r="A78" i="4"/>
  <c r="J77" i="4"/>
  <c r="C77" i="4"/>
  <c r="B77" i="4"/>
  <c r="A77" i="4"/>
  <c r="J76" i="4"/>
  <c r="C76" i="4"/>
  <c r="B76" i="4"/>
  <c r="A76" i="4"/>
  <c r="J75" i="4"/>
  <c r="C75" i="4"/>
  <c r="B75" i="4"/>
  <c r="A75" i="4"/>
  <c r="J74" i="4"/>
  <c r="C74" i="4"/>
  <c r="B74" i="4"/>
  <c r="A74" i="4"/>
  <c r="J73" i="4"/>
  <c r="C73" i="4"/>
  <c r="B73" i="4"/>
  <c r="A73" i="4"/>
  <c r="J72" i="4"/>
  <c r="C72" i="4"/>
  <c r="B72" i="4"/>
  <c r="A72" i="4"/>
  <c r="J71" i="4"/>
  <c r="C71" i="4"/>
  <c r="B71" i="4"/>
  <c r="A71" i="4"/>
  <c r="J70" i="4"/>
  <c r="C70" i="4"/>
  <c r="B70" i="4"/>
  <c r="A70" i="4"/>
  <c r="J69" i="4"/>
  <c r="C69" i="4"/>
  <c r="B69" i="4"/>
  <c r="A69" i="4"/>
  <c r="J68" i="4"/>
  <c r="C68" i="4"/>
  <c r="B68" i="4"/>
  <c r="A68" i="4"/>
  <c r="J67" i="4"/>
  <c r="C67" i="4"/>
  <c r="B67" i="4"/>
  <c r="A67" i="4"/>
  <c r="J66" i="4"/>
  <c r="C66" i="4"/>
  <c r="B66" i="4"/>
  <c r="A66" i="4"/>
  <c r="J65" i="4"/>
  <c r="C65" i="4"/>
  <c r="B65" i="4"/>
  <c r="A65" i="4"/>
  <c r="J64" i="4"/>
  <c r="C64" i="4"/>
  <c r="B64" i="4"/>
  <c r="A64" i="4"/>
  <c r="J63" i="4"/>
  <c r="C63" i="4"/>
  <c r="B63" i="4"/>
  <c r="A63" i="4"/>
  <c r="J62" i="4"/>
  <c r="C62" i="4"/>
  <c r="B62" i="4"/>
  <c r="A62" i="4"/>
  <c r="J61" i="4"/>
  <c r="C61" i="4"/>
  <c r="B61" i="4"/>
  <c r="A61" i="4"/>
  <c r="J60" i="4"/>
  <c r="C60" i="4"/>
  <c r="B60" i="4"/>
  <c r="A60" i="4"/>
  <c r="J59" i="4"/>
  <c r="C59" i="4"/>
  <c r="B59" i="4"/>
  <c r="A59" i="4"/>
  <c r="J58" i="4"/>
  <c r="C58" i="4"/>
  <c r="B58" i="4"/>
  <c r="A58" i="4"/>
  <c r="J57" i="4"/>
  <c r="C57" i="4"/>
  <c r="B57" i="4"/>
  <c r="A57" i="4"/>
  <c r="J56" i="4"/>
  <c r="C56" i="4"/>
  <c r="B56" i="4"/>
  <c r="A56" i="4"/>
  <c r="J55" i="4"/>
  <c r="C55" i="4"/>
  <c r="B55" i="4"/>
  <c r="A55" i="4"/>
  <c r="J54" i="4"/>
  <c r="C54" i="4"/>
  <c r="B54" i="4"/>
  <c r="A54" i="4"/>
  <c r="J53" i="4"/>
  <c r="C53" i="4"/>
  <c r="B53" i="4"/>
  <c r="A53" i="4"/>
  <c r="J52" i="4"/>
  <c r="C52" i="4"/>
  <c r="B52" i="4"/>
  <c r="A52" i="4"/>
  <c r="J51" i="4"/>
  <c r="C51" i="4"/>
  <c r="B51" i="4"/>
  <c r="A51" i="4"/>
  <c r="J50" i="4"/>
  <c r="C50" i="4"/>
  <c r="B50" i="4"/>
  <c r="A50" i="4"/>
  <c r="C49" i="4"/>
  <c r="B49" i="4"/>
  <c r="A49" i="4"/>
  <c r="C48" i="4"/>
  <c r="B48" i="4"/>
  <c r="A48" i="4"/>
  <c r="C47" i="4"/>
  <c r="B47" i="4"/>
  <c r="A47" i="4"/>
  <c r="C46" i="4"/>
  <c r="B46" i="4"/>
  <c r="A46" i="4"/>
  <c r="C45" i="4"/>
  <c r="B45" i="4"/>
  <c r="A45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B39" i="4"/>
  <c r="A39" i="4"/>
  <c r="C38" i="4"/>
  <c r="B38" i="4"/>
  <c r="A38" i="4"/>
  <c r="C37" i="4"/>
  <c r="B37" i="4"/>
  <c r="A37" i="4"/>
  <c r="C36" i="4"/>
  <c r="B36" i="4"/>
  <c r="A36" i="4"/>
  <c r="C35" i="4"/>
  <c r="B35" i="4"/>
  <c r="A35" i="4"/>
  <c r="C34" i="4"/>
  <c r="B34" i="4"/>
  <c r="A34" i="4"/>
  <c r="C33" i="4"/>
  <c r="B33" i="4"/>
  <c r="A33" i="4"/>
  <c r="C32" i="4"/>
  <c r="B32" i="4"/>
  <c r="A32" i="4"/>
  <c r="C31" i="4"/>
  <c r="B31" i="4"/>
  <c r="A31" i="4"/>
  <c r="C30" i="4"/>
  <c r="B30" i="4"/>
  <c r="A30" i="4"/>
  <c r="C29" i="4"/>
  <c r="B29" i="4"/>
  <c r="A29" i="4"/>
  <c r="C28" i="4"/>
  <c r="B28" i="4"/>
  <c r="A28" i="4"/>
  <c r="C27" i="4"/>
  <c r="B27" i="4"/>
  <c r="A27" i="4"/>
  <c r="C26" i="4"/>
  <c r="B26" i="4"/>
  <c r="A26" i="4"/>
  <c r="C25" i="4"/>
  <c r="B25" i="4"/>
  <c r="A25" i="4"/>
  <c r="C24" i="4"/>
  <c r="B24" i="4"/>
  <c r="A24" i="4"/>
  <c r="C23" i="4"/>
  <c r="B23" i="4"/>
  <c r="A23" i="4"/>
  <c r="C22" i="4"/>
  <c r="B22" i="4"/>
  <c r="A22" i="4"/>
  <c r="C21" i="4"/>
  <c r="B21" i="4"/>
  <c r="A21" i="4"/>
  <c r="C20" i="4"/>
  <c r="B20" i="4"/>
  <c r="A20" i="4"/>
  <c r="C19" i="4"/>
  <c r="B19" i="4"/>
  <c r="A19" i="4"/>
  <c r="C18" i="4"/>
  <c r="B18" i="4"/>
  <c r="A18" i="4"/>
  <c r="C17" i="4"/>
  <c r="B17" i="4"/>
  <c r="A17" i="4"/>
  <c r="C16" i="4"/>
  <c r="B16" i="4"/>
  <c r="A16" i="4"/>
  <c r="C15" i="4"/>
  <c r="B15" i="4"/>
  <c r="A15" i="4"/>
  <c r="C14" i="4"/>
  <c r="B14" i="4"/>
  <c r="A14" i="4"/>
  <c r="C13" i="4"/>
  <c r="B13" i="4"/>
  <c r="A13" i="4"/>
  <c r="C12" i="4"/>
  <c r="B12" i="4"/>
  <c r="A12" i="4"/>
  <c r="C11" i="4"/>
  <c r="B11" i="4"/>
  <c r="A11" i="4"/>
  <c r="C10" i="4"/>
  <c r="B10" i="4"/>
  <c r="A10" i="4"/>
  <c r="C9" i="4"/>
  <c r="B9" i="4"/>
  <c r="A9" i="4"/>
  <c r="C8" i="4"/>
  <c r="B8" i="4"/>
  <c r="A8" i="4"/>
  <c r="C7" i="4"/>
  <c r="B7" i="4"/>
  <c r="A7" i="4"/>
  <c r="C6" i="4"/>
  <c r="B6" i="4"/>
  <c r="A6" i="4"/>
  <c r="C5" i="4"/>
  <c r="B5" i="4"/>
  <c r="A5" i="4"/>
  <c r="C4" i="4"/>
  <c r="B4" i="4"/>
  <c r="A4" i="4"/>
  <c r="C3" i="4"/>
  <c r="B3" i="4"/>
  <c r="A3" i="4"/>
  <c r="I2" i="4" a="1"/>
  <c r="C2" i="4"/>
  <c r="B2" i="4"/>
  <c r="A2" i="4"/>
  <c r="B16" i="10"/>
  <c r="H2" i="4" s="1" a="1"/>
  <c r="H2" i="4" s="1"/>
  <c r="E2" i="4" l="1" a="1"/>
  <c r="E2" i="4" s="1"/>
  <c r="L293" i="4"/>
  <c r="O32" i="4"/>
  <c r="G2" i="4" a="1"/>
  <c r="O9" i="4"/>
  <c r="O7" i="4"/>
  <c r="O298" i="4"/>
  <c r="O43" i="4"/>
  <c r="O30" i="4"/>
  <c r="O15" i="4"/>
  <c r="O300" i="4"/>
  <c r="O19" i="4"/>
  <c r="O302" i="4"/>
  <c r="O34" i="4"/>
  <c r="O281" i="4"/>
  <c r="O279" i="4"/>
  <c r="O277" i="4"/>
  <c r="O267" i="4"/>
  <c r="O265" i="4"/>
  <c r="O263" i="4"/>
  <c r="O261" i="4"/>
  <c r="O259" i="4"/>
  <c r="O255" i="4"/>
  <c r="O253" i="4"/>
  <c r="O251" i="4"/>
  <c r="O247" i="4"/>
  <c r="O245" i="4"/>
  <c r="O239" i="4"/>
  <c r="O237" i="4"/>
  <c r="O235" i="4"/>
  <c r="O225" i="4"/>
  <c r="O223" i="4"/>
  <c r="O221" i="4"/>
  <c r="O219" i="4"/>
  <c r="O215" i="4"/>
  <c r="O213" i="4"/>
  <c r="O211" i="4"/>
  <c r="O209" i="4"/>
  <c r="O205" i="4"/>
  <c r="O203" i="4"/>
  <c r="O197" i="4"/>
  <c r="O195" i="4"/>
  <c r="O193" i="4"/>
  <c r="O183" i="4"/>
  <c r="O181" i="4"/>
  <c r="O179" i="4"/>
  <c r="O175" i="4"/>
  <c r="O173" i="4"/>
  <c r="O171" i="4"/>
  <c r="O169" i="4"/>
  <c r="O167" i="4"/>
  <c r="O163" i="4"/>
  <c r="O161" i="4"/>
  <c r="O155" i="4"/>
  <c r="O153" i="4"/>
  <c r="O151" i="4"/>
  <c r="O141" i="4"/>
  <c r="O139" i="4"/>
  <c r="O135" i="4"/>
  <c r="O133" i="4"/>
  <c r="O131" i="4"/>
  <c r="O129" i="4"/>
  <c r="O127" i="4"/>
  <c r="O119" i="4"/>
  <c r="O115" i="4"/>
  <c r="O113" i="4"/>
  <c r="O38" i="4"/>
  <c r="O25" i="4"/>
  <c r="O285" i="4"/>
  <c r="O295" i="4"/>
  <c r="O299" i="4"/>
  <c r="O301" i="4"/>
  <c r="O303" i="4"/>
  <c r="O305" i="4"/>
  <c r="O307" i="4"/>
  <c r="O309" i="4"/>
  <c r="O311" i="4"/>
  <c r="O315" i="4"/>
  <c r="O317" i="4"/>
  <c r="F301" i="4"/>
  <c r="L301" i="4" s="1"/>
  <c r="D166" i="4"/>
  <c r="K166" i="4" s="1"/>
  <c r="F319" i="4"/>
  <c r="L319" i="4" s="1"/>
  <c r="D309" i="4"/>
  <c r="K309" i="4" s="1"/>
  <c r="D306" i="4"/>
  <c r="K306" i="4" s="1"/>
  <c r="D98" i="4"/>
  <c r="K98" i="4" s="1"/>
  <c r="F98" i="4"/>
  <c r="L98" i="4" s="1"/>
  <c r="F122" i="4"/>
  <c r="L122" i="4" s="1"/>
  <c r="D11" i="4"/>
  <c r="F218" i="4"/>
  <c r="L218" i="4" s="1"/>
  <c r="F62" i="4"/>
  <c r="L62" i="4" s="1"/>
  <c r="D67" i="4"/>
  <c r="K67" i="4" s="1"/>
  <c r="F87" i="4"/>
  <c r="L87" i="4" s="1"/>
  <c r="D132" i="4"/>
  <c r="K132" i="4" s="1"/>
  <c r="D109" i="4"/>
  <c r="K109" i="4" s="1"/>
  <c r="D27" i="4"/>
  <c r="F68" i="4"/>
  <c r="L68" i="4" s="1"/>
  <c r="F109" i="4"/>
  <c r="L109" i="4" s="1"/>
  <c r="D78" i="4"/>
  <c r="K78" i="4" s="1"/>
  <c r="F78" i="4"/>
  <c r="L78" i="4" s="1"/>
  <c r="D101" i="4"/>
  <c r="K101" i="4" s="1"/>
  <c r="D59" i="4"/>
  <c r="K59" i="4" s="1"/>
  <c r="F197" i="4"/>
  <c r="L197" i="4" s="1"/>
  <c r="F273" i="4"/>
  <c r="L273" i="4" s="1"/>
  <c r="F306" i="4"/>
  <c r="L306" i="4" s="1"/>
  <c r="F59" i="4"/>
  <c r="L59" i="4" s="1"/>
  <c r="F298" i="4"/>
  <c r="L298" i="4" s="1"/>
  <c r="F51" i="4"/>
  <c r="L51" i="4" s="1"/>
  <c r="D169" i="4"/>
  <c r="K169" i="4" s="1"/>
  <c r="D56" i="4"/>
  <c r="K56" i="4" s="1"/>
  <c r="F169" i="4"/>
  <c r="L169" i="4" s="1"/>
  <c r="D3" i="4"/>
  <c r="D48" i="4"/>
  <c r="D87" i="4"/>
  <c r="K87" i="4" s="1"/>
  <c r="D156" i="4"/>
  <c r="K156" i="4" s="1"/>
  <c r="F138" i="4"/>
  <c r="L138" i="4" s="1"/>
  <c r="D242" i="4"/>
  <c r="K242" i="4" s="1"/>
  <c r="F79" i="4"/>
  <c r="L79" i="4" s="1"/>
  <c r="F153" i="4"/>
  <c r="L153" i="4" s="1"/>
  <c r="D234" i="4"/>
  <c r="K234" i="4" s="1"/>
  <c r="F242" i="4"/>
  <c r="L242" i="4" s="1"/>
  <c r="D22" i="4"/>
  <c r="F234" i="4"/>
  <c r="L234" i="4" s="1"/>
  <c r="F239" i="4"/>
  <c r="L239" i="4" s="1"/>
  <c r="F221" i="4"/>
  <c r="L221" i="4" s="1"/>
  <c r="D12" i="4"/>
  <c r="D122" i="4"/>
  <c r="K122" i="4" s="1"/>
  <c r="D16" i="4"/>
  <c r="D37" i="4"/>
  <c r="D47" i="4"/>
  <c r="D58" i="4"/>
  <c r="K58" i="4" s="1"/>
  <c r="F64" i="4"/>
  <c r="L64" i="4" s="1"/>
  <c r="D121" i="4"/>
  <c r="K121" i="4" s="1"/>
  <c r="D129" i="4"/>
  <c r="K129" i="4" s="1"/>
  <c r="F137" i="4"/>
  <c r="L137" i="4" s="1"/>
  <c r="D194" i="4"/>
  <c r="K194" i="4" s="1"/>
  <c r="D202" i="4"/>
  <c r="K202" i="4" s="1"/>
  <c r="D249" i="4"/>
  <c r="K249" i="4" s="1"/>
  <c r="D86" i="4"/>
  <c r="K86" i="4" s="1"/>
  <c r="D97" i="4"/>
  <c r="K97" i="4" s="1"/>
  <c r="F129" i="4"/>
  <c r="L129" i="4" s="1"/>
  <c r="F194" i="4"/>
  <c r="L194" i="4" s="1"/>
  <c r="F202" i="4"/>
  <c r="L202" i="4" s="1"/>
  <c r="F249" i="4"/>
  <c r="L249" i="4" s="1"/>
  <c r="D282" i="4"/>
  <c r="K282" i="4" s="1"/>
  <c r="D34" i="4"/>
  <c r="D83" i="4"/>
  <c r="K83" i="4" s="1"/>
  <c r="D94" i="4"/>
  <c r="K94" i="4" s="1"/>
  <c r="F118" i="4"/>
  <c r="L118" i="4" s="1"/>
  <c r="F126" i="4"/>
  <c r="L126" i="4" s="1"/>
  <c r="F134" i="4"/>
  <c r="L134" i="4" s="1"/>
  <c r="F181" i="4"/>
  <c r="L181" i="4" s="1"/>
  <c r="F199" i="4"/>
  <c r="L199" i="4" s="1"/>
  <c r="F246" i="4"/>
  <c r="L246" i="4" s="1"/>
  <c r="F313" i="4"/>
  <c r="L313" i="4" s="1"/>
  <c r="D2" i="4"/>
  <c r="D8" i="4"/>
  <c r="D19" i="4"/>
  <c r="D64" i="4"/>
  <c r="K64" i="4" s="1"/>
  <c r="F67" i="4"/>
  <c r="L67" i="4" s="1"/>
  <c r="F108" i="4"/>
  <c r="L108" i="4" s="1"/>
  <c r="F166" i="4"/>
  <c r="L166" i="4" s="1"/>
  <c r="D29" i="4"/>
  <c r="D246" i="4"/>
  <c r="K246" i="4" s="1"/>
  <c r="F321" i="4"/>
  <c r="L321" i="4" s="1"/>
  <c r="D44" i="4"/>
  <c r="F83" i="4"/>
  <c r="L83" i="4" s="1"/>
  <c r="D91" i="4"/>
  <c r="K91" i="4" s="1"/>
  <c r="F94" i="4"/>
  <c r="L94" i="4" s="1"/>
  <c r="F318" i="4"/>
  <c r="L318" i="4" s="1"/>
  <c r="D23" i="4"/>
  <c r="D36" i="4"/>
  <c r="F74" i="4"/>
  <c r="L74" i="4" s="1"/>
  <c r="F154" i="4"/>
  <c r="L154" i="4" s="1"/>
  <c r="D162" i="4"/>
  <c r="K162" i="4" s="1"/>
  <c r="D209" i="4"/>
  <c r="K209" i="4" s="1"/>
  <c r="D289" i="4"/>
  <c r="K289" i="4" s="1"/>
  <c r="D26" i="4"/>
  <c r="D52" i="4"/>
  <c r="K52" i="4" s="1"/>
  <c r="D66" i="4"/>
  <c r="K66" i="4" s="1"/>
  <c r="F63" i="4"/>
  <c r="L63" i="4" s="1"/>
  <c r="F178" i="4"/>
  <c r="L178" i="4" s="1"/>
  <c r="D41" i="4"/>
  <c r="D33" i="4"/>
  <c r="D82" i="4"/>
  <c r="K82" i="4" s="1"/>
  <c r="D93" i="4"/>
  <c r="K93" i="4" s="1"/>
  <c r="F162" i="4"/>
  <c r="L162" i="4" s="1"/>
  <c r="F209" i="4"/>
  <c r="L209" i="4" s="1"/>
  <c r="D294" i="4"/>
  <c r="K294" i="4" s="1"/>
  <c r="D18" i="4"/>
  <c r="F102" i="4"/>
  <c r="L102" i="4" s="1"/>
  <c r="F52" i="4"/>
  <c r="L52" i="4" s="1"/>
  <c r="D74" i="4"/>
  <c r="K74" i="4" s="1"/>
  <c r="F261" i="4"/>
  <c r="L261" i="4" s="1"/>
  <c r="D4" i="4"/>
  <c r="D71" i="4"/>
  <c r="K71" i="4" s="1"/>
  <c r="F82" i="4"/>
  <c r="L82" i="4" s="1"/>
  <c r="F93" i="4"/>
  <c r="L93" i="4" s="1"/>
  <c r="D104" i="4"/>
  <c r="K104" i="4" s="1"/>
  <c r="F112" i="4"/>
  <c r="L112" i="4" s="1"/>
  <c r="F141" i="4"/>
  <c r="L141" i="4" s="1"/>
  <c r="D206" i="4"/>
  <c r="K206" i="4" s="1"/>
  <c r="F237" i="4"/>
  <c r="L237" i="4" s="1"/>
  <c r="F258" i="4"/>
  <c r="L258" i="4" s="1"/>
  <c r="D286" i="4"/>
  <c r="K286" i="4" s="1"/>
  <c r="D63" i="4"/>
  <c r="K63" i="4" s="1"/>
  <c r="D7" i="4"/>
  <c r="F157" i="4"/>
  <c r="L157" i="4" s="1"/>
  <c r="D43" i="4"/>
  <c r="D51" i="4"/>
  <c r="K51" i="4" s="1"/>
  <c r="D62" i="4"/>
  <c r="K62" i="4" s="1"/>
  <c r="D79" i="4"/>
  <c r="K79" i="4" s="1"/>
  <c r="F159" i="4"/>
  <c r="L159" i="4" s="1"/>
  <c r="F206" i="4"/>
  <c r="L206" i="4" s="1"/>
  <c r="F286" i="4"/>
  <c r="L286" i="4" s="1"/>
  <c r="D102" i="4"/>
  <c r="K102" i="4" s="1"/>
  <c r="D106" i="4"/>
  <c r="K106" i="4" s="1"/>
  <c r="F113" i="4"/>
  <c r="L113" i="4" s="1"/>
  <c r="D126" i="4"/>
  <c r="K126" i="4" s="1"/>
  <c r="D154" i="4"/>
  <c r="K154" i="4" s="1"/>
  <c r="F179" i="4"/>
  <c r="L179" i="4" s="1"/>
  <c r="F182" i="4"/>
  <c r="L182" i="4" s="1"/>
  <c r="F219" i="4"/>
  <c r="L219" i="4" s="1"/>
  <c r="F222" i="4"/>
  <c r="L222" i="4" s="1"/>
  <c r="F259" i="4"/>
  <c r="L259" i="4" s="1"/>
  <c r="F262" i="4"/>
  <c r="L262" i="4" s="1"/>
  <c r="F274" i="4"/>
  <c r="L274" i="4" s="1"/>
  <c r="F277" i="4"/>
  <c r="L277" i="4" s="1"/>
  <c r="F97" i="4"/>
  <c r="L97" i="4" s="1"/>
  <c r="D108" i="4"/>
  <c r="K108" i="4" s="1"/>
  <c r="D134" i="4"/>
  <c r="K134" i="4" s="1"/>
  <c r="F193" i="4"/>
  <c r="L193" i="4" s="1"/>
  <c r="F233" i="4"/>
  <c r="L233" i="4" s="1"/>
  <c r="F279" i="4"/>
  <c r="L279" i="4" s="1"/>
  <c r="F282" i="4"/>
  <c r="L282" i="4" s="1"/>
  <c r="F294" i="4"/>
  <c r="L294" i="4" s="1"/>
  <c r="F297" i="4"/>
  <c r="L297" i="4" s="1"/>
  <c r="D89" i="4"/>
  <c r="K89" i="4" s="1"/>
  <c r="F104" i="4"/>
  <c r="L104" i="4" s="1"/>
  <c r="D174" i="4"/>
  <c r="K174" i="4" s="1"/>
  <c r="D214" i="4"/>
  <c r="K214" i="4" s="1"/>
  <c r="D254" i="4"/>
  <c r="K254" i="4" s="1"/>
  <c r="D14" i="4"/>
  <c r="D32" i="4"/>
  <c r="F58" i="4"/>
  <c r="L58" i="4" s="1"/>
  <c r="D77" i="4"/>
  <c r="K77" i="4" s="1"/>
  <c r="F89" i="4"/>
  <c r="L89" i="4" s="1"/>
  <c r="D146" i="4"/>
  <c r="K146" i="4" s="1"/>
  <c r="F174" i="4"/>
  <c r="L174" i="4" s="1"/>
  <c r="F177" i="4"/>
  <c r="L177" i="4" s="1"/>
  <c r="F214" i="4"/>
  <c r="L214" i="4" s="1"/>
  <c r="F217" i="4"/>
  <c r="L217" i="4" s="1"/>
  <c r="F254" i="4"/>
  <c r="L254" i="4" s="1"/>
  <c r="F257" i="4"/>
  <c r="L257" i="4" s="1"/>
  <c r="D54" i="4"/>
  <c r="K54" i="4" s="1"/>
  <c r="D73" i="4"/>
  <c r="K73" i="4" s="1"/>
  <c r="F77" i="4"/>
  <c r="L77" i="4" s="1"/>
  <c r="D81" i="4"/>
  <c r="K81" i="4" s="1"/>
  <c r="D107" i="4"/>
  <c r="K107" i="4" s="1"/>
  <c r="D111" i="4"/>
  <c r="K111" i="4" s="1"/>
  <c r="F146" i="4"/>
  <c r="L146" i="4" s="1"/>
  <c r="D149" i="4"/>
  <c r="K149" i="4" s="1"/>
  <c r="D266" i="4"/>
  <c r="K266" i="4" s="1"/>
  <c r="F278" i="4"/>
  <c r="L278" i="4" s="1"/>
  <c r="D21" i="4"/>
  <c r="D28" i="4"/>
  <c r="D39" i="4"/>
  <c r="F54" i="4"/>
  <c r="L54" i="4" s="1"/>
  <c r="F73" i="4"/>
  <c r="L73" i="4" s="1"/>
  <c r="D92" i="4"/>
  <c r="K92" i="4" s="1"/>
  <c r="D96" i="4"/>
  <c r="K96" i="4" s="1"/>
  <c r="F107" i="4"/>
  <c r="L107" i="4" s="1"/>
  <c r="D114" i="4"/>
  <c r="K114" i="4" s="1"/>
  <c r="D117" i="4"/>
  <c r="K117" i="4" s="1"/>
  <c r="D124" i="4"/>
  <c r="K124" i="4" s="1"/>
  <c r="F149" i="4"/>
  <c r="L149" i="4" s="1"/>
  <c r="D152" i="4"/>
  <c r="K152" i="4" s="1"/>
  <c r="D186" i="4"/>
  <c r="K186" i="4" s="1"/>
  <c r="D226" i="4"/>
  <c r="K226" i="4" s="1"/>
  <c r="F266" i="4"/>
  <c r="L266" i="4" s="1"/>
  <c r="D269" i="4"/>
  <c r="K269" i="4" s="1"/>
  <c r="F281" i="4"/>
  <c r="L281" i="4" s="1"/>
  <c r="D318" i="4"/>
  <c r="K318" i="4" s="1"/>
  <c r="D313" i="4"/>
  <c r="K313" i="4" s="1"/>
  <c r="D308" i="4"/>
  <c r="K308" i="4" s="1"/>
  <c r="D303" i="4"/>
  <c r="K303" i="4" s="1"/>
  <c r="D298" i="4"/>
  <c r="K298" i="4" s="1"/>
  <c r="D293" i="4"/>
  <c r="K293" i="4" s="1"/>
  <c r="D288" i="4"/>
  <c r="K288" i="4" s="1"/>
  <c r="D283" i="4"/>
  <c r="K283" i="4" s="1"/>
  <c r="D278" i="4"/>
  <c r="K278" i="4" s="1"/>
  <c r="D273" i="4"/>
  <c r="K273" i="4" s="1"/>
  <c r="D268" i="4"/>
  <c r="K268" i="4" s="1"/>
  <c r="D263" i="4"/>
  <c r="K263" i="4" s="1"/>
  <c r="D258" i="4"/>
  <c r="K258" i="4" s="1"/>
  <c r="D253" i="4"/>
  <c r="K253" i="4" s="1"/>
  <c r="D248" i="4"/>
  <c r="K248" i="4" s="1"/>
  <c r="D243" i="4"/>
  <c r="K243" i="4" s="1"/>
  <c r="D238" i="4"/>
  <c r="K238" i="4" s="1"/>
  <c r="D233" i="4"/>
  <c r="K233" i="4" s="1"/>
  <c r="D228" i="4"/>
  <c r="K228" i="4" s="1"/>
  <c r="D223" i="4"/>
  <c r="K223" i="4" s="1"/>
  <c r="D218" i="4"/>
  <c r="K218" i="4" s="1"/>
  <c r="D213" i="4"/>
  <c r="K213" i="4" s="1"/>
  <c r="D208" i="4"/>
  <c r="K208" i="4" s="1"/>
  <c r="D203" i="4"/>
  <c r="K203" i="4" s="1"/>
  <c r="D198" i="4"/>
  <c r="K198" i="4" s="1"/>
  <c r="D193" i="4"/>
  <c r="K193" i="4" s="1"/>
  <c r="D188" i="4"/>
  <c r="K188" i="4" s="1"/>
  <c r="D183" i="4"/>
  <c r="K183" i="4" s="1"/>
  <c r="D178" i="4"/>
  <c r="K178" i="4" s="1"/>
  <c r="D173" i="4"/>
  <c r="K173" i="4" s="1"/>
  <c r="D168" i="4"/>
  <c r="K168" i="4" s="1"/>
  <c r="D163" i="4"/>
  <c r="K163" i="4" s="1"/>
  <c r="D158" i="4"/>
  <c r="K158" i="4" s="1"/>
  <c r="D153" i="4"/>
  <c r="K153" i="4" s="1"/>
  <c r="D148" i="4"/>
  <c r="K148" i="4" s="1"/>
  <c r="D143" i="4"/>
  <c r="K143" i="4" s="1"/>
  <c r="D138" i="4"/>
  <c r="K138" i="4" s="1"/>
  <c r="D133" i="4"/>
  <c r="K133" i="4" s="1"/>
  <c r="D128" i="4"/>
  <c r="K128" i="4" s="1"/>
  <c r="D123" i="4"/>
  <c r="K123" i="4" s="1"/>
  <c r="D118" i="4"/>
  <c r="K118" i="4" s="1"/>
  <c r="F320" i="4"/>
  <c r="L320" i="4" s="1"/>
  <c r="F315" i="4"/>
  <c r="L315" i="4" s="1"/>
  <c r="F310" i="4"/>
  <c r="L310" i="4" s="1"/>
  <c r="F305" i="4"/>
  <c r="L305" i="4" s="1"/>
  <c r="F300" i="4"/>
  <c r="L300" i="4" s="1"/>
  <c r="F295" i="4"/>
  <c r="L295" i="4" s="1"/>
  <c r="F290" i="4"/>
  <c r="L290" i="4" s="1"/>
  <c r="F285" i="4"/>
  <c r="L285" i="4" s="1"/>
  <c r="F280" i="4"/>
  <c r="L280" i="4" s="1"/>
  <c r="F275" i="4"/>
  <c r="L275" i="4" s="1"/>
  <c r="F270" i="4"/>
  <c r="L270" i="4" s="1"/>
  <c r="F265" i="4"/>
  <c r="L265" i="4" s="1"/>
  <c r="F260" i="4"/>
  <c r="L260" i="4" s="1"/>
  <c r="F255" i="4"/>
  <c r="L255" i="4" s="1"/>
  <c r="F250" i="4"/>
  <c r="L250" i="4" s="1"/>
  <c r="F245" i="4"/>
  <c r="L245" i="4" s="1"/>
  <c r="F240" i="4"/>
  <c r="L240" i="4" s="1"/>
  <c r="F235" i="4"/>
  <c r="L235" i="4" s="1"/>
  <c r="F230" i="4"/>
  <c r="L230" i="4" s="1"/>
  <c r="F225" i="4"/>
  <c r="L225" i="4" s="1"/>
  <c r="F220" i="4"/>
  <c r="L220" i="4" s="1"/>
  <c r="F215" i="4"/>
  <c r="L215" i="4" s="1"/>
  <c r="F210" i="4"/>
  <c r="L210" i="4" s="1"/>
  <c r="F205" i="4"/>
  <c r="L205" i="4" s="1"/>
  <c r="F200" i="4"/>
  <c r="L200" i="4" s="1"/>
  <c r="F195" i="4"/>
  <c r="L195" i="4" s="1"/>
  <c r="F190" i="4"/>
  <c r="L190" i="4" s="1"/>
  <c r="F185" i="4"/>
  <c r="L185" i="4" s="1"/>
  <c r="F180" i="4"/>
  <c r="L180" i="4" s="1"/>
  <c r="F175" i="4"/>
  <c r="L175" i="4" s="1"/>
  <c r="F170" i="4"/>
  <c r="L170" i="4" s="1"/>
  <c r="F165" i="4"/>
  <c r="L165" i="4" s="1"/>
  <c r="F160" i="4"/>
  <c r="L160" i="4" s="1"/>
  <c r="F155" i="4"/>
  <c r="L155" i="4" s="1"/>
  <c r="F150" i="4"/>
  <c r="L150" i="4" s="1"/>
  <c r="F145" i="4"/>
  <c r="L145" i="4" s="1"/>
  <c r="F140" i="4"/>
  <c r="L140" i="4" s="1"/>
  <c r="F135" i="4"/>
  <c r="L135" i="4" s="1"/>
  <c r="F130" i="4"/>
  <c r="L130" i="4" s="1"/>
  <c r="D320" i="4"/>
  <c r="K320" i="4" s="1"/>
  <c r="D315" i="4"/>
  <c r="K315" i="4" s="1"/>
  <c r="D310" i="4"/>
  <c r="K310" i="4" s="1"/>
  <c r="D305" i="4"/>
  <c r="K305" i="4" s="1"/>
  <c r="D300" i="4"/>
  <c r="K300" i="4" s="1"/>
  <c r="D295" i="4"/>
  <c r="K295" i="4" s="1"/>
  <c r="D290" i="4"/>
  <c r="K290" i="4" s="1"/>
  <c r="D285" i="4"/>
  <c r="K285" i="4" s="1"/>
  <c r="D280" i="4"/>
  <c r="K280" i="4" s="1"/>
  <c r="D275" i="4"/>
  <c r="K275" i="4" s="1"/>
  <c r="D270" i="4"/>
  <c r="K270" i="4" s="1"/>
  <c r="D265" i="4"/>
  <c r="K265" i="4" s="1"/>
  <c r="D260" i="4"/>
  <c r="K260" i="4" s="1"/>
  <c r="D255" i="4"/>
  <c r="K255" i="4" s="1"/>
  <c r="D250" i="4"/>
  <c r="K250" i="4" s="1"/>
  <c r="D245" i="4"/>
  <c r="K245" i="4" s="1"/>
  <c r="D240" i="4"/>
  <c r="K240" i="4" s="1"/>
  <c r="D235" i="4"/>
  <c r="K235" i="4" s="1"/>
  <c r="D230" i="4"/>
  <c r="K230" i="4" s="1"/>
  <c r="D225" i="4"/>
  <c r="K225" i="4" s="1"/>
  <c r="D220" i="4"/>
  <c r="K220" i="4" s="1"/>
  <c r="D215" i="4"/>
  <c r="K215" i="4" s="1"/>
  <c r="D210" i="4"/>
  <c r="K210" i="4" s="1"/>
  <c r="D205" i="4"/>
  <c r="K205" i="4" s="1"/>
  <c r="D200" i="4"/>
  <c r="K200" i="4" s="1"/>
  <c r="D195" i="4"/>
  <c r="K195" i="4" s="1"/>
  <c r="D190" i="4"/>
  <c r="K190" i="4" s="1"/>
  <c r="D185" i="4"/>
  <c r="K185" i="4" s="1"/>
  <c r="D180" i="4"/>
  <c r="K180" i="4" s="1"/>
  <c r="D175" i="4"/>
  <c r="K175" i="4" s="1"/>
  <c r="D170" i="4"/>
  <c r="K170" i="4" s="1"/>
  <c r="D165" i="4"/>
  <c r="K165" i="4" s="1"/>
  <c r="D160" i="4"/>
  <c r="K160" i="4" s="1"/>
  <c r="D155" i="4"/>
  <c r="K155" i="4" s="1"/>
  <c r="D150" i="4"/>
  <c r="K150" i="4" s="1"/>
  <c r="D145" i="4"/>
  <c r="K145" i="4" s="1"/>
  <c r="D140" i="4"/>
  <c r="K140" i="4" s="1"/>
  <c r="D135" i="4"/>
  <c r="K135" i="4" s="1"/>
  <c r="D130" i="4"/>
  <c r="K130" i="4" s="1"/>
  <c r="D125" i="4"/>
  <c r="K125" i="4" s="1"/>
  <c r="D120" i="4"/>
  <c r="K120" i="4" s="1"/>
  <c r="D115" i="4"/>
  <c r="K115" i="4" s="1"/>
  <c r="D319" i="4"/>
  <c r="K319" i="4" s="1"/>
  <c r="F311" i="4"/>
  <c r="L311" i="4" s="1"/>
  <c r="F307" i="4"/>
  <c r="L307" i="4" s="1"/>
  <c r="F303" i="4"/>
  <c r="L303" i="4" s="1"/>
  <c r="D299" i="4"/>
  <c r="K299" i="4" s="1"/>
  <c r="F291" i="4"/>
  <c r="L291" i="4" s="1"/>
  <c r="F287" i="4"/>
  <c r="L287" i="4" s="1"/>
  <c r="F283" i="4"/>
  <c r="L283" i="4" s="1"/>
  <c r="D279" i="4"/>
  <c r="K279" i="4" s="1"/>
  <c r="F271" i="4"/>
  <c r="L271" i="4" s="1"/>
  <c r="F267" i="4"/>
  <c r="L267" i="4" s="1"/>
  <c r="F263" i="4"/>
  <c r="L263" i="4" s="1"/>
  <c r="D259" i="4"/>
  <c r="K259" i="4" s="1"/>
  <c r="F251" i="4"/>
  <c r="L251" i="4" s="1"/>
  <c r="F247" i="4"/>
  <c r="L247" i="4" s="1"/>
  <c r="F243" i="4"/>
  <c r="L243" i="4" s="1"/>
  <c r="D239" i="4"/>
  <c r="K239" i="4" s="1"/>
  <c r="F231" i="4"/>
  <c r="L231" i="4" s="1"/>
  <c r="F227" i="4"/>
  <c r="L227" i="4" s="1"/>
  <c r="F223" i="4"/>
  <c r="L223" i="4" s="1"/>
  <c r="D219" i="4"/>
  <c r="K219" i="4" s="1"/>
  <c r="F211" i="4"/>
  <c r="L211" i="4" s="1"/>
  <c r="F207" i="4"/>
  <c r="L207" i="4" s="1"/>
  <c r="F203" i="4"/>
  <c r="L203" i="4" s="1"/>
  <c r="D199" i="4"/>
  <c r="K199" i="4" s="1"/>
  <c r="F191" i="4"/>
  <c r="L191" i="4" s="1"/>
  <c r="F187" i="4"/>
  <c r="L187" i="4" s="1"/>
  <c r="F183" i="4"/>
  <c r="L183" i="4" s="1"/>
  <c r="D179" i="4"/>
  <c r="K179" i="4" s="1"/>
  <c r="F171" i="4"/>
  <c r="L171" i="4" s="1"/>
  <c r="F167" i="4"/>
  <c r="L167" i="4" s="1"/>
  <c r="F163" i="4"/>
  <c r="L163" i="4" s="1"/>
  <c r="D159" i="4"/>
  <c r="K159" i="4" s="1"/>
  <c r="F151" i="4"/>
  <c r="L151" i="4" s="1"/>
  <c r="F147" i="4"/>
  <c r="L147" i="4" s="1"/>
  <c r="F143" i="4"/>
  <c r="L143" i="4" s="1"/>
  <c r="D139" i="4"/>
  <c r="K139" i="4" s="1"/>
  <c r="F131" i="4"/>
  <c r="L131" i="4" s="1"/>
  <c r="F127" i="4"/>
  <c r="L127" i="4" s="1"/>
  <c r="D311" i="4"/>
  <c r="K311" i="4" s="1"/>
  <c r="D307" i="4"/>
  <c r="K307" i="4" s="1"/>
  <c r="D291" i="4"/>
  <c r="K291" i="4" s="1"/>
  <c r="D287" i="4"/>
  <c r="K287" i="4" s="1"/>
  <c r="D271" i="4"/>
  <c r="K271" i="4" s="1"/>
  <c r="D267" i="4"/>
  <c r="K267" i="4" s="1"/>
  <c r="D251" i="4"/>
  <c r="K251" i="4" s="1"/>
  <c r="D247" i="4"/>
  <c r="K247" i="4" s="1"/>
  <c r="D231" i="4"/>
  <c r="K231" i="4" s="1"/>
  <c r="D227" i="4"/>
  <c r="K227" i="4" s="1"/>
  <c r="D211" i="4"/>
  <c r="K211" i="4" s="1"/>
  <c r="D207" i="4"/>
  <c r="K207" i="4" s="1"/>
  <c r="D191" i="4"/>
  <c r="K191" i="4" s="1"/>
  <c r="D187" i="4"/>
  <c r="K187" i="4" s="1"/>
  <c r="D171" i="4"/>
  <c r="K171" i="4" s="1"/>
  <c r="D167" i="4"/>
  <c r="K167" i="4" s="1"/>
  <c r="D151" i="4"/>
  <c r="K151" i="4" s="1"/>
  <c r="D147" i="4"/>
  <c r="K147" i="4" s="1"/>
  <c r="D131" i="4"/>
  <c r="K131" i="4" s="1"/>
  <c r="D127" i="4"/>
  <c r="K127" i="4" s="1"/>
  <c r="F123" i="4"/>
  <c r="L123" i="4" s="1"/>
  <c r="F119" i="4"/>
  <c r="L119" i="4" s="1"/>
  <c r="F110" i="4"/>
  <c r="L110" i="4" s="1"/>
  <c r="F105" i="4"/>
  <c r="L105" i="4" s="1"/>
  <c r="F100" i="4"/>
  <c r="L100" i="4" s="1"/>
  <c r="F95" i="4"/>
  <c r="L95" i="4" s="1"/>
  <c r="F90" i="4"/>
  <c r="L90" i="4" s="1"/>
  <c r="F85" i="4"/>
  <c r="L85" i="4" s="1"/>
  <c r="F80" i="4"/>
  <c r="L80" i="4" s="1"/>
  <c r="F75" i="4"/>
  <c r="L75" i="4" s="1"/>
  <c r="F70" i="4"/>
  <c r="L70" i="4" s="1"/>
  <c r="F65" i="4"/>
  <c r="L65" i="4" s="1"/>
  <c r="F60" i="4"/>
  <c r="L60" i="4" s="1"/>
  <c r="F55" i="4"/>
  <c r="L55" i="4" s="1"/>
  <c r="F50" i="4"/>
  <c r="L50" i="4" s="1"/>
  <c r="D119" i="4"/>
  <c r="K119" i="4" s="1"/>
  <c r="D110" i="4"/>
  <c r="K110" i="4" s="1"/>
  <c r="D105" i="4"/>
  <c r="K105" i="4" s="1"/>
  <c r="D100" i="4"/>
  <c r="K100" i="4" s="1"/>
  <c r="D95" i="4"/>
  <c r="K95" i="4" s="1"/>
  <c r="D90" i="4"/>
  <c r="K90" i="4" s="1"/>
  <c r="D85" i="4"/>
  <c r="K85" i="4" s="1"/>
  <c r="D80" i="4"/>
  <c r="K80" i="4" s="1"/>
  <c r="D75" i="4"/>
  <c r="K75" i="4" s="1"/>
  <c r="D70" i="4"/>
  <c r="K70" i="4" s="1"/>
  <c r="D65" i="4"/>
  <c r="K65" i="4" s="1"/>
  <c r="D60" i="4"/>
  <c r="K60" i="4" s="1"/>
  <c r="D55" i="4"/>
  <c r="K55" i="4" s="1"/>
  <c r="D50" i="4"/>
  <c r="K50" i="4" s="1"/>
  <c r="D45" i="4"/>
  <c r="D40" i="4"/>
  <c r="D35" i="4"/>
  <c r="D30" i="4"/>
  <c r="D25" i="4"/>
  <c r="D20" i="4"/>
  <c r="D15" i="4"/>
  <c r="D10" i="4"/>
  <c r="D5" i="4"/>
  <c r="F115" i="4"/>
  <c r="L115" i="4" s="1"/>
  <c r="F304" i="4"/>
  <c r="L304" i="4" s="1"/>
  <c r="F284" i="4"/>
  <c r="L284" i="4" s="1"/>
  <c r="F264" i="4"/>
  <c r="L264" i="4" s="1"/>
  <c r="F244" i="4"/>
  <c r="L244" i="4" s="1"/>
  <c r="F224" i="4"/>
  <c r="L224" i="4" s="1"/>
  <c r="F204" i="4"/>
  <c r="L204" i="4" s="1"/>
  <c r="F184" i="4"/>
  <c r="L184" i="4" s="1"/>
  <c r="F164" i="4"/>
  <c r="L164" i="4" s="1"/>
  <c r="F144" i="4"/>
  <c r="L144" i="4" s="1"/>
  <c r="F316" i="4"/>
  <c r="L316" i="4" s="1"/>
  <c r="F312" i="4"/>
  <c r="L312" i="4" s="1"/>
  <c r="F308" i="4"/>
  <c r="L308" i="4" s="1"/>
  <c r="D304" i="4"/>
  <c r="K304" i="4" s="1"/>
  <c r="F296" i="4"/>
  <c r="L296" i="4" s="1"/>
  <c r="F292" i="4"/>
  <c r="L292" i="4" s="1"/>
  <c r="F288" i="4"/>
  <c r="L288" i="4" s="1"/>
  <c r="D284" i="4"/>
  <c r="K284" i="4" s="1"/>
  <c r="F276" i="4"/>
  <c r="L276" i="4" s="1"/>
  <c r="F272" i="4"/>
  <c r="L272" i="4" s="1"/>
  <c r="F268" i="4"/>
  <c r="L268" i="4" s="1"/>
  <c r="D264" i="4"/>
  <c r="K264" i="4" s="1"/>
  <c r="F256" i="4"/>
  <c r="L256" i="4" s="1"/>
  <c r="F252" i="4"/>
  <c r="L252" i="4" s="1"/>
  <c r="F248" i="4"/>
  <c r="L248" i="4" s="1"/>
  <c r="D244" i="4"/>
  <c r="K244" i="4" s="1"/>
  <c r="F236" i="4"/>
  <c r="L236" i="4" s="1"/>
  <c r="F232" i="4"/>
  <c r="L232" i="4" s="1"/>
  <c r="F228" i="4"/>
  <c r="L228" i="4" s="1"/>
  <c r="D224" i="4"/>
  <c r="K224" i="4" s="1"/>
  <c r="F216" i="4"/>
  <c r="L216" i="4" s="1"/>
  <c r="F212" i="4"/>
  <c r="L212" i="4" s="1"/>
  <c r="F208" i="4"/>
  <c r="L208" i="4" s="1"/>
  <c r="D204" i="4"/>
  <c r="K204" i="4" s="1"/>
  <c r="F196" i="4"/>
  <c r="L196" i="4" s="1"/>
  <c r="F192" i="4"/>
  <c r="L192" i="4" s="1"/>
  <c r="F188" i="4"/>
  <c r="L188" i="4" s="1"/>
  <c r="D184" i="4"/>
  <c r="K184" i="4" s="1"/>
  <c r="F176" i="4"/>
  <c r="L176" i="4" s="1"/>
  <c r="F172" i="4"/>
  <c r="L172" i="4" s="1"/>
  <c r="F168" i="4"/>
  <c r="L168" i="4" s="1"/>
  <c r="D164" i="4"/>
  <c r="K164" i="4" s="1"/>
  <c r="F156" i="4"/>
  <c r="L156" i="4" s="1"/>
  <c r="F152" i="4"/>
  <c r="L152" i="4" s="1"/>
  <c r="F148" i="4"/>
  <c r="L148" i="4" s="1"/>
  <c r="D144" i="4"/>
  <c r="K144" i="4" s="1"/>
  <c r="F136" i="4"/>
  <c r="L136" i="4" s="1"/>
  <c r="F132" i="4"/>
  <c r="L132" i="4" s="1"/>
  <c r="F128" i="4"/>
  <c r="L128" i="4" s="1"/>
  <c r="F124" i="4"/>
  <c r="L124" i="4" s="1"/>
  <c r="F111" i="4"/>
  <c r="L111" i="4" s="1"/>
  <c r="F106" i="4"/>
  <c r="L106" i="4" s="1"/>
  <c r="F101" i="4"/>
  <c r="L101" i="4" s="1"/>
  <c r="F96" i="4"/>
  <c r="L96" i="4" s="1"/>
  <c r="F91" i="4"/>
  <c r="L91" i="4" s="1"/>
  <c r="F86" i="4"/>
  <c r="L86" i="4" s="1"/>
  <c r="F81" i="4"/>
  <c r="L81" i="4" s="1"/>
  <c r="F76" i="4"/>
  <c r="L76" i="4" s="1"/>
  <c r="F71" i="4"/>
  <c r="L71" i="4" s="1"/>
  <c r="F66" i="4"/>
  <c r="L66" i="4" s="1"/>
  <c r="F61" i="4"/>
  <c r="L61" i="4" s="1"/>
  <c r="F56" i="4"/>
  <c r="L56" i="4" s="1"/>
  <c r="D316" i="4"/>
  <c r="K316" i="4" s="1"/>
  <c r="D312" i="4"/>
  <c r="K312" i="4" s="1"/>
  <c r="D296" i="4"/>
  <c r="K296" i="4" s="1"/>
  <c r="D292" i="4"/>
  <c r="K292" i="4" s="1"/>
  <c r="D276" i="4"/>
  <c r="K276" i="4" s="1"/>
  <c r="D272" i="4"/>
  <c r="K272" i="4" s="1"/>
  <c r="D256" i="4"/>
  <c r="K256" i="4" s="1"/>
  <c r="D252" i="4"/>
  <c r="K252" i="4" s="1"/>
  <c r="D236" i="4"/>
  <c r="K236" i="4" s="1"/>
  <c r="D232" i="4"/>
  <c r="K232" i="4" s="1"/>
  <c r="D216" i="4"/>
  <c r="K216" i="4" s="1"/>
  <c r="D212" i="4"/>
  <c r="K212" i="4" s="1"/>
  <c r="D196" i="4"/>
  <c r="K196" i="4" s="1"/>
  <c r="D192" i="4"/>
  <c r="K192" i="4" s="1"/>
  <c r="D176" i="4"/>
  <c r="K176" i="4" s="1"/>
  <c r="D172" i="4"/>
  <c r="K172" i="4" s="1"/>
  <c r="F120" i="4"/>
  <c r="L120" i="4" s="1"/>
  <c r="F116" i="4"/>
  <c r="L116" i="4" s="1"/>
  <c r="D116" i="4"/>
  <c r="K116" i="4" s="1"/>
  <c r="F309" i="4"/>
  <c r="L309" i="4" s="1"/>
  <c r="F289" i="4"/>
  <c r="L289" i="4" s="1"/>
  <c r="F269" i="4"/>
  <c r="L269" i="4" s="1"/>
  <c r="D321" i="4"/>
  <c r="K321" i="4" s="1"/>
  <c r="D317" i="4"/>
  <c r="K317" i="4" s="1"/>
  <c r="D301" i="4"/>
  <c r="K301" i="4" s="1"/>
  <c r="D297" i="4"/>
  <c r="K297" i="4" s="1"/>
  <c r="D281" i="4"/>
  <c r="K281" i="4" s="1"/>
  <c r="D277" i="4"/>
  <c r="K277" i="4" s="1"/>
  <c r="D261" i="4"/>
  <c r="K261" i="4" s="1"/>
  <c r="D257" i="4"/>
  <c r="K257" i="4" s="1"/>
  <c r="D241" i="4"/>
  <c r="K241" i="4" s="1"/>
  <c r="D237" i="4"/>
  <c r="K237" i="4" s="1"/>
  <c r="D221" i="4"/>
  <c r="K221" i="4" s="1"/>
  <c r="D217" i="4"/>
  <c r="K217" i="4" s="1"/>
  <c r="D201" i="4"/>
  <c r="K201" i="4" s="1"/>
  <c r="D197" i="4"/>
  <c r="K197" i="4" s="1"/>
  <c r="D181" i="4"/>
  <c r="K181" i="4" s="1"/>
  <c r="D177" i="4"/>
  <c r="K177" i="4" s="1"/>
  <c r="D161" i="4"/>
  <c r="K161" i="4" s="1"/>
  <c r="D157" i="4"/>
  <c r="K157" i="4" s="1"/>
  <c r="D141" i="4"/>
  <c r="K141" i="4" s="1"/>
  <c r="D137" i="4"/>
  <c r="K137" i="4" s="1"/>
  <c r="F125" i="4"/>
  <c r="L125" i="4" s="1"/>
  <c r="F121" i="4"/>
  <c r="L121" i="4" s="1"/>
  <c r="D112" i="4"/>
  <c r="K112" i="4" s="1"/>
  <c r="D46" i="4"/>
  <c r="D103" i="4"/>
  <c r="K103" i="4" s="1"/>
  <c r="D302" i="4"/>
  <c r="K302" i="4" s="1"/>
  <c r="D314" i="4"/>
  <c r="K314" i="4" s="1"/>
  <c r="D13" i="4"/>
  <c r="D42" i="4"/>
  <c r="D57" i="4"/>
  <c r="K57" i="4" s="1"/>
  <c r="F69" i="4"/>
  <c r="L69" i="4" s="1"/>
  <c r="F88" i="4"/>
  <c r="L88" i="4" s="1"/>
  <c r="F103" i="4"/>
  <c r="L103" i="4" s="1"/>
  <c r="F161" i="4"/>
  <c r="L161" i="4" s="1"/>
  <c r="F189" i="4"/>
  <c r="L189" i="4" s="1"/>
  <c r="F201" i="4"/>
  <c r="L201" i="4" s="1"/>
  <c r="F229" i="4"/>
  <c r="L229" i="4" s="1"/>
  <c r="F241" i="4"/>
  <c r="L241" i="4" s="1"/>
  <c r="F299" i="4"/>
  <c r="L299" i="4" s="1"/>
  <c r="F302" i="4"/>
  <c r="L302" i="4" s="1"/>
  <c r="F314" i="4"/>
  <c r="L314" i="4" s="1"/>
  <c r="F317" i="4"/>
  <c r="L317" i="4" s="1"/>
  <c r="D17" i="4"/>
  <c r="D69" i="4"/>
  <c r="K69" i="4" s="1"/>
  <c r="D88" i="4"/>
  <c r="K88" i="4" s="1"/>
  <c r="F92" i="4"/>
  <c r="L92" i="4" s="1"/>
  <c r="F114" i="4"/>
  <c r="L114" i="4" s="1"/>
  <c r="F117" i="4"/>
  <c r="L117" i="4" s="1"/>
  <c r="F133" i="4"/>
  <c r="L133" i="4" s="1"/>
  <c r="F158" i="4"/>
  <c r="L158" i="4" s="1"/>
  <c r="F186" i="4"/>
  <c r="L186" i="4" s="1"/>
  <c r="D189" i="4"/>
  <c r="K189" i="4" s="1"/>
  <c r="F198" i="4"/>
  <c r="L198" i="4" s="1"/>
  <c r="F226" i="4"/>
  <c r="L226" i="4" s="1"/>
  <c r="D229" i="4"/>
  <c r="K229" i="4" s="1"/>
  <c r="F238" i="4"/>
  <c r="L238" i="4" s="1"/>
  <c r="I2" i="4"/>
  <c r="D53" i="4"/>
  <c r="K53" i="4" s="1"/>
  <c r="F57" i="4"/>
  <c r="L57" i="4" s="1"/>
  <c r="D61" i="4"/>
  <c r="K61" i="4" s="1"/>
  <c r="D84" i="4"/>
  <c r="K84" i="4" s="1"/>
  <c r="D99" i="4"/>
  <c r="K99" i="4" s="1"/>
  <c r="D136" i="4"/>
  <c r="K136" i="4" s="1"/>
  <c r="D142" i="4"/>
  <c r="K142" i="4" s="1"/>
  <c r="D24" i="4"/>
  <c r="D72" i="4"/>
  <c r="K72" i="4" s="1"/>
  <c r="F142" i="4"/>
  <c r="L142" i="4" s="1"/>
  <c r="F173" i="4"/>
  <c r="L173" i="4" s="1"/>
  <c r="F213" i="4"/>
  <c r="L213" i="4" s="1"/>
  <c r="F253" i="4"/>
  <c r="L253" i="4" s="1"/>
  <c r="D6" i="4"/>
  <c r="D38" i="4"/>
  <c r="D49" i="4"/>
  <c r="F53" i="4"/>
  <c r="L53" i="4" s="1"/>
  <c r="F84" i="4"/>
  <c r="L84" i="4" s="1"/>
  <c r="F99" i="4"/>
  <c r="L99" i="4" s="1"/>
  <c r="F139" i="4"/>
  <c r="L139" i="4" s="1"/>
  <c r="D9" i="4"/>
  <c r="D31" i="4"/>
  <c r="D68" i="4"/>
  <c r="K68" i="4" s="1"/>
  <c r="F72" i="4"/>
  <c r="L72" i="4" s="1"/>
  <c r="D76" i="4"/>
  <c r="K76" i="4" s="1"/>
  <c r="D113" i="4"/>
  <c r="K113" i="4" s="1"/>
  <c r="D182" i="4"/>
  <c r="K182" i="4" s="1"/>
  <c r="D222" i="4"/>
  <c r="K222" i="4" s="1"/>
  <c r="D262" i="4"/>
  <c r="K262" i="4" s="1"/>
  <c r="D274" i="4"/>
  <c r="K274" i="4" s="1"/>
  <c r="G5" i="10"/>
  <c r="G9" i="10"/>
  <c r="G8" i="10"/>
  <c r="O313" i="4" l="1"/>
  <c r="O117" i="4"/>
  <c r="O165" i="4"/>
  <c r="O207" i="4"/>
  <c r="O249" i="4"/>
  <c r="O17" i="4"/>
  <c r="O293" i="4"/>
  <c r="O143" i="4"/>
  <c r="O185" i="4"/>
  <c r="O227" i="4"/>
  <c r="O269" i="4"/>
  <c r="O292" i="4"/>
  <c r="O291" i="4"/>
  <c r="O145" i="4"/>
  <c r="O187" i="4"/>
  <c r="O229" i="4"/>
  <c r="O271" i="4"/>
  <c r="O26" i="4"/>
  <c r="O289" i="4"/>
  <c r="O147" i="4"/>
  <c r="O189" i="4"/>
  <c r="O231" i="4"/>
  <c r="O273" i="4"/>
  <c r="O39" i="4"/>
  <c r="O287" i="4"/>
  <c r="O149" i="4"/>
  <c r="O191" i="4"/>
  <c r="O233" i="4"/>
  <c r="O275" i="4"/>
  <c r="O290" i="4"/>
  <c r="O308" i="4"/>
  <c r="O157" i="4"/>
  <c r="O199" i="4"/>
  <c r="O241" i="4"/>
  <c r="O283" i="4"/>
  <c r="O319" i="4"/>
  <c r="O111" i="4"/>
  <c r="O159" i="4"/>
  <c r="O201" i="4"/>
  <c r="O243" i="4"/>
  <c r="O304" i="4"/>
  <c r="J48" i="4"/>
  <c r="F3" i="4"/>
  <c r="L3" i="4" s="1"/>
  <c r="F44" i="4"/>
  <c r="L44" i="4" s="1"/>
  <c r="J3" i="4"/>
  <c r="J42" i="4"/>
  <c r="J37" i="4"/>
  <c r="J27" i="4"/>
  <c r="J40" i="4"/>
  <c r="J20" i="4"/>
  <c r="F24" i="4"/>
  <c r="L24" i="4" s="1"/>
  <c r="J5" i="4"/>
  <c r="J32" i="4"/>
  <c r="J45" i="4"/>
  <c r="J12" i="4"/>
  <c r="J6" i="4"/>
  <c r="F15" i="4"/>
  <c r="L15" i="4" s="1"/>
  <c r="J15" i="4"/>
  <c r="J10" i="4"/>
  <c r="J36" i="4"/>
  <c r="J47" i="4"/>
  <c r="J41" i="4"/>
  <c r="J31" i="4"/>
  <c r="F32" i="4"/>
  <c r="L32" i="4" s="1"/>
  <c r="K27" i="4"/>
  <c r="J46" i="4"/>
  <c r="F23" i="4"/>
  <c r="L23" i="4" s="1"/>
  <c r="K47" i="4"/>
  <c r="F48" i="4"/>
  <c r="L48" i="4" s="1"/>
  <c r="K3" i="4"/>
  <c r="K37" i="4"/>
  <c r="J21" i="4"/>
  <c r="F19" i="4"/>
  <c r="L19" i="4" s="1"/>
  <c r="K16" i="4"/>
  <c r="K28" i="4"/>
  <c r="K4" i="4"/>
  <c r="K12" i="4"/>
  <c r="K11" i="4"/>
  <c r="F13" i="4"/>
  <c r="L13" i="4" s="1"/>
  <c r="J7" i="4"/>
  <c r="J35" i="4"/>
  <c r="K30" i="4"/>
  <c r="F25" i="4"/>
  <c r="L25" i="4" s="1"/>
  <c r="F5" i="4"/>
  <c r="L5" i="4" s="1"/>
  <c r="K21" i="4"/>
  <c r="K26" i="4"/>
  <c r="F43" i="4"/>
  <c r="L43" i="4" s="1"/>
  <c r="K34" i="4"/>
  <c r="F39" i="4"/>
  <c r="L39" i="4" s="1"/>
  <c r="F29" i="4"/>
  <c r="L29" i="4" s="1"/>
  <c r="F17" i="4"/>
  <c r="L17" i="4" s="1"/>
  <c r="F42" i="4"/>
  <c r="L42" i="4" s="1"/>
  <c r="J30" i="4"/>
  <c r="K35" i="4"/>
  <c r="F30" i="4"/>
  <c r="L30" i="4" s="1"/>
  <c r="F10" i="4"/>
  <c r="L10" i="4" s="1"/>
  <c r="K43" i="4"/>
  <c r="F27" i="4"/>
  <c r="L27" i="4" s="1"/>
  <c r="K42" i="4"/>
  <c r="K33" i="4"/>
  <c r="F38" i="4"/>
  <c r="L38" i="4" s="1"/>
  <c r="F33" i="4"/>
  <c r="L33" i="4" s="1"/>
  <c r="F20" i="4"/>
  <c r="L20" i="4" s="1"/>
  <c r="J17" i="4"/>
  <c r="K40" i="4"/>
  <c r="F35" i="4"/>
  <c r="L35" i="4" s="1"/>
  <c r="F4" i="4"/>
  <c r="L4" i="4" s="1"/>
  <c r="F7" i="4"/>
  <c r="L7" i="4" s="1"/>
  <c r="K19" i="4"/>
  <c r="F46" i="4"/>
  <c r="L46" i="4" s="1"/>
  <c r="F14" i="4"/>
  <c r="L14" i="4" s="1"/>
  <c r="K44" i="4"/>
  <c r="F49" i="4"/>
  <c r="L49" i="4" s="1"/>
  <c r="K17" i="4"/>
  <c r="F6" i="4"/>
  <c r="L6" i="4" s="1"/>
  <c r="K45" i="4"/>
  <c r="F40" i="4"/>
  <c r="L40" i="4" s="1"/>
  <c r="F36" i="4"/>
  <c r="L36" i="4" s="1"/>
  <c r="F11" i="4"/>
  <c r="L11" i="4" s="1"/>
  <c r="K22" i="4"/>
  <c r="J26" i="4"/>
  <c r="F34" i="4"/>
  <c r="L34" i="4" s="1"/>
  <c r="J28" i="4"/>
  <c r="K29" i="4"/>
  <c r="F21" i="4"/>
  <c r="L21" i="4" s="1"/>
  <c r="J25" i="4"/>
  <c r="J22" i="4"/>
  <c r="F45" i="4"/>
  <c r="L45" i="4" s="1"/>
  <c r="K32" i="4"/>
  <c r="F18" i="4"/>
  <c r="L18" i="4" s="1"/>
  <c r="F31" i="4"/>
  <c r="L31" i="4" s="1"/>
  <c r="K8" i="4"/>
  <c r="F47" i="4"/>
  <c r="L47" i="4" s="1"/>
  <c r="J8" i="4"/>
  <c r="K24" i="4"/>
  <c r="J39" i="4"/>
  <c r="K41" i="4"/>
  <c r="K39" i="4"/>
  <c r="F28" i="4"/>
  <c r="L28" i="4" s="1"/>
  <c r="J29" i="4"/>
  <c r="K7" i="4"/>
  <c r="F26" i="4"/>
  <c r="L26" i="4" s="1"/>
  <c r="F16" i="4"/>
  <c r="L16" i="4" s="1"/>
  <c r="K5" i="4"/>
  <c r="K10" i="4"/>
  <c r="K15" i="4"/>
  <c r="K9" i="4"/>
  <c r="K25" i="4"/>
  <c r="K38" i="4"/>
  <c r="K14" i="4"/>
  <c r="K36" i="4"/>
  <c r="K48" i="4"/>
  <c r="K31" i="4"/>
  <c r="K13" i="4"/>
  <c r="K20" i="4"/>
  <c r="K49" i="4"/>
  <c r="K6" i="4"/>
  <c r="K46" i="4"/>
  <c r="K18" i="4"/>
  <c r="K23" i="4"/>
  <c r="J33" i="4"/>
  <c r="P309" i="4"/>
  <c r="P298" i="4"/>
  <c r="P283" i="4"/>
  <c r="P264" i="4"/>
  <c r="P243" i="4"/>
  <c r="P315" i="4"/>
  <c r="P289" i="4"/>
  <c r="P270" i="4"/>
  <c r="P249" i="4"/>
  <c r="P230" i="4"/>
  <c r="P209" i="4"/>
  <c r="P190" i="4"/>
  <c r="P169" i="4"/>
  <c r="P321" i="4"/>
  <c r="P304" i="4"/>
  <c r="P276" i="4"/>
  <c r="P255" i="4"/>
  <c r="P236" i="4"/>
  <c r="P215" i="4"/>
  <c r="P196" i="4"/>
  <c r="P175" i="4"/>
  <c r="P156" i="4"/>
  <c r="P135" i="4"/>
  <c r="P110" i="4"/>
  <c r="P108" i="4"/>
  <c r="P106" i="4"/>
  <c r="P104" i="4"/>
  <c r="P102" i="4"/>
  <c r="P100" i="4"/>
  <c r="P98" i="4"/>
  <c r="P96" i="4"/>
  <c r="P94" i="4"/>
  <c r="P92" i="4"/>
  <c r="P90" i="4"/>
  <c r="P88" i="4"/>
  <c r="P86" i="4"/>
  <c r="P84" i="4"/>
  <c r="P82" i="4"/>
  <c r="P80" i="4"/>
  <c r="P78" i="4"/>
  <c r="P76" i="4"/>
  <c r="P74" i="4"/>
  <c r="P72" i="4"/>
  <c r="P70" i="4"/>
  <c r="P68" i="4"/>
  <c r="P66" i="4"/>
  <c r="P64" i="4"/>
  <c r="P62" i="4"/>
  <c r="P60" i="4"/>
  <c r="P306" i="4"/>
  <c r="P293" i="4"/>
  <c r="P278" i="4"/>
  <c r="P257" i="4"/>
  <c r="P238" i="4"/>
  <c r="P217" i="4"/>
  <c r="P198" i="4"/>
  <c r="P177" i="4"/>
  <c r="P158" i="4"/>
  <c r="P137" i="4"/>
  <c r="P112" i="4"/>
  <c r="P295" i="4"/>
  <c r="P280" i="4"/>
  <c r="P259" i="4"/>
  <c r="P240" i="4"/>
  <c r="P219" i="4"/>
  <c r="P200" i="4"/>
  <c r="P179" i="4"/>
  <c r="P160" i="4"/>
  <c r="P139" i="4"/>
  <c r="P114" i="4"/>
  <c r="P320" i="4"/>
  <c r="P299" i="4"/>
  <c r="P220" i="4"/>
  <c r="P182" i="4"/>
  <c r="P151" i="4"/>
  <c r="P105" i="4"/>
  <c r="P319" i="4"/>
  <c r="P269" i="4"/>
  <c r="P254" i="4"/>
  <c r="P247" i="4"/>
  <c r="P201" i="4"/>
  <c r="P189" i="4"/>
  <c r="P170" i="4"/>
  <c r="P163" i="4"/>
  <c r="P153" i="4"/>
  <c r="P44" i="4"/>
  <c r="P35" i="4"/>
  <c r="P26" i="4"/>
  <c r="P15" i="4"/>
  <c r="P2" i="4"/>
  <c r="P227" i="4"/>
  <c r="P208" i="4"/>
  <c r="P128" i="4"/>
  <c r="P107" i="4"/>
  <c r="P87" i="4"/>
  <c r="P67" i="4"/>
  <c r="P4" i="4"/>
  <c r="P314" i="4"/>
  <c r="P296" i="4"/>
  <c r="P291" i="4"/>
  <c r="P286" i="4"/>
  <c r="P281" i="4"/>
  <c r="P261" i="4"/>
  <c r="P244" i="4"/>
  <c r="P234" i="4"/>
  <c r="P191" i="4"/>
  <c r="P172" i="4"/>
  <c r="P144" i="4"/>
  <c r="P119" i="4"/>
  <c r="P37" i="4"/>
  <c r="P28" i="4"/>
  <c r="P17" i="4"/>
  <c r="P316" i="4"/>
  <c r="P288" i="4"/>
  <c r="P273" i="4"/>
  <c r="P251" i="4"/>
  <c r="P212" i="4"/>
  <c r="P186" i="4"/>
  <c r="P181" i="4"/>
  <c r="P162" i="4"/>
  <c r="P123" i="4"/>
  <c r="P111" i="4"/>
  <c r="P23" i="4"/>
  <c r="P10" i="4"/>
  <c r="P311" i="4"/>
  <c r="P263" i="4"/>
  <c r="P258" i="4"/>
  <c r="P246" i="4"/>
  <c r="P241" i="4"/>
  <c r="P224" i="4"/>
  <c r="P195" i="4"/>
  <c r="P176" i="4"/>
  <c r="P167" i="4"/>
  <c r="P157" i="4"/>
  <c r="P148" i="4"/>
  <c r="P136" i="4"/>
  <c r="P93" i="4"/>
  <c r="P73" i="4"/>
  <c r="P41" i="4"/>
  <c r="P308" i="4"/>
  <c r="P303" i="4"/>
  <c r="P313" i="4"/>
  <c r="P290" i="4"/>
  <c r="P285" i="4"/>
  <c r="P260" i="4"/>
  <c r="P305" i="4"/>
  <c r="P300" i="4"/>
  <c r="P282" i="4"/>
  <c r="P265" i="4"/>
  <c r="P310" i="4"/>
  <c r="P297" i="4"/>
  <c r="P277" i="4"/>
  <c r="P272" i="4"/>
  <c r="P228" i="4"/>
  <c r="P173" i="4"/>
  <c r="P145" i="4"/>
  <c r="P129" i="4"/>
  <c r="P99" i="4"/>
  <c r="P79" i="4"/>
  <c r="P38" i="4"/>
  <c r="P29" i="4"/>
  <c r="P292" i="4"/>
  <c r="P166" i="4"/>
  <c r="P154" i="4"/>
  <c r="P149" i="4"/>
  <c r="P143" i="4"/>
  <c r="P40" i="4"/>
  <c r="P271" i="4"/>
  <c r="P268" i="4"/>
  <c r="P213" i="4"/>
  <c r="P210" i="4"/>
  <c r="P204" i="4"/>
  <c r="P115" i="4"/>
  <c r="P58" i="4"/>
  <c r="P48" i="4"/>
  <c r="P7" i="4"/>
  <c r="P45" i="4"/>
  <c r="P239" i="4"/>
  <c r="P207" i="4"/>
  <c r="P192" i="4"/>
  <c r="P183" i="4"/>
  <c r="P146" i="4"/>
  <c r="P126" i="4"/>
  <c r="P103" i="4"/>
  <c r="P95" i="4"/>
  <c r="P63" i="4"/>
  <c r="P53" i="4"/>
  <c r="P34" i="4"/>
  <c r="P242" i="4"/>
  <c r="P180" i="4"/>
  <c r="P174" i="4"/>
  <c r="P140" i="4"/>
  <c r="P71" i="4"/>
  <c r="P12" i="4"/>
  <c r="P302" i="4"/>
  <c r="P284" i="4"/>
  <c r="P248" i="4"/>
  <c r="P245" i="4"/>
  <c r="P233" i="4"/>
  <c r="P221" i="4"/>
  <c r="P267" i="4"/>
  <c r="P197" i="4"/>
  <c r="P165" i="4"/>
  <c r="P97" i="4"/>
  <c r="P39" i="4"/>
  <c r="P25" i="4"/>
  <c r="P9" i="4"/>
  <c r="P3" i="4"/>
  <c r="P253" i="4"/>
  <c r="P19" i="4"/>
  <c r="P16" i="4"/>
  <c r="P287" i="4"/>
  <c r="P203" i="4"/>
  <c r="P194" i="4"/>
  <c r="P159" i="4"/>
  <c r="P131" i="4"/>
  <c r="P81" i="4"/>
  <c r="P65" i="4"/>
  <c r="P36" i="4"/>
  <c r="P250" i="4"/>
  <c r="P185" i="4"/>
  <c r="P57" i="4"/>
  <c r="P33" i="4"/>
  <c r="P133" i="4"/>
  <c r="P27" i="4"/>
  <c r="P301" i="4"/>
  <c r="P294" i="4"/>
  <c r="P256" i="4"/>
  <c r="P206" i="4"/>
  <c r="P188" i="4"/>
  <c r="P142" i="4"/>
  <c r="P125" i="4"/>
  <c r="P52" i="4"/>
  <c r="P47" i="4"/>
  <c r="P150" i="4"/>
  <c r="P22" i="4"/>
  <c r="P11" i="4"/>
  <c r="P232" i="4"/>
  <c r="P226" i="4"/>
  <c r="P122" i="4"/>
  <c r="P91" i="4"/>
  <c r="P54" i="4"/>
  <c r="P312" i="4"/>
  <c r="P235" i="4"/>
  <c r="P229" i="4"/>
  <c r="P223" i="4"/>
  <c r="P214" i="4"/>
  <c r="P155" i="4"/>
  <c r="P116" i="4"/>
  <c r="P113" i="4"/>
  <c r="P83" i="4"/>
  <c r="P75" i="4"/>
  <c r="P30" i="4"/>
  <c r="P130" i="4"/>
  <c r="P266" i="4"/>
  <c r="P164" i="4"/>
  <c r="P279" i="4"/>
  <c r="P202" i="4"/>
  <c r="P193" i="4"/>
  <c r="P161" i="4"/>
  <c r="P152" i="4"/>
  <c r="P59" i="4"/>
  <c r="P49" i="4"/>
  <c r="P24" i="4"/>
  <c r="P8" i="4"/>
  <c r="P199" i="4"/>
  <c r="P262" i="4"/>
  <c r="P211" i="4"/>
  <c r="P184" i="4"/>
  <c r="P147" i="4"/>
  <c r="P141" i="4"/>
  <c r="P138" i="4"/>
  <c r="P127" i="4"/>
  <c r="P205" i="4"/>
  <c r="P178" i="4"/>
  <c r="P118" i="4"/>
  <c r="P69" i="4"/>
  <c r="P13" i="4"/>
  <c r="P89" i="4"/>
  <c r="P85" i="4"/>
  <c r="P14" i="4"/>
  <c r="P6" i="4"/>
  <c r="P101" i="4"/>
  <c r="P120" i="4"/>
  <c r="P61" i="4"/>
  <c r="P132" i="4"/>
  <c r="P225" i="4"/>
  <c r="P307" i="4"/>
  <c r="P231" i="4"/>
  <c r="P5" i="4"/>
  <c r="P56" i="4"/>
  <c r="P55" i="4"/>
  <c r="P77" i="4"/>
  <c r="P21" i="4"/>
  <c r="P51" i="4"/>
  <c r="P32" i="4"/>
  <c r="P317" i="4"/>
  <c r="P275" i="4"/>
  <c r="P187" i="4"/>
  <c r="P43" i="4"/>
  <c r="P168" i="4"/>
  <c r="P274" i="4"/>
  <c r="P218" i="4"/>
  <c r="P20" i="4"/>
  <c r="P42" i="4"/>
  <c r="P18" i="4"/>
  <c r="P222" i="4"/>
  <c r="P121" i="4"/>
  <c r="P252" i="4"/>
  <c r="P134" i="4"/>
  <c r="P216" i="4"/>
  <c r="P50" i="4"/>
  <c r="P318" i="4"/>
  <c r="P171" i="4"/>
  <c r="P31" i="4"/>
  <c r="P117" i="4"/>
  <c r="P109" i="4"/>
  <c r="P46" i="4"/>
  <c r="P237" i="4"/>
  <c r="P124" i="4"/>
  <c r="J13" i="4"/>
  <c r="F9" i="4"/>
  <c r="L9" i="4" s="1"/>
  <c r="J44" i="4"/>
  <c r="Q311" i="4"/>
  <c r="Q285" i="4"/>
  <c r="Q266" i="4"/>
  <c r="Q245" i="4"/>
  <c r="Q317" i="4"/>
  <c r="Q302" i="4"/>
  <c r="Q272" i="4"/>
  <c r="Q251" i="4"/>
  <c r="Q232" i="4"/>
  <c r="Q211" i="4"/>
  <c r="Q192" i="4"/>
  <c r="Q171" i="4"/>
  <c r="Q306" i="4"/>
  <c r="Q293" i="4"/>
  <c r="Q278" i="4"/>
  <c r="Q257" i="4"/>
  <c r="Q238" i="4"/>
  <c r="Q217" i="4"/>
  <c r="Q198" i="4"/>
  <c r="Q177" i="4"/>
  <c r="Q158" i="4"/>
  <c r="Q137" i="4"/>
  <c r="Q112" i="4"/>
  <c r="Q295" i="4"/>
  <c r="Q280" i="4"/>
  <c r="Q259" i="4"/>
  <c r="Q240" i="4"/>
  <c r="Q219" i="4"/>
  <c r="Q200" i="4"/>
  <c r="Q179" i="4"/>
  <c r="Q160" i="4"/>
  <c r="Q139" i="4"/>
  <c r="Q114" i="4"/>
  <c r="Q308" i="4"/>
  <c r="Q297" i="4"/>
  <c r="Q282" i="4"/>
  <c r="Q261" i="4"/>
  <c r="Q242" i="4"/>
  <c r="Q221" i="4"/>
  <c r="Q202" i="4"/>
  <c r="Q181" i="4"/>
  <c r="Q162" i="4"/>
  <c r="Q141" i="4"/>
  <c r="Q116" i="4"/>
  <c r="Q319" i="4"/>
  <c r="Q304" i="4"/>
  <c r="Q269" i="4"/>
  <c r="Q254" i="4"/>
  <c r="Q247" i="4"/>
  <c r="Q215" i="4"/>
  <c r="Q201" i="4"/>
  <c r="Q189" i="4"/>
  <c r="Q170" i="4"/>
  <c r="Q163" i="4"/>
  <c r="Q153" i="4"/>
  <c r="Q276" i="4"/>
  <c r="Q264" i="4"/>
  <c r="Q227" i="4"/>
  <c r="Q208" i="4"/>
  <c r="Q128" i="4"/>
  <c r="Q107" i="4"/>
  <c r="Q96" i="4"/>
  <c r="Q87" i="4"/>
  <c r="Q76" i="4"/>
  <c r="Q67" i="4"/>
  <c r="Q4" i="4"/>
  <c r="Q301" i="4"/>
  <c r="Q314" i="4"/>
  <c r="Q296" i="4"/>
  <c r="Q291" i="4"/>
  <c r="Q286" i="4"/>
  <c r="Q281" i="4"/>
  <c r="Q244" i="4"/>
  <c r="Q234" i="4"/>
  <c r="Q191" i="4"/>
  <c r="Q172" i="4"/>
  <c r="Q144" i="4"/>
  <c r="Q119" i="4"/>
  <c r="Q37" i="4"/>
  <c r="Q28" i="4"/>
  <c r="Q17" i="4"/>
  <c r="Q321" i="4"/>
  <c r="Q309" i="4"/>
  <c r="Q271" i="4"/>
  <c r="Q256" i="4"/>
  <c r="Q239" i="4"/>
  <c r="Q222" i="4"/>
  <c r="Q184" i="4"/>
  <c r="Q155" i="4"/>
  <c r="Q130" i="4"/>
  <c r="Q109" i="4"/>
  <c r="Q98" i="4"/>
  <c r="Q89" i="4"/>
  <c r="Q78" i="4"/>
  <c r="Q69" i="4"/>
  <c r="Q46" i="4"/>
  <c r="Q19" i="4"/>
  <c r="Q6" i="4"/>
  <c r="Q283" i="4"/>
  <c r="Q263" i="4"/>
  <c r="Q258" i="4"/>
  <c r="Q246" i="4"/>
  <c r="Q241" i="4"/>
  <c r="Q224" i="4"/>
  <c r="Q195" i="4"/>
  <c r="Q176" i="4"/>
  <c r="Q167" i="4"/>
  <c r="Q157" i="4"/>
  <c r="Q148" i="4"/>
  <c r="Q136" i="4"/>
  <c r="Q102" i="4"/>
  <c r="Q93" i="4"/>
  <c r="Q82" i="4"/>
  <c r="Q73" i="4"/>
  <c r="Q62" i="4"/>
  <c r="Q41" i="4"/>
  <c r="Q10" i="4"/>
  <c r="Q14" i="4"/>
  <c r="Q303" i="4"/>
  <c r="Q298" i="4"/>
  <c r="Q268" i="4"/>
  <c r="Q231" i="4"/>
  <c r="Q214" i="4"/>
  <c r="Q205" i="4"/>
  <c r="Q150" i="4"/>
  <c r="Q125" i="4"/>
  <c r="Q118" i="4"/>
  <c r="Q32" i="4"/>
  <c r="Q25" i="4"/>
  <c r="Q12" i="4"/>
  <c r="Q318" i="4"/>
  <c r="Q320" i="4"/>
  <c r="Q305" i="4"/>
  <c r="Q300" i="4"/>
  <c r="Q265" i="4"/>
  <c r="Q310" i="4"/>
  <c r="Q277" i="4"/>
  <c r="Q292" i="4"/>
  <c r="Q235" i="4"/>
  <c r="Q223" i="4"/>
  <c r="Q209" i="4"/>
  <c r="Q204" i="4"/>
  <c r="Q185" i="4"/>
  <c r="Q166" i="4"/>
  <c r="Q140" i="4"/>
  <c r="Q131" i="4"/>
  <c r="Q122" i="4"/>
  <c r="Q115" i="4"/>
  <c r="Q59" i="4"/>
  <c r="Q57" i="4"/>
  <c r="Q55" i="4"/>
  <c r="Q53" i="4"/>
  <c r="Q51" i="4"/>
  <c r="Q49" i="4"/>
  <c r="Q47" i="4"/>
  <c r="Q20" i="4"/>
  <c r="Q315" i="4"/>
  <c r="Q287" i="4"/>
  <c r="Q250" i="4"/>
  <c r="Q213" i="4"/>
  <c r="Q210" i="4"/>
  <c r="Q106" i="4"/>
  <c r="Q90" i="4"/>
  <c r="Q58" i="4"/>
  <c r="Q48" i="4"/>
  <c r="Q15" i="4"/>
  <c r="Q7" i="4"/>
  <c r="Q34" i="4"/>
  <c r="Q299" i="4"/>
  <c r="Q207" i="4"/>
  <c r="Q183" i="4"/>
  <c r="Q146" i="4"/>
  <c r="Q126" i="4"/>
  <c r="Q103" i="4"/>
  <c r="Q95" i="4"/>
  <c r="Q74" i="4"/>
  <c r="Q63" i="4"/>
  <c r="Q26" i="4"/>
  <c r="Q180" i="4"/>
  <c r="Q174" i="4"/>
  <c r="Q129" i="4"/>
  <c r="Q71" i="4"/>
  <c r="Q23" i="4"/>
  <c r="Q288" i="4"/>
  <c r="Q284" i="4"/>
  <c r="Q248" i="4"/>
  <c r="Q233" i="4"/>
  <c r="Q151" i="4"/>
  <c r="Q79" i="4"/>
  <c r="Q45" i="4"/>
  <c r="Q274" i="4"/>
  <c r="Q236" i="4"/>
  <c r="Q230" i="4"/>
  <c r="Q218" i="4"/>
  <c r="Q186" i="4"/>
  <c r="Q134" i="4"/>
  <c r="Q84" i="4"/>
  <c r="Q50" i="4"/>
  <c r="Q42" i="4"/>
  <c r="Q203" i="4"/>
  <c r="Q194" i="4"/>
  <c r="Q159" i="4"/>
  <c r="Q156" i="4"/>
  <c r="Q108" i="4"/>
  <c r="Q81" i="4"/>
  <c r="Q65" i="4"/>
  <c r="Q36" i="4"/>
  <c r="Q22" i="4"/>
  <c r="Q30" i="4"/>
  <c r="Q294" i="4"/>
  <c r="Q270" i="4"/>
  <c r="Q212" i="4"/>
  <c r="Q206" i="4"/>
  <c r="Q188" i="4"/>
  <c r="Q145" i="4"/>
  <c r="Q142" i="4"/>
  <c r="Q105" i="4"/>
  <c r="Q52" i="4"/>
  <c r="Q3" i="4"/>
  <c r="Q226" i="4"/>
  <c r="Q70" i="4"/>
  <c r="Q44" i="4"/>
  <c r="Q253" i="4"/>
  <c r="Q86" i="4"/>
  <c r="Q182" i="4"/>
  <c r="Q16" i="4"/>
  <c r="Q11" i="4"/>
  <c r="Q113" i="4"/>
  <c r="Q75" i="4"/>
  <c r="Q110" i="4"/>
  <c r="Q290" i="4"/>
  <c r="Q33" i="4"/>
  <c r="Q316" i="4"/>
  <c r="Q312" i="4"/>
  <c r="Q229" i="4"/>
  <c r="Q173" i="4"/>
  <c r="Q94" i="4"/>
  <c r="Q83" i="4"/>
  <c r="Q273" i="4"/>
  <c r="Q220" i="4"/>
  <c r="Q164" i="4"/>
  <c r="Q133" i="4"/>
  <c r="Q91" i="4"/>
  <c r="Q54" i="4"/>
  <c r="Q27" i="4"/>
  <c r="Q279" i="4"/>
  <c r="Q193" i="4"/>
  <c r="Q161" i="4"/>
  <c r="Q152" i="4"/>
  <c r="Q99" i="4"/>
  <c r="Q262" i="4"/>
  <c r="Q199" i="4"/>
  <c r="Q196" i="4"/>
  <c r="Q190" i="4"/>
  <c r="Q147" i="4"/>
  <c r="Q138" i="4"/>
  <c r="Q127" i="4"/>
  <c r="Q104" i="4"/>
  <c r="Q64" i="4"/>
  <c r="Q38" i="4"/>
  <c r="Q5" i="4"/>
  <c r="Q178" i="4"/>
  <c r="Q307" i="4"/>
  <c r="Q249" i="4"/>
  <c r="Q237" i="4"/>
  <c r="Q187" i="4"/>
  <c r="Q124" i="4"/>
  <c r="Q77" i="4"/>
  <c r="Q72" i="4"/>
  <c r="Q56" i="4"/>
  <c r="Q43" i="4"/>
  <c r="Q35" i="4"/>
  <c r="Q21" i="4"/>
  <c r="Q120" i="4"/>
  <c r="Q61" i="4"/>
  <c r="Q289" i="4"/>
  <c r="Q132" i="4"/>
  <c r="Q40" i="4"/>
  <c r="Q267" i="4"/>
  <c r="Q97" i="4"/>
  <c r="Q197" i="4"/>
  <c r="Q165" i="4"/>
  <c r="Q13" i="4"/>
  <c r="Q275" i="4"/>
  <c r="Q39" i="4"/>
  <c r="Q9" i="4"/>
  <c r="Q117" i="4"/>
  <c r="Q149" i="4"/>
  <c r="Q123" i="4"/>
  <c r="Q100" i="4"/>
  <c r="Q92" i="4"/>
  <c r="Q68" i="4"/>
  <c r="Q169" i="4"/>
  <c r="Q88" i="4"/>
  <c r="Q80" i="4"/>
  <c r="Q225" i="4"/>
  <c r="Q18" i="4"/>
  <c r="Q154" i="4"/>
  <c r="Q121" i="4"/>
  <c r="Q260" i="4"/>
  <c r="Q66" i="4"/>
  <c r="Q216" i="4"/>
  <c r="Q31" i="4"/>
  <c r="Q135" i="4"/>
  <c r="Q111" i="4"/>
  <c r="Q60" i="4"/>
  <c r="Q24" i="4"/>
  <c r="Q228" i="4"/>
  <c r="Q29" i="4"/>
  <c r="Q252" i="4"/>
  <c r="Q243" i="4"/>
  <c r="Q2" i="4"/>
  <c r="Q168" i="4"/>
  <c r="Q8" i="4"/>
  <c r="Q143" i="4"/>
  <c r="Q255" i="4"/>
  <c r="Q85" i="4"/>
  <c r="Q313" i="4"/>
  <c r="Q175" i="4"/>
  <c r="Q101" i="4"/>
  <c r="R313" i="4"/>
  <c r="R300" i="4"/>
  <c r="R287" i="4"/>
  <c r="R268" i="4"/>
  <c r="R247" i="4"/>
  <c r="R228" i="4"/>
  <c r="R319" i="4"/>
  <c r="R291" i="4"/>
  <c r="R274" i="4"/>
  <c r="R253" i="4"/>
  <c r="R234" i="4"/>
  <c r="R213" i="4"/>
  <c r="R194" i="4"/>
  <c r="R173" i="4"/>
  <c r="R154" i="4"/>
  <c r="R295" i="4"/>
  <c r="R280" i="4"/>
  <c r="R259" i="4"/>
  <c r="R240" i="4"/>
  <c r="R219" i="4"/>
  <c r="R200" i="4"/>
  <c r="R179" i="4"/>
  <c r="R160" i="4"/>
  <c r="R139" i="4"/>
  <c r="R114" i="4"/>
  <c r="R308" i="4"/>
  <c r="R297" i="4"/>
  <c r="R282" i="4"/>
  <c r="R261" i="4"/>
  <c r="R242" i="4"/>
  <c r="R221" i="4"/>
  <c r="R202" i="4"/>
  <c r="R181" i="4"/>
  <c r="R162" i="4"/>
  <c r="R141" i="4"/>
  <c r="R116" i="4"/>
  <c r="R310" i="4"/>
  <c r="R284" i="4"/>
  <c r="R263" i="4"/>
  <c r="R244" i="4"/>
  <c r="R223" i="4"/>
  <c r="R204" i="4"/>
  <c r="R183" i="4"/>
  <c r="R164" i="4"/>
  <c r="R143" i="4"/>
  <c r="R118" i="4"/>
  <c r="R276" i="4"/>
  <c r="R264" i="4"/>
  <c r="R227" i="4"/>
  <c r="R208" i="4"/>
  <c r="R128" i="4"/>
  <c r="R107" i="4"/>
  <c r="R314" i="4"/>
  <c r="R296" i="4"/>
  <c r="R286" i="4"/>
  <c r="R281" i="4"/>
  <c r="R191" i="4"/>
  <c r="R172" i="4"/>
  <c r="R144" i="4"/>
  <c r="R119" i="4"/>
  <c r="R37" i="4"/>
  <c r="R28" i="4"/>
  <c r="R17" i="4"/>
  <c r="R306" i="4"/>
  <c r="R309" i="4"/>
  <c r="R271" i="4"/>
  <c r="R256" i="4"/>
  <c r="R239" i="4"/>
  <c r="R222" i="4"/>
  <c r="R184" i="4"/>
  <c r="R155" i="4"/>
  <c r="R130" i="4"/>
  <c r="R109" i="4"/>
  <c r="R98" i="4"/>
  <c r="R89" i="4"/>
  <c r="R78" i="4"/>
  <c r="R69" i="4"/>
  <c r="R46" i="4"/>
  <c r="R19" i="4"/>
  <c r="R6" i="4"/>
  <c r="R321" i="4"/>
  <c r="R301" i="4"/>
  <c r="R249" i="4"/>
  <c r="R217" i="4"/>
  <c r="R210" i="4"/>
  <c r="R203" i="4"/>
  <c r="R198" i="4"/>
  <c r="R193" i="4"/>
  <c r="R174" i="4"/>
  <c r="R165" i="4"/>
  <c r="R132" i="4"/>
  <c r="R121" i="4"/>
  <c r="R58" i="4"/>
  <c r="R56" i="4"/>
  <c r="R54" i="4"/>
  <c r="R52" i="4"/>
  <c r="R50" i="4"/>
  <c r="R48" i="4"/>
  <c r="R311" i="4"/>
  <c r="R303" i="4"/>
  <c r="R298" i="4"/>
  <c r="R231" i="4"/>
  <c r="R214" i="4"/>
  <c r="R205" i="4"/>
  <c r="R150" i="4"/>
  <c r="R125" i="4"/>
  <c r="R32" i="4"/>
  <c r="R25" i="4"/>
  <c r="R14" i="4"/>
  <c r="R12" i="4"/>
  <c r="R318" i="4"/>
  <c r="R275" i="4"/>
  <c r="R188" i="4"/>
  <c r="R152" i="4"/>
  <c r="R104" i="4"/>
  <c r="R95" i="4"/>
  <c r="R84" i="4"/>
  <c r="R75" i="4"/>
  <c r="R64" i="4"/>
  <c r="R34" i="4"/>
  <c r="R277" i="4"/>
  <c r="R292" i="4"/>
  <c r="R272" i="4"/>
  <c r="R315" i="4"/>
  <c r="R250" i="4"/>
  <c r="R218" i="4"/>
  <c r="R180" i="4"/>
  <c r="R156" i="4"/>
  <c r="R133" i="4"/>
  <c r="R110" i="4"/>
  <c r="R101" i="4"/>
  <c r="R90" i="4"/>
  <c r="R81" i="4"/>
  <c r="R70" i="4"/>
  <c r="R61" i="4"/>
  <c r="R7" i="4"/>
  <c r="R302" i="4"/>
  <c r="R267" i="4"/>
  <c r="R262" i="4"/>
  <c r="R257" i="4"/>
  <c r="R299" i="4"/>
  <c r="R278" i="4"/>
  <c r="R207" i="4"/>
  <c r="R146" i="4"/>
  <c r="R126" i="4"/>
  <c r="R115" i="4"/>
  <c r="R103" i="4"/>
  <c r="R82" i="4"/>
  <c r="R74" i="4"/>
  <c r="R63" i="4"/>
  <c r="R26" i="4"/>
  <c r="R23" i="4"/>
  <c r="R195" i="4"/>
  <c r="R192" i="4"/>
  <c r="R163" i="4"/>
  <c r="R157" i="4"/>
  <c r="R129" i="4"/>
  <c r="R71" i="4"/>
  <c r="R53" i="4"/>
  <c r="R4" i="4"/>
  <c r="R288" i="4"/>
  <c r="R248" i="4"/>
  <c r="R233" i="4"/>
  <c r="R201" i="4"/>
  <c r="R189" i="4"/>
  <c r="R151" i="4"/>
  <c r="R140" i="4"/>
  <c r="R87" i="4"/>
  <c r="R79" i="4"/>
  <c r="R45" i="4"/>
  <c r="R317" i="4"/>
  <c r="R123" i="4"/>
  <c r="R245" i="4"/>
  <c r="R236" i="4"/>
  <c r="R230" i="4"/>
  <c r="R186" i="4"/>
  <c r="R177" i="4"/>
  <c r="R137" i="4"/>
  <c r="R134" i="4"/>
  <c r="R42" i="4"/>
  <c r="R31" i="4"/>
  <c r="R20" i="4"/>
  <c r="R254" i="4"/>
  <c r="R251" i="4"/>
  <c r="R171" i="4"/>
  <c r="R168" i="4"/>
  <c r="R120" i="4"/>
  <c r="R117" i="4"/>
  <c r="R100" i="4"/>
  <c r="R68" i="4"/>
  <c r="R60" i="4"/>
  <c r="R305" i="4"/>
  <c r="R294" i="4"/>
  <c r="R270" i="4"/>
  <c r="R212" i="4"/>
  <c r="R206" i="4"/>
  <c r="R153" i="4"/>
  <c r="R148" i="4"/>
  <c r="R145" i="4"/>
  <c r="R142" i="4"/>
  <c r="R131" i="4"/>
  <c r="R105" i="4"/>
  <c r="R3" i="4"/>
  <c r="R316" i="4"/>
  <c r="R229" i="4"/>
  <c r="R122" i="4"/>
  <c r="R113" i="4"/>
  <c r="R102" i="4"/>
  <c r="R94" i="4"/>
  <c r="R83" i="4"/>
  <c r="R62" i="4"/>
  <c r="R44" i="4"/>
  <c r="R30" i="4"/>
  <c r="R127" i="4"/>
  <c r="R38" i="4"/>
  <c r="R238" i="4"/>
  <c r="R86" i="4"/>
  <c r="R73" i="4"/>
  <c r="R47" i="4"/>
  <c r="R22" i="4"/>
  <c r="R33" i="4"/>
  <c r="R16" i="4"/>
  <c r="R59" i="4"/>
  <c r="R49" i="4"/>
  <c r="R290" i="4"/>
  <c r="R226" i="4"/>
  <c r="R209" i="4"/>
  <c r="R185" i="4"/>
  <c r="R182" i="4"/>
  <c r="R57" i="4"/>
  <c r="R11" i="4"/>
  <c r="R312" i="4"/>
  <c r="R176" i="4"/>
  <c r="R138" i="4"/>
  <c r="R232" i="4"/>
  <c r="R136" i="4"/>
  <c r="R27" i="4"/>
  <c r="R283" i="4"/>
  <c r="R273" i="4"/>
  <c r="R241" i="4"/>
  <c r="R235" i="4"/>
  <c r="R220" i="4"/>
  <c r="R91" i="4"/>
  <c r="R279" i="4"/>
  <c r="R266" i="4"/>
  <c r="R170" i="4"/>
  <c r="R161" i="4"/>
  <c r="R99" i="4"/>
  <c r="R67" i="4"/>
  <c r="R41" i="4"/>
  <c r="R24" i="4"/>
  <c r="R8" i="4"/>
  <c r="R304" i="4"/>
  <c r="R199" i="4"/>
  <c r="R196" i="4"/>
  <c r="R190" i="4"/>
  <c r="R147" i="4"/>
  <c r="R211" i="4"/>
  <c r="R178" i="4"/>
  <c r="R167" i="4"/>
  <c r="R158" i="4"/>
  <c r="R88" i="4"/>
  <c r="R80" i="4"/>
  <c r="R13" i="4"/>
  <c r="R96" i="4"/>
  <c r="R307" i="4"/>
  <c r="R293" i="4"/>
  <c r="R269" i="4"/>
  <c r="R237" i="4"/>
  <c r="R187" i="4"/>
  <c r="R124" i="4"/>
  <c r="R289" i="4"/>
  <c r="R255" i="4"/>
  <c r="R252" i="4"/>
  <c r="R246" i="4"/>
  <c r="R243" i="4"/>
  <c r="R216" i="4"/>
  <c r="R175" i="4"/>
  <c r="R85" i="4"/>
  <c r="R2" i="4"/>
  <c r="R224" i="4"/>
  <c r="R166" i="4"/>
  <c r="R40" i="4"/>
  <c r="R10" i="4"/>
  <c r="R112" i="4"/>
  <c r="R65" i="4"/>
  <c r="R197" i="4"/>
  <c r="R149" i="4"/>
  <c r="R108" i="4"/>
  <c r="R92" i="4"/>
  <c r="R35" i="4"/>
  <c r="R21" i="4"/>
  <c r="R258" i="4"/>
  <c r="R215" i="4"/>
  <c r="R76" i="4"/>
  <c r="R72" i="4"/>
  <c r="R135" i="4"/>
  <c r="R111" i="4"/>
  <c r="R43" i="4"/>
  <c r="R320" i="4"/>
  <c r="R169" i="4"/>
  <c r="R5" i="4"/>
  <c r="R39" i="4"/>
  <c r="R9" i="4"/>
  <c r="R66" i="4"/>
  <c r="R36" i="4"/>
  <c r="R97" i="4"/>
  <c r="R29" i="4"/>
  <c r="R265" i="4"/>
  <c r="R159" i="4"/>
  <c r="R225" i="4"/>
  <c r="R106" i="4"/>
  <c r="R55" i="4"/>
  <c r="R51" i="4"/>
  <c r="R15" i="4"/>
  <c r="R77" i="4"/>
  <c r="R285" i="4"/>
  <c r="R260" i="4"/>
  <c r="R93" i="4"/>
  <c r="R18" i="4"/>
  <c r="F8" i="4"/>
  <c r="L8" i="4" s="1"/>
  <c r="F12" i="4"/>
  <c r="L12" i="4" s="1"/>
  <c r="J18" i="4"/>
  <c r="G2" i="4"/>
  <c r="F2" i="4" s="1"/>
  <c r="L2" i="4" s="1"/>
  <c r="J4" i="4"/>
  <c r="J34" i="4"/>
  <c r="J23" i="4"/>
  <c r="J14" i="4"/>
  <c r="J9" i="4"/>
  <c r="J19" i="4"/>
  <c r="J49" i="4"/>
  <c r="J24" i="4"/>
  <c r="J11" i="4"/>
  <c r="J16" i="4"/>
  <c r="J38" i="4"/>
  <c r="O321" i="4"/>
  <c r="O262" i="4"/>
  <c r="O268" i="4"/>
  <c r="O228" i="4"/>
  <c r="O188" i="4"/>
  <c r="O274" i="4"/>
  <c r="O234" i="4"/>
  <c r="O194" i="4"/>
  <c r="O154" i="4"/>
  <c r="O276" i="4"/>
  <c r="O236" i="4"/>
  <c r="O196" i="4"/>
  <c r="O156" i="4"/>
  <c r="O110" i="4"/>
  <c r="O108" i="4"/>
  <c r="O106" i="4"/>
  <c r="O104" i="4"/>
  <c r="O102" i="4"/>
  <c r="O100" i="4"/>
  <c r="O98" i="4"/>
  <c r="O96" i="4"/>
  <c r="O94" i="4"/>
  <c r="O92" i="4"/>
  <c r="O90" i="4"/>
  <c r="O88" i="4"/>
  <c r="O86" i="4"/>
  <c r="O84" i="4"/>
  <c r="O82" i="4"/>
  <c r="O80" i="4"/>
  <c r="O78" i="4"/>
  <c r="O76" i="4"/>
  <c r="O74" i="4"/>
  <c r="O72" i="4"/>
  <c r="O70" i="4"/>
  <c r="O68" i="4"/>
  <c r="O66" i="4"/>
  <c r="O64" i="4"/>
  <c r="O62" i="4"/>
  <c r="O306" i="4"/>
  <c r="O278" i="4"/>
  <c r="O238" i="4"/>
  <c r="O198" i="4"/>
  <c r="O158" i="4"/>
  <c r="O112" i="4"/>
  <c r="O312" i="4"/>
  <c r="O294" i="4"/>
  <c r="O252" i="4"/>
  <c r="O232" i="4"/>
  <c r="O206" i="4"/>
  <c r="O142" i="4"/>
  <c r="O126" i="4"/>
  <c r="O220" i="4"/>
  <c r="O182" i="4"/>
  <c r="O105" i="4"/>
  <c r="O85" i="4"/>
  <c r="O65" i="4"/>
  <c r="O314" i="4"/>
  <c r="O296" i="4"/>
  <c r="O264" i="4"/>
  <c r="O254" i="4"/>
  <c r="O170" i="4"/>
  <c r="O114" i="4"/>
  <c r="O44" i="4"/>
  <c r="O35" i="4"/>
  <c r="O2" i="4"/>
  <c r="O286" i="4"/>
  <c r="O208" i="4"/>
  <c r="O128" i="4"/>
  <c r="O107" i="4"/>
  <c r="O87" i="4"/>
  <c r="O67" i="4"/>
  <c r="O4" i="4"/>
  <c r="O146" i="4"/>
  <c r="O134" i="4"/>
  <c r="O91" i="4"/>
  <c r="O71" i="4"/>
  <c r="O21" i="4"/>
  <c r="O8" i="4"/>
  <c r="O316" i="4"/>
  <c r="O288" i="4"/>
  <c r="O212" i="4"/>
  <c r="O200" i="4"/>
  <c r="O186" i="4"/>
  <c r="O162" i="4"/>
  <c r="O123" i="4"/>
  <c r="O23" i="4"/>
  <c r="O270" i="4"/>
  <c r="O320" i="4"/>
  <c r="O260" i="4"/>
  <c r="O282" i="4"/>
  <c r="O192" i="4"/>
  <c r="O120" i="4"/>
  <c r="O18" i="4"/>
  <c r="O5" i="4"/>
  <c r="O310" i="4"/>
  <c r="O272" i="4"/>
  <c r="O258" i="4"/>
  <c r="O132" i="4"/>
  <c r="O29" i="4"/>
  <c r="O10" i="4"/>
  <c r="O40" i="4"/>
  <c r="O79" i="4"/>
  <c r="O166" i="4"/>
  <c r="O37" i="4"/>
  <c r="O210" i="4"/>
  <c r="O204" i="4"/>
  <c r="O58" i="4"/>
  <c r="O48" i="4"/>
  <c r="O103" i="4"/>
  <c r="O95" i="4"/>
  <c r="O63" i="4"/>
  <c r="O53" i="4"/>
  <c r="O242" i="4"/>
  <c r="O180" i="4"/>
  <c r="O174" i="4"/>
  <c r="O140" i="4"/>
  <c r="O224" i="4"/>
  <c r="O168" i="4"/>
  <c r="O89" i="4"/>
  <c r="O55" i="4"/>
  <c r="O14" i="4"/>
  <c r="O6" i="4"/>
  <c r="O148" i="4"/>
  <c r="O97" i="4"/>
  <c r="O22" i="4"/>
  <c r="O116" i="4"/>
  <c r="O83" i="4"/>
  <c r="O244" i="4"/>
  <c r="O81" i="4"/>
  <c r="O73" i="4"/>
  <c r="O36" i="4"/>
  <c r="O125" i="4"/>
  <c r="O52" i="4"/>
  <c r="O3" i="4"/>
  <c r="O256" i="4"/>
  <c r="O47" i="4"/>
  <c r="O41" i="4"/>
  <c r="O250" i="4"/>
  <c r="O176" i="4"/>
  <c r="O150" i="4"/>
  <c r="O136" i="4"/>
  <c r="O57" i="4"/>
  <c r="O226" i="4"/>
  <c r="O122" i="4"/>
  <c r="O33" i="4"/>
  <c r="O16" i="4"/>
  <c r="O11" i="4"/>
  <c r="O214" i="4"/>
  <c r="O75" i="4"/>
  <c r="O266" i="4"/>
  <c r="O164" i="4"/>
  <c r="O144" i="4"/>
  <c r="O130" i="4"/>
  <c r="O99" i="4"/>
  <c r="O54" i="4"/>
  <c r="O27" i="4"/>
  <c r="O202" i="4"/>
  <c r="O190" i="4"/>
  <c r="O152" i="4"/>
  <c r="O184" i="4"/>
  <c r="O138" i="4"/>
  <c r="O46" i="4"/>
  <c r="O216" i="4"/>
  <c r="O77" i="4"/>
  <c r="O50" i="4"/>
  <c r="O31" i="4"/>
  <c r="O101" i="4"/>
  <c r="O280" i="4"/>
  <c r="O61" i="4"/>
  <c r="O13" i="4"/>
  <c r="O284" i="4"/>
  <c r="O240" i="4"/>
  <c r="O178" i="4"/>
  <c r="O49" i="4"/>
  <c r="O56" i="4"/>
  <c r="O20" i="4"/>
  <c r="O230" i="4"/>
  <c r="O160" i="4"/>
  <c r="O60" i="4"/>
  <c r="O42" i="4"/>
  <c r="O28" i="4"/>
  <c r="O248" i="4"/>
  <c r="O218" i="4"/>
  <c r="O59" i="4"/>
  <c r="O51" i="4"/>
  <c r="O124" i="4"/>
  <c r="O222" i="4"/>
  <c r="O172" i="4"/>
  <c r="O118" i="4"/>
  <c r="O12" i="4"/>
  <c r="O24" i="4"/>
  <c r="O318" i="4"/>
  <c r="O121" i="4"/>
  <c r="O93" i="4"/>
  <c r="O69" i="4"/>
  <c r="O109" i="4"/>
  <c r="O246" i="4"/>
  <c r="F41" i="4"/>
  <c r="L41" i="4" s="1"/>
  <c r="F37" i="4"/>
  <c r="L37" i="4" s="1"/>
  <c r="F22" i="4"/>
  <c r="L22" i="4" s="1"/>
  <c r="O297" i="4"/>
  <c r="O137" i="4"/>
  <c r="O177" i="4"/>
  <c r="O217" i="4"/>
  <c r="O257" i="4"/>
  <c r="O45" i="4"/>
  <c r="J43" i="4"/>
  <c r="N43" i="4"/>
  <c r="N34" i="4"/>
  <c r="N6" i="4"/>
  <c r="N7" i="4"/>
  <c r="N287" i="4"/>
  <c r="N272" i="4"/>
  <c r="N247" i="4"/>
  <c r="N237" i="4"/>
  <c r="N232" i="4"/>
  <c r="N157" i="4"/>
  <c r="N147" i="4"/>
  <c r="N25" i="4"/>
  <c r="N18" i="4"/>
  <c r="N23" i="4"/>
  <c r="N76" i="4"/>
  <c r="N35" i="4"/>
  <c r="N19" i="4"/>
  <c r="N302" i="4"/>
  <c r="N277" i="4"/>
  <c r="N257" i="4"/>
  <c r="N227" i="4"/>
  <c r="N217" i="4"/>
  <c r="N172" i="4"/>
  <c r="N162" i="4"/>
  <c r="N132" i="4"/>
  <c r="N41" i="4"/>
  <c r="N11" i="4"/>
  <c r="N4" i="4"/>
  <c r="N39" i="4"/>
  <c r="N212" i="4"/>
  <c r="N318" i="4"/>
  <c r="N313" i="4"/>
  <c r="N308" i="4"/>
  <c r="N303" i="4"/>
  <c r="N298" i="4"/>
  <c r="N293" i="4"/>
  <c r="N288" i="4"/>
  <c r="N283" i="4"/>
  <c r="N278" i="4"/>
  <c r="N273" i="4"/>
  <c r="N268" i="4"/>
  <c r="N263" i="4"/>
  <c r="N258" i="4"/>
  <c r="N253" i="4"/>
  <c r="N248" i="4"/>
  <c r="N243" i="4"/>
  <c r="N238" i="4"/>
  <c r="N233" i="4"/>
  <c r="N228" i="4"/>
  <c r="N223" i="4"/>
  <c r="N218" i="4"/>
  <c r="N213" i="4"/>
  <c r="N208" i="4"/>
  <c r="N203" i="4"/>
  <c r="N198" i="4"/>
  <c r="N193" i="4"/>
  <c r="N188" i="4"/>
  <c r="N183" i="4"/>
  <c r="N178" i="4"/>
  <c r="N173" i="4"/>
  <c r="N168" i="4"/>
  <c r="N163" i="4"/>
  <c r="N158" i="4"/>
  <c r="N153" i="4"/>
  <c r="N148" i="4"/>
  <c r="N143" i="4"/>
  <c r="N138" i="4"/>
  <c r="N133" i="4"/>
  <c r="N128" i="4"/>
  <c r="N123" i="4"/>
  <c r="N118" i="4"/>
  <c r="N113" i="4"/>
  <c r="N108" i="4"/>
  <c r="N103" i="4"/>
  <c r="N98" i="4"/>
  <c r="N93" i="4"/>
  <c r="N88" i="4"/>
  <c r="N83" i="4"/>
  <c r="N78" i="4"/>
  <c r="N73" i="4"/>
  <c r="N68" i="4"/>
  <c r="N63" i="4"/>
  <c r="N58" i="4"/>
  <c r="N53" i="4"/>
  <c r="N48" i="4"/>
  <c r="N16" i="4"/>
  <c r="N81" i="4"/>
  <c r="N297" i="4"/>
  <c r="N282" i="4"/>
  <c r="N267" i="4"/>
  <c r="N252" i="4"/>
  <c r="N242" i="4"/>
  <c r="N202" i="4"/>
  <c r="N177" i="4"/>
  <c r="N167" i="4"/>
  <c r="N142" i="4"/>
  <c r="N137" i="4"/>
  <c r="N122" i="4"/>
  <c r="N32" i="4"/>
  <c r="N71" i="4"/>
  <c r="N9" i="4"/>
  <c r="N2" i="4"/>
  <c r="N61" i="4"/>
  <c r="N14" i="4"/>
  <c r="N28" i="4"/>
  <c r="N307" i="4"/>
  <c r="N46" i="4"/>
  <c r="N30" i="4"/>
  <c r="N121" i="4"/>
  <c r="N66" i="4"/>
  <c r="N51" i="4"/>
  <c r="N37" i="4"/>
  <c r="N44" i="4"/>
  <c r="N26" i="4"/>
  <c r="N317" i="4"/>
  <c r="N292" i="4"/>
  <c r="N262" i="4"/>
  <c r="N222" i="4"/>
  <c r="N192" i="4"/>
  <c r="N182" i="4"/>
  <c r="N152" i="4"/>
  <c r="N127" i="4"/>
  <c r="N321" i="4"/>
  <c r="N316" i="4"/>
  <c r="N311" i="4"/>
  <c r="N306" i="4"/>
  <c r="N301" i="4"/>
  <c r="N296" i="4"/>
  <c r="N291" i="4"/>
  <c r="N286" i="4"/>
  <c r="N281" i="4"/>
  <c r="N276" i="4"/>
  <c r="N271" i="4"/>
  <c r="N266" i="4"/>
  <c r="N261" i="4"/>
  <c r="N256" i="4"/>
  <c r="N251" i="4"/>
  <c r="N246" i="4"/>
  <c r="N241" i="4"/>
  <c r="N236" i="4"/>
  <c r="N231" i="4"/>
  <c r="N226" i="4"/>
  <c r="N221" i="4"/>
  <c r="N216" i="4"/>
  <c r="N211" i="4"/>
  <c r="N206" i="4"/>
  <c r="N201" i="4"/>
  <c r="N196" i="4"/>
  <c r="N191" i="4"/>
  <c r="N186" i="4"/>
  <c r="N181" i="4"/>
  <c r="N176" i="4"/>
  <c r="N171" i="4"/>
  <c r="N166" i="4"/>
  <c r="N161" i="4"/>
  <c r="N156" i="4"/>
  <c r="N151" i="4"/>
  <c r="N146" i="4"/>
  <c r="N141" i="4"/>
  <c r="N136" i="4"/>
  <c r="N131" i="4"/>
  <c r="N126" i="4"/>
  <c r="N116" i="4"/>
  <c r="N111" i="4"/>
  <c r="N106" i="4"/>
  <c r="N101" i="4"/>
  <c r="N96" i="4"/>
  <c r="N91" i="4"/>
  <c r="N86" i="4"/>
  <c r="N56" i="4"/>
  <c r="N21" i="4"/>
  <c r="N319" i="4"/>
  <c r="N314" i="4"/>
  <c r="N309" i="4"/>
  <c r="N304" i="4"/>
  <c r="N299" i="4"/>
  <c r="N294" i="4"/>
  <c r="N289" i="4"/>
  <c r="N284" i="4"/>
  <c r="N279" i="4"/>
  <c r="N274" i="4"/>
  <c r="N269" i="4"/>
  <c r="N264" i="4"/>
  <c r="N259" i="4"/>
  <c r="N254" i="4"/>
  <c r="N249" i="4"/>
  <c r="N244" i="4"/>
  <c r="N239" i="4"/>
  <c r="N234" i="4"/>
  <c r="N229" i="4"/>
  <c r="N224" i="4"/>
  <c r="N219" i="4"/>
  <c r="N214" i="4"/>
  <c r="N209" i="4"/>
  <c r="N204" i="4"/>
  <c r="N199" i="4"/>
  <c r="N194" i="4"/>
  <c r="N189" i="4"/>
  <c r="N184" i="4"/>
  <c r="N179" i="4"/>
  <c r="N174" i="4"/>
  <c r="N169" i="4"/>
  <c r="N164" i="4"/>
  <c r="N159" i="4"/>
  <c r="N154" i="4"/>
  <c r="N149" i="4"/>
  <c r="N144" i="4"/>
  <c r="N139" i="4"/>
  <c r="N134" i="4"/>
  <c r="N129" i="4"/>
  <c r="N124" i="4"/>
  <c r="N119" i="4"/>
  <c r="N114" i="4"/>
  <c r="N109" i="4"/>
  <c r="N104" i="4"/>
  <c r="N99" i="4"/>
  <c r="N94" i="4"/>
  <c r="N89" i="4"/>
  <c r="N84" i="4"/>
  <c r="N79" i="4"/>
  <c r="N74" i="4"/>
  <c r="N69" i="4"/>
  <c r="N64" i="4"/>
  <c r="N59" i="4"/>
  <c r="N54" i="4"/>
  <c r="N49" i="4"/>
  <c r="N42" i="4"/>
  <c r="N12" i="4"/>
  <c r="N5" i="4"/>
  <c r="N33" i="4"/>
  <c r="N10" i="4"/>
  <c r="N3" i="4"/>
  <c r="N312" i="4"/>
  <c r="N24" i="4"/>
  <c r="N40" i="4"/>
  <c r="N17" i="4"/>
  <c r="N207" i="4"/>
  <c r="N67" i="4"/>
  <c r="N47" i="4"/>
  <c r="N205" i="4"/>
  <c r="N310" i="4"/>
  <c r="N285" i="4"/>
  <c r="N260" i="4"/>
  <c r="N235" i="4"/>
  <c r="N210" i="4"/>
  <c r="N187" i="4"/>
  <c r="N82" i="4"/>
  <c r="N50" i="4"/>
  <c r="N13" i="4"/>
  <c r="N55" i="4"/>
  <c r="N60" i="4"/>
  <c r="N97" i="4"/>
  <c r="N65" i="4"/>
  <c r="N27" i="4"/>
  <c r="N102" i="4"/>
  <c r="N185" i="4"/>
  <c r="N160" i="4"/>
  <c r="N135" i="4"/>
  <c r="N112" i="4"/>
  <c r="N80" i="4"/>
  <c r="N255" i="4"/>
  <c r="N130" i="4"/>
  <c r="N92" i="4"/>
  <c r="N95" i="4"/>
  <c r="N31" i="4"/>
  <c r="N300" i="4"/>
  <c r="N275" i="4"/>
  <c r="N250" i="4"/>
  <c r="N225" i="4"/>
  <c r="N200" i="4"/>
  <c r="N110" i="4"/>
  <c r="N57" i="4"/>
  <c r="N15" i="4"/>
  <c r="N175" i="4"/>
  <c r="N150" i="4"/>
  <c r="N125" i="4"/>
  <c r="N72" i="4"/>
  <c r="N62" i="4"/>
  <c r="N77" i="4"/>
  <c r="N180" i="4"/>
  <c r="N155" i="4"/>
  <c r="N87" i="4"/>
  <c r="N29" i="4"/>
  <c r="N315" i="4"/>
  <c r="N290" i="4"/>
  <c r="N265" i="4"/>
  <c r="N240" i="4"/>
  <c r="N215" i="4"/>
  <c r="N70" i="4"/>
  <c r="N280" i="4"/>
  <c r="N230" i="4"/>
  <c r="N190" i="4"/>
  <c r="N117" i="4"/>
  <c r="N85" i="4"/>
  <c r="N115" i="4"/>
  <c r="N45" i="4"/>
  <c r="N165" i="4"/>
  <c r="N140" i="4"/>
  <c r="N100" i="4"/>
  <c r="N305" i="4"/>
  <c r="N197" i="4"/>
  <c r="N107" i="4"/>
  <c r="N75" i="4"/>
  <c r="N22" i="4"/>
  <c r="N20" i="4"/>
  <c r="N320" i="4"/>
  <c r="N295" i="4"/>
  <c r="N270" i="4"/>
  <c r="N245" i="4"/>
  <c r="N220" i="4"/>
  <c r="N90" i="4"/>
  <c r="N8" i="4"/>
  <c r="N195" i="4"/>
  <c r="N105" i="4"/>
  <c r="N38" i="4"/>
  <c r="N170" i="4"/>
  <c r="N145" i="4"/>
  <c r="N120" i="4"/>
  <c r="N52" i="4"/>
  <c r="N36" i="4"/>
  <c r="K2" i="4" l="1"/>
  <c r="J2" i="4"/>
  <c r="G4" i="10"/>
  <c r="G10" i="10"/>
  <c r="G11" i="10"/>
  <c r="A3" i="17" l="1" a="1"/>
  <c r="A3" i="17" s="1"/>
  <c r="A3" i="16" a="1"/>
  <c r="A3" i="16" s="1"/>
  <c r="A3" i="18" a="1"/>
  <c r="A3" i="18" s="1"/>
  <c r="T317" i="4"/>
  <c r="T302" i="4"/>
  <c r="T272" i="4"/>
  <c r="T251" i="4"/>
  <c r="T232" i="4"/>
  <c r="T306" i="4"/>
  <c r="T293" i="4"/>
  <c r="T278" i="4"/>
  <c r="T257" i="4"/>
  <c r="T238" i="4"/>
  <c r="T217" i="4"/>
  <c r="T198" i="4"/>
  <c r="T177" i="4"/>
  <c r="T158" i="4"/>
  <c r="T310" i="4"/>
  <c r="T284" i="4"/>
  <c r="T263" i="4"/>
  <c r="T244" i="4"/>
  <c r="T223" i="4"/>
  <c r="T204" i="4"/>
  <c r="T183" i="4"/>
  <c r="T164" i="4"/>
  <c r="T143" i="4"/>
  <c r="T118" i="4"/>
  <c r="T312" i="4"/>
  <c r="T299" i="4"/>
  <c r="T286" i="4"/>
  <c r="T265" i="4"/>
  <c r="T246" i="4"/>
  <c r="T225" i="4"/>
  <c r="T206" i="4"/>
  <c r="T185" i="4"/>
  <c r="T166" i="4"/>
  <c r="T145" i="4"/>
  <c r="T126" i="4"/>
  <c r="T124" i="4"/>
  <c r="T122" i="4"/>
  <c r="T120" i="4"/>
  <c r="T314" i="4"/>
  <c r="T288" i="4"/>
  <c r="T267" i="4"/>
  <c r="T248" i="4"/>
  <c r="T227" i="4"/>
  <c r="T208" i="4"/>
  <c r="T187" i="4"/>
  <c r="T168" i="4"/>
  <c r="T147" i="4"/>
  <c r="T128" i="4"/>
  <c r="T309" i="4"/>
  <c r="T291" i="4"/>
  <c r="T271" i="4"/>
  <c r="T256" i="4"/>
  <c r="T239" i="4"/>
  <c r="T234" i="4"/>
  <c r="T222" i="4"/>
  <c r="T184" i="4"/>
  <c r="T155" i="4"/>
  <c r="T130" i="4"/>
  <c r="T114" i="4"/>
  <c r="T109" i="4"/>
  <c r="T301" i="4"/>
  <c r="T210" i="4"/>
  <c r="T203" i="4"/>
  <c r="T193" i="4"/>
  <c r="T174" i="4"/>
  <c r="T165" i="4"/>
  <c r="T139" i="4"/>
  <c r="T132" i="4"/>
  <c r="T121" i="4"/>
  <c r="T58" i="4"/>
  <c r="T56" i="4"/>
  <c r="T54" i="4"/>
  <c r="T52" i="4"/>
  <c r="T50" i="4"/>
  <c r="T48" i="4"/>
  <c r="T283" i="4"/>
  <c r="T321" i="4"/>
  <c r="T266" i="4"/>
  <c r="T261" i="4"/>
  <c r="T249" i="4"/>
  <c r="T229" i="4"/>
  <c r="T179" i="4"/>
  <c r="T160" i="4"/>
  <c r="T146" i="4"/>
  <c r="T134" i="4"/>
  <c r="T100" i="4"/>
  <c r="T91" i="4"/>
  <c r="T80" i="4"/>
  <c r="T71" i="4"/>
  <c r="T60" i="4"/>
  <c r="T39" i="4"/>
  <c r="T30" i="4"/>
  <c r="T21" i="4"/>
  <c r="T8" i="4"/>
  <c r="T316" i="4"/>
  <c r="T273" i="4"/>
  <c r="T212" i="4"/>
  <c r="T186" i="4"/>
  <c r="T123" i="4"/>
  <c r="T111" i="4"/>
  <c r="T23" i="4"/>
  <c r="T253" i="4"/>
  <c r="T226" i="4"/>
  <c r="T169" i="4"/>
  <c r="T138" i="4"/>
  <c r="T113" i="4"/>
  <c r="T43" i="4"/>
  <c r="T16" i="4"/>
  <c r="T27" i="4"/>
  <c r="T3" i="4"/>
  <c r="T320" i="4"/>
  <c r="T305" i="4"/>
  <c r="T295" i="4"/>
  <c r="T308" i="4"/>
  <c r="T290" i="4"/>
  <c r="T280" i="4"/>
  <c r="T260" i="4"/>
  <c r="T233" i="4"/>
  <c r="T216" i="4"/>
  <c r="T207" i="4"/>
  <c r="T197" i="4"/>
  <c r="T190" i="4"/>
  <c r="T178" i="4"/>
  <c r="T127" i="4"/>
  <c r="T106" i="4"/>
  <c r="T97" i="4"/>
  <c r="T86" i="4"/>
  <c r="T77" i="4"/>
  <c r="T66" i="4"/>
  <c r="T36" i="4"/>
  <c r="T313" i="4"/>
  <c r="T285" i="4"/>
  <c r="T282" i="4"/>
  <c r="T315" i="4"/>
  <c r="T297" i="4"/>
  <c r="T287" i="4"/>
  <c r="T262" i="4"/>
  <c r="T307" i="4"/>
  <c r="T245" i="4"/>
  <c r="T230" i="4"/>
  <c r="T175" i="4"/>
  <c r="T135" i="4"/>
  <c r="T103" i="4"/>
  <c r="T92" i="4"/>
  <c r="T83" i="4"/>
  <c r="T72" i="4"/>
  <c r="T63" i="4"/>
  <c r="T11" i="4"/>
  <c r="T294" i="4"/>
  <c r="T279" i="4"/>
  <c r="T274" i="4"/>
  <c r="T252" i="4"/>
  <c r="T292" i="4"/>
  <c r="T281" i="4"/>
  <c r="T268" i="4"/>
  <c r="T201" i="4"/>
  <c r="T189" i="4"/>
  <c r="T180" i="4"/>
  <c r="T151" i="4"/>
  <c r="T140" i="4"/>
  <c r="T95" i="4"/>
  <c r="T87" i="4"/>
  <c r="T79" i="4"/>
  <c r="T45" i="4"/>
  <c r="T34" i="4"/>
  <c r="T159" i="4"/>
  <c r="T137" i="4"/>
  <c r="T42" i="4"/>
  <c r="T20" i="4"/>
  <c r="T12" i="4"/>
  <c r="T254" i="4"/>
  <c r="T242" i="4"/>
  <c r="T236" i="4"/>
  <c r="T218" i="4"/>
  <c r="T171" i="4"/>
  <c r="T117" i="4"/>
  <c r="T68" i="4"/>
  <c r="T31" i="4"/>
  <c r="T221" i="4"/>
  <c r="T84" i="4"/>
  <c r="T76" i="4"/>
  <c r="T55" i="4"/>
  <c r="T264" i="4"/>
  <c r="T224" i="4"/>
  <c r="T215" i="4"/>
  <c r="T108" i="4"/>
  <c r="T65" i="4"/>
  <c r="T209" i="4"/>
  <c r="T200" i="4"/>
  <c r="T191" i="4"/>
  <c r="T188" i="4"/>
  <c r="T182" i="4"/>
  <c r="T125" i="4"/>
  <c r="T57" i="4"/>
  <c r="T33" i="4"/>
  <c r="T22" i="4"/>
  <c r="T19" i="4"/>
  <c r="T49" i="4"/>
  <c r="T38" i="4"/>
  <c r="T176" i="4"/>
  <c r="T150" i="4"/>
  <c r="T136" i="4"/>
  <c r="T102" i="4"/>
  <c r="T94" i="4"/>
  <c r="T70" i="4"/>
  <c r="T62" i="4"/>
  <c r="T44" i="4"/>
  <c r="T319" i="4"/>
  <c r="T133" i="4"/>
  <c r="T119" i="4"/>
  <c r="T59" i="4"/>
  <c r="T250" i="4"/>
  <c r="T241" i="4"/>
  <c r="T235" i="4"/>
  <c r="T220" i="4"/>
  <c r="T173" i="4"/>
  <c r="T78" i="4"/>
  <c r="T247" i="4"/>
  <c r="T214" i="4"/>
  <c r="T170" i="4"/>
  <c r="T67" i="4"/>
  <c r="T41" i="4"/>
  <c r="T96" i="4"/>
  <c r="T64" i="4"/>
  <c r="T99" i="4"/>
  <c r="T75" i="4"/>
  <c r="T116" i="4"/>
  <c r="T104" i="4"/>
  <c r="T276" i="4"/>
  <c r="T259" i="4"/>
  <c r="T161" i="4"/>
  <c r="T110" i="4"/>
  <c r="T24" i="4"/>
  <c r="T5" i="4"/>
  <c r="T35" i="4"/>
  <c r="T304" i="4"/>
  <c r="T199" i="4"/>
  <c r="T196" i="4"/>
  <c r="T167" i="4"/>
  <c r="T152" i="4"/>
  <c r="T107" i="4"/>
  <c r="T88" i="4"/>
  <c r="T13" i="4"/>
  <c r="T202" i="4"/>
  <c r="T269" i="4"/>
  <c r="T237" i="4"/>
  <c r="T211" i="4"/>
  <c r="T144" i="4"/>
  <c r="T300" i="4"/>
  <c r="T243" i="4"/>
  <c r="T205" i="4"/>
  <c r="T141" i="4"/>
  <c r="T85" i="4"/>
  <c r="T46" i="4"/>
  <c r="T2" i="4"/>
  <c r="T289" i="4"/>
  <c r="T255" i="4"/>
  <c r="T181" i="4"/>
  <c r="T101" i="4"/>
  <c r="T318" i="4"/>
  <c r="T296" i="4"/>
  <c r="T275" i="4"/>
  <c r="T240" i="4"/>
  <c r="T231" i="4"/>
  <c r="T172" i="4"/>
  <c r="T149" i="4"/>
  <c r="T93" i="4"/>
  <c r="T32" i="4"/>
  <c r="T29" i="4"/>
  <c r="T73" i="4"/>
  <c r="T213" i="4"/>
  <c r="T7" i="4"/>
  <c r="T303" i="4"/>
  <c r="T28" i="4"/>
  <c r="T53" i="4"/>
  <c r="T26" i="4"/>
  <c r="T69" i="4"/>
  <c r="T298" i="4"/>
  <c r="T258" i="4"/>
  <c r="T219" i="4"/>
  <c r="T157" i="4"/>
  <c r="T17" i="4"/>
  <c r="T115" i="4"/>
  <c r="T192" i="4"/>
  <c r="T15" i="4"/>
  <c r="T14" i="4"/>
  <c r="T153" i="4"/>
  <c r="T9" i="4"/>
  <c r="T311" i="4"/>
  <c r="T98" i="4"/>
  <c r="T82" i="4"/>
  <c r="T163" i="4"/>
  <c r="T10" i="4"/>
  <c r="T131" i="4"/>
  <c r="T25" i="4"/>
  <c r="T51" i="4"/>
  <c r="T195" i="4"/>
  <c r="T47" i="4"/>
  <c r="T90" i="4"/>
  <c r="T37" i="4"/>
  <c r="T40" i="4"/>
  <c r="T156" i="4"/>
  <c r="T4" i="4"/>
  <c r="T74" i="4"/>
  <c r="T89" i="4"/>
  <c r="T270" i="4"/>
  <c r="T148" i="4"/>
  <c r="T6" i="4"/>
  <c r="T81" i="4"/>
  <c r="T162" i="4"/>
  <c r="T105" i="4"/>
  <c r="T112" i="4"/>
  <c r="T277" i="4"/>
  <c r="T142" i="4"/>
  <c r="T18" i="4"/>
  <c r="T228" i="4"/>
  <c r="T194" i="4"/>
  <c r="T154" i="4"/>
  <c r="T129" i="4"/>
  <c r="T61" i="4"/>
  <c r="S315" i="4"/>
  <c r="S289" i="4"/>
  <c r="S270" i="4"/>
  <c r="S249" i="4"/>
  <c r="S230" i="4"/>
  <c r="S321" i="4"/>
  <c r="S304" i="4"/>
  <c r="S276" i="4"/>
  <c r="S255" i="4"/>
  <c r="S236" i="4"/>
  <c r="S215" i="4"/>
  <c r="S196" i="4"/>
  <c r="S175" i="4"/>
  <c r="S156" i="4"/>
  <c r="S308" i="4"/>
  <c r="S297" i="4"/>
  <c r="S282" i="4"/>
  <c r="S261" i="4"/>
  <c r="S242" i="4"/>
  <c r="S221" i="4"/>
  <c r="S202" i="4"/>
  <c r="S181" i="4"/>
  <c r="S162" i="4"/>
  <c r="S141" i="4"/>
  <c r="S116" i="4"/>
  <c r="S310" i="4"/>
  <c r="S284" i="4"/>
  <c r="S263" i="4"/>
  <c r="S244" i="4"/>
  <c r="S223" i="4"/>
  <c r="S204" i="4"/>
  <c r="S183" i="4"/>
  <c r="S164" i="4"/>
  <c r="S143" i="4"/>
  <c r="S118" i="4"/>
  <c r="S312" i="4"/>
  <c r="S299" i="4"/>
  <c r="S286" i="4"/>
  <c r="S265" i="4"/>
  <c r="S246" i="4"/>
  <c r="S225" i="4"/>
  <c r="S206" i="4"/>
  <c r="S185" i="4"/>
  <c r="S166" i="4"/>
  <c r="S145" i="4"/>
  <c r="S126" i="4"/>
  <c r="S124" i="4"/>
  <c r="S122" i="4"/>
  <c r="S120" i="4"/>
  <c r="S314" i="4"/>
  <c r="S296" i="4"/>
  <c r="S281" i="4"/>
  <c r="S191" i="4"/>
  <c r="S172" i="4"/>
  <c r="S144" i="4"/>
  <c r="S119" i="4"/>
  <c r="S309" i="4"/>
  <c r="S291" i="4"/>
  <c r="S271" i="4"/>
  <c r="S256" i="4"/>
  <c r="S239" i="4"/>
  <c r="S234" i="4"/>
  <c r="S222" i="4"/>
  <c r="S184" i="4"/>
  <c r="S155" i="4"/>
  <c r="S130" i="4"/>
  <c r="S114" i="4"/>
  <c r="S109" i="4"/>
  <c r="S98" i="4"/>
  <c r="S89" i="4"/>
  <c r="S78" i="4"/>
  <c r="S69" i="4"/>
  <c r="S46" i="4"/>
  <c r="S19" i="4"/>
  <c r="S6" i="4"/>
  <c r="S316" i="4"/>
  <c r="S288" i="4"/>
  <c r="S301" i="4"/>
  <c r="S217" i="4"/>
  <c r="S210" i="4"/>
  <c r="S203" i="4"/>
  <c r="S198" i="4"/>
  <c r="S193" i="4"/>
  <c r="S174" i="4"/>
  <c r="S165" i="4"/>
  <c r="S139" i="4"/>
  <c r="S132" i="4"/>
  <c r="S121" i="4"/>
  <c r="S58" i="4"/>
  <c r="S56" i="4"/>
  <c r="S54" i="4"/>
  <c r="S52" i="4"/>
  <c r="S50" i="4"/>
  <c r="S48" i="4"/>
  <c r="S306" i="4"/>
  <c r="S266" i="4"/>
  <c r="S229" i="4"/>
  <c r="S179" i="4"/>
  <c r="S160" i="4"/>
  <c r="S146" i="4"/>
  <c r="S134" i="4"/>
  <c r="S100" i="4"/>
  <c r="S91" i="4"/>
  <c r="S80" i="4"/>
  <c r="S71" i="4"/>
  <c r="S60" i="4"/>
  <c r="S39" i="4"/>
  <c r="S30" i="4"/>
  <c r="S21" i="4"/>
  <c r="S8" i="4"/>
  <c r="S318" i="4"/>
  <c r="S275" i="4"/>
  <c r="S268" i="4"/>
  <c r="S219" i="4"/>
  <c r="S200" i="4"/>
  <c r="S188" i="4"/>
  <c r="S152" i="4"/>
  <c r="S104" i="4"/>
  <c r="S95" i="4"/>
  <c r="S84" i="4"/>
  <c r="S75" i="4"/>
  <c r="S64" i="4"/>
  <c r="S34" i="4"/>
  <c r="S290" i="4"/>
  <c r="S253" i="4"/>
  <c r="S226" i="4"/>
  <c r="S169" i="4"/>
  <c r="S138" i="4"/>
  <c r="S113" i="4"/>
  <c r="S43" i="4"/>
  <c r="S16" i="4"/>
  <c r="S292" i="4"/>
  <c r="S272" i="4"/>
  <c r="S250" i="4"/>
  <c r="S302" i="4"/>
  <c r="S287" i="4"/>
  <c r="S267" i="4"/>
  <c r="S262" i="4"/>
  <c r="S257" i="4"/>
  <c r="S240" i="4"/>
  <c r="S211" i="4"/>
  <c r="S199" i="4"/>
  <c r="S194" i="4"/>
  <c r="S161" i="4"/>
  <c r="S147" i="4"/>
  <c r="S40" i="4"/>
  <c r="S31" i="4"/>
  <c r="S24" i="4"/>
  <c r="S22" i="4"/>
  <c r="S9" i="4"/>
  <c r="S307" i="4"/>
  <c r="S195" i="4"/>
  <c r="S192" i="4"/>
  <c r="S163" i="4"/>
  <c r="S157" i="4"/>
  <c r="S129" i="4"/>
  <c r="S53" i="4"/>
  <c r="S37" i="4"/>
  <c r="S23" i="4"/>
  <c r="S4" i="4"/>
  <c r="S295" i="4"/>
  <c r="S248" i="4"/>
  <c r="S233" i="4"/>
  <c r="S201" i="4"/>
  <c r="S189" i="4"/>
  <c r="S180" i="4"/>
  <c r="S151" i="4"/>
  <c r="S140" i="4"/>
  <c r="S87" i="4"/>
  <c r="S79" i="4"/>
  <c r="S45" i="4"/>
  <c r="S111" i="4"/>
  <c r="S245" i="4"/>
  <c r="S186" i="4"/>
  <c r="S177" i="4"/>
  <c r="S137" i="4"/>
  <c r="S42" i="4"/>
  <c r="S20" i="4"/>
  <c r="S12" i="4"/>
  <c r="S317" i="4"/>
  <c r="S274" i="4"/>
  <c r="S254" i="4"/>
  <c r="S251" i="4"/>
  <c r="S218" i="4"/>
  <c r="S171" i="4"/>
  <c r="S168" i="4"/>
  <c r="S123" i="4"/>
  <c r="S117" i="4"/>
  <c r="S68" i="4"/>
  <c r="S320" i="4"/>
  <c r="S313" i="4"/>
  <c r="S260" i="4"/>
  <c r="S227" i="4"/>
  <c r="S197" i="4"/>
  <c r="S97" i="4"/>
  <c r="S92" i="4"/>
  <c r="S76" i="4"/>
  <c r="S55" i="4"/>
  <c r="S298" i="4"/>
  <c r="S238" i="4"/>
  <c r="S128" i="4"/>
  <c r="S86" i="4"/>
  <c r="S73" i="4"/>
  <c r="S47" i="4"/>
  <c r="S178" i="4"/>
  <c r="S107" i="4"/>
  <c r="S209" i="4"/>
  <c r="S182" i="4"/>
  <c r="S125" i="4"/>
  <c r="S57" i="4"/>
  <c r="S33" i="4"/>
  <c r="S11" i="4"/>
  <c r="S232" i="4"/>
  <c r="S176" i="4"/>
  <c r="S150" i="4"/>
  <c r="S136" i="4"/>
  <c r="S102" i="4"/>
  <c r="S94" i="4"/>
  <c r="S83" i="4"/>
  <c r="S70" i="4"/>
  <c r="S62" i="4"/>
  <c r="S44" i="4"/>
  <c r="S27" i="4"/>
  <c r="S283" i="4"/>
  <c r="S273" i="4"/>
  <c r="S241" i="4"/>
  <c r="S235" i="4"/>
  <c r="S220" i="4"/>
  <c r="S173" i="4"/>
  <c r="S41" i="4"/>
  <c r="S319" i="4"/>
  <c r="S279" i="4"/>
  <c r="S247" i="4"/>
  <c r="S214" i="4"/>
  <c r="S170" i="4"/>
  <c r="S133" i="4"/>
  <c r="S99" i="4"/>
  <c r="S67" i="4"/>
  <c r="S167" i="4"/>
  <c r="S259" i="4"/>
  <c r="S190" i="4"/>
  <c r="S127" i="4"/>
  <c r="S110" i="4"/>
  <c r="S59" i="4"/>
  <c r="S49" i="4"/>
  <c r="S38" i="4"/>
  <c r="S5" i="4"/>
  <c r="S88" i="4"/>
  <c r="S158" i="4"/>
  <c r="S293" i="4"/>
  <c r="S269" i="4"/>
  <c r="S237" i="4"/>
  <c r="S208" i="4"/>
  <c r="S187" i="4"/>
  <c r="S96" i="4"/>
  <c r="S77" i="4"/>
  <c r="S72" i="4"/>
  <c r="S35" i="4"/>
  <c r="S300" i="4"/>
  <c r="S252" i="4"/>
  <c r="S243" i="4"/>
  <c r="S216" i="4"/>
  <c r="S205" i="4"/>
  <c r="S135" i="4"/>
  <c r="S101" i="4"/>
  <c r="S61" i="4"/>
  <c r="S51" i="4"/>
  <c r="S18" i="4"/>
  <c r="S294" i="4"/>
  <c r="S212" i="4"/>
  <c r="S112" i="4"/>
  <c r="S81" i="4"/>
  <c r="S65" i="4"/>
  <c r="S159" i="4"/>
  <c r="S3" i="4"/>
  <c r="S14" i="4"/>
  <c r="S280" i="4"/>
  <c r="S207" i="4"/>
  <c r="S224" i="4"/>
  <c r="S303" i="4"/>
  <c r="S231" i="4"/>
  <c r="S149" i="4"/>
  <c r="S108" i="4"/>
  <c r="S10" i="4"/>
  <c r="S26" i="4"/>
  <c r="S153" i="4"/>
  <c r="S311" i="4"/>
  <c r="S115" i="4"/>
  <c r="S28" i="4"/>
  <c r="S258" i="4"/>
  <c r="S17" i="4"/>
  <c r="S13" i="4"/>
  <c r="S90" i="4"/>
  <c r="S154" i="4"/>
  <c r="S105" i="4"/>
  <c r="S32" i="4"/>
  <c r="S29" i="4"/>
  <c r="S106" i="4"/>
  <c r="S15" i="4"/>
  <c r="S85" i="4"/>
  <c r="S131" i="4"/>
  <c r="S103" i="4"/>
  <c r="S25" i="4"/>
  <c r="S278" i="4"/>
  <c r="S7" i="4"/>
  <c r="S148" i="4"/>
  <c r="S63" i="4"/>
  <c r="S305" i="4"/>
  <c r="S66" i="4"/>
  <c r="S82" i="4"/>
  <c r="S285" i="4"/>
  <c r="S213" i="4"/>
  <c r="S36" i="4"/>
  <c r="S74" i="4"/>
  <c r="S264" i="4"/>
  <c r="S93" i="4"/>
  <c r="S277" i="4"/>
  <c r="S142" i="4"/>
  <c r="S2" i="4"/>
  <c r="A2" i="7" s="1" a="1"/>
  <c r="A2" i="7" s="1"/>
  <c r="S228" i="4"/>
  <c r="A2" i="11" a="1"/>
  <c r="A2" i="11" s="1"/>
  <c r="M320" i="4"/>
  <c r="M315" i="4"/>
  <c r="M310" i="4"/>
  <c r="M305" i="4"/>
  <c r="M300" i="4"/>
  <c r="M295" i="4"/>
  <c r="M290" i="4"/>
  <c r="M285" i="4"/>
  <c r="M280" i="4"/>
  <c r="M275" i="4"/>
  <c r="M270" i="4"/>
  <c r="M265" i="4"/>
  <c r="M260" i="4"/>
  <c r="M255" i="4"/>
  <c r="M250" i="4"/>
  <c r="M245" i="4"/>
  <c r="M240" i="4"/>
  <c r="M235" i="4"/>
  <c r="M230" i="4"/>
  <c r="M225" i="4"/>
  <c r="M220" i="4"/>
  <c r="M215" i="4"/>
  <c r="M210" i="4"/>
  <c r="M205" i="4"/>
  <c r="M200" i="4"/>
  <c r="M195" i="4"/>
  <c r="M190" i="4"/>
  <c r="M185" i="4"/>
  <c r="M180" i="4"/>
  <c r="M175" i="4"/>
  <c r="M170" i="4"/>
  <c r="M165" i="4"/>
  <c r="M160" i="4"/>
  <c r="M155" i="4"/>
  <c r="M150" i="4"/>
  <c r="M145" i="4"/>
  <c r="M140" i="4"/>
  <c r="M135" i="4"/>
  <c r="M130" i="4"/>
  <c r="M125" i="4"/>
  <c r="M120" i="4"/>
  <c r="M115" i="4"/>
  <c r="M110" i="4"/>
  <c r="M105" i="4"/>
  <c r="M100" i="4"/>
  <c r="M95" i="4"/>
  <c r="M90" i="4"/>
  <c r="M85" i="4"/>
  <c r="M80" i="4"/>
  <c r="M75" i="4"/>
  <c r="M70" i="4"/>
  <c r="M65" i="4"/>
  <c r="M60" i="4"/>
  <c r="M55" i="4"/>
  <c r="M50" i="4"/>
  <c r="M27" i="4"/>
  <c r="M13" i="4"/>
  <c r="M171" i="4"/>
  <c r="M81" i="4"/>
  <c r="M21" i="4"/>
  <c r="M7" i="4"/>
  <c r="M43" i="4"/>
  <c r="M34" i="4"/>
  <c r="M6" i="4"/>
  <c r="M301" i="4"/>
  <c r="M276" i="4"/>
  <c r="M266" i="4"/>
  <c r="M246" i="4"/>
  <c r="M236" i="4"/>
  <c r="M181" i="4"/>
  <c r="M176" i="4"/>
  <c r="M156" i="4"/>
  <c r="M146" i="4"/>
  <c r="M71" i="4"/>
  <c r="M37" i="4"/>
  <c r="M25" i="4"/>
  <c r="M18" i="4"/>
  <c r="M58" i="4"/>
  <c r="M30" i="4"/>
  <c r="M306" i="4"/>
  <c r="M251" i="4"/>
  <c r="M191" i="4"/>
  <c r="M161" i="4"/>
  <c r="M131" i="4"/>
  <c r="M41" i="4"/>
  <c r="M11" i="4"/>
  <c r="M4" i="4"/>
  <c r="M48" i="4"/>
  <c r="M281" i="4"/>
  <c r="M271" i="4"/>
  <c r="M261" i="4"/>
  <c r="M231" i="4"/>
  <c r="M201" i="4"/>
  <c r="M116" i="4"/>
  <c r="M101" i="4"/>
  <c r="M96" i="4"/>
  <c r="M86" i="4"/>
  <c r="M51" i="4"/>
  <c r="M44" i="4"/>
  <c r="M28" i="4"/>
  <c r="M35" i="4"/>
  <c r="M318" i="4"/>
  <c r="M313" i="4"/>
  <c r="M308" i="4"/>
  <c r="M303" i="4"/>
  <c r="M298" i="4"/>
  <c r="M293" i="4"/>
  <c r="M288" i="4"/>
  <c r="M283" i="4"/>
  <c r="M278" i="4"/>
  <c r="M273" i="4"/>
  <c r="M268" i="4"/>
  <c r="M263" i="4"/>
  <c r="M258" i="4"/>
  <c r="M253" i="4"/>
  <c r="M248" i="4"/>
  <c r="M243" i="4"/>
  <c r="M238" i="4"/>
  <c r="M233" i="4"/>
  <c r="M228" i="4"/>
  <c r="M223" i="4"/>
  <c r="M218" i="4"/>
  <c r="M213" i="4"/>
  <c r="M208" i="4"/>
  <c r="M203" i="4"/>
  <c r="M198" i="4"/>
  <c r="M193" i="4"/>
  <c r="M188" i="4"/>
  <c r="M183" i="4"/>
  <c r="M178" i="4"/>
  <c r="M173" i="4"/>
  <c r="M168" i="4"/>
  <c r="M163" i="4"/>
  <c r="M158" i="4"/>
  <c r="M153" i="4"/>
  <c r="M148" i="4"/>
  <c r="M143" i="4"/>
  <c r="M138" i="4"/>
  <c r="M133" i="4"/>
  <c r="M128" i="4"/>
  <c r="M123" i="4"/>
  <c r="M118" i="4"/>
  <c r="M113" i="4"/>
  <c r="M108" i="4"/>
  <c r="M103" i="4"/>
  <c r="M98" i="4"/>
  <c r="M93" i="4"/>
  <c r="M88" i="4"/>
  <c r="M83" i="4"/>
  <c r="M78" i="4"/>
  <c r="M73" i="4"/>
  <c r="M68" i="4"/>
  <c r="M63" i="4"/>
  <c r="M53" i="4"/>
  <c r="M296" i="4"/>
  <c r="M216" i="4"/>
  <c r="M186" i="4"/>
  <c r="M151" i="4"/>
  <c r="M136" i="4"/>
  <c r="M121" i="4"/>
  <c r="M106" i="4"/>
  <c r="M76" i="4"/>
  <c r="M14" i="4"/>
  <c r="M39" i="4"/>
  <c r="M32" i="4"/>
  <c r="M23" i="4"/>
  <c r="M16" i="4"/>
  <c r="M316" i="4"/>
  <c r="M291" i="4"/>
  <c r="M256" i="4"/>
  <c r="M226" i="4"/>
  <c r="M211" i="4"/>
  <c r="M166" i="4"/>
  <c r="M91" i="4"/>
  <c r="M9" i="4"/>
  <c r="M2" i="4"/>
  <c r="M321" i="4"/>
  <c r="M286" i="4"/>
  <c r="M241" i="4"/>
  <c r="M221" i="4"/>
  <c r="M206" i="4"/>
  <c r="M196" i="4"/>
  <c r="M141" i="4"/>
  <c r="M126" i="4"/>
  <c r="M111" i="4"/>
  <c r="M66" i="4"/>
  <c r="M61" i="4"/>
  <c r="M56" i="4"/>
  <c r="M19" i="4"/>
  <c r="M46" i="4"/>
  <c r="M311" i="4"/>
  <c r="M26" i="4"/>
  <c r="M224" i="4"/>
  <c r="M139" i="4"/>
  <c r="M134" i="4"/>
  <c r="M129" i="4"/>
  <c r="M124" i="4"/>
  <c r="M114" i="4"/>
  <c r="M99" i="4"/>
  <c r="M79" i="4"/>
  <c r="M74" i="4"/>
  <c r="M69" i="4"/>
  <c r="M59" i="4"/>
  <c r="M49" i="4"/>
  <c r="M42" i="4"/>
  <c r="M12" i="4"/>
  <c r="M5" i="4"/>
  <c r="M33" i="4"/>
  <c r="M24" i="4"/>
  <c r="M319" i="4"/>
  <c r="M314" i="4"/>
  <c r="M309" i="4"/>
  <c r="M304" i="4"/>
  <c r="M299" i="4"/>
  <c r="M294" i="4"/>
  <c r="M289" i="4"/>
  <c r="M284" i="4"/>
  <c r="M279" i="4"/>
  <c r="M274" i="4"/>
  <c r="M269" i="4"/>
  <c r="M264" i="4"/>
  <c r="M259" i="4"/>
  <c r="M254" i="4"/>
  <c r="M249" i="4"/>
  <c r="M244" i="4"/>
  <c r="M239" i="4"/>
  <c r="M234" i="4"/>
  <c r="M229" i="4"/>
  <c r="M219" i="4"/>
  <c r="M214" i="4"/>
  <c r="M209" i="4"/>
  <c r="M204" i="4"/>
  <c r="M199" i="4"/>
  <c r="M194" i="4"/>
  <c r="M189" i="4"/>
  <c r="M184" i="4"/>
  <c r="M179" i="4"/>
  <c r="M174" i="4"/>
  <c r="M169" i="4"/>
  <c r="M164" i="4"/>
  <c r="M159" i="4"/>
  <c r="M154" i="4"/>
  <c r="M149" i="4"/>
  <c r="M144" i="4"/>
  <c r="M119" i="4"/>
  <c r="M109" i="4"/>
  <c r="M104" i="4"/>
  <c r="M94" i="4"/>
  <c r="M89" i="4"/>
  <c r="M84" i="4"/>
  <c r="M64" i="4"/>
  <c r="M54" i="4"/>
  <c r="M17" i="4"/>
  <c r="M40" i="4"/>
  <c r="M312" i="4"/>
  <c r="M287" i="4"/>
  <c r="M262" i="4"/>
  <c r="M237" i="4"/>
  <c r="M212" i="4"/>
  <c r="M52" i="4"/>
  <c r="M36" i="4"/>
  <c r="M29" i="4"/>
  <c r="M47" i="4"/>
  <c r="M67" i="4"/>
  <c r="M182" i="4"/>
  <c r="M187" i="4"/>
  <c r="M162" i="4"/>
  <c r="M137" i="4"/>
  <c r="M82" i="4"/>
  <c r="M62" i="4"/>
  <c r="M97" i="4"/>
  <c r="M157" i="4"/>
  <c r="M132" i="4"/>
  <c r="M302" i="4"/>
  <c r="M277" i="4"/>
  <c r="M252" i="4"/>
  <c r="M227" i="4"/>
  <c r="M202" i="4"/>
  <c r="M112" i="4"/>
  <c r="M31" i="4"/>
  <c r="M177" i="4"/>
  <c r="M152" i="4"/>
  <c r="M127" i="4"/>
  <c r="M3" i="4"/>
  <c r="M15" i="4"/>
  <c r="M57" i="4"/>
  <c r="M45" i="4"/>
  <c r="M317" i="4"/>
  <c r="M292" i="4"/>
  <c r="M267" i="4"/>
  <c r="M242" i="4"/>
  <c r="M217" i="4"/>
  <c r="M72" i="4"/>
  <c r="M192" i="4"/>
  <c r="M87" i="4"/>
  <c r="M77" i="4"/>
  <c r="M167" i="4"/>
  <c r="M142" i="4"/>
  <c r="M102" i="4"/>
  <c r="M282" i="4"/>
  <c r="M232" i="4"/>
  <c r="M207" i="4"/>
  <c r="M117" i="4"/>
  <c r="M307" i="4"/>
  <c r="M257" i="4"/>
  <c r="M297" i="4"/>
  <c r="M272" i="4"/>
  <c r="M247" i="4"/>
  <c r="M222" i="4"/>
  <c r="M92" i="4"/>
  <c r="M197" i="4"/>
  <c r="M107" i="4"/>
  <c r="M22" i="4"/>
  <c r="M20" i="4"/>
  <c r="M10" i="4"/>
  <c r="M172" i="4"/>
  <c r="M147" i="4"/>
  <c r="M122" i="4"/>
  <c r="M8" i="4"/>
  <c r="M38" i="4"/>
  <c r="J7" i="10"/>
  <c r="J4" i="10"/>
  <c r="J5" i="10"/>
  <c r="J10" i="10"/>
  <c r="J8" i="10"/>
  <c r="J11" i="10"/>
  <c r="J9" i="10"/>
  <c r="J6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<sst xmlns="http://schemas.openxmlformats.org/spreadsheetml/2006/main" count="102" uniqueCount="85">
  <si>
    <t>Project</t>
  </si>
  <si>
    <t>Site</t>
  </si>
  <si>
    <t>Study</t>
  </si>
  <si>
    <t>Sample Type</t>
  </si>
  <si>
    <t>Start Date</t>
  </si>
  <si>
    <t>Sample ID (with Bottle #)</t>
  </si>
  <si>
    <t>Sample ID (with Time)</t>
  </si>
  <si>
    <t>Samples per Site</t>
  </si>
  <si>
    <t>Sample Start Date</t>
  </si>
  <si>
    <t>ISCO Bottle #</t>
  </si>
  <si>
    <t>Start Bottle Number</t>
  </si>
  <si>
    <t>For ISCO Samples only</t>
  </si>
  <si>
    <t>ISCO Bottle ID</t>
  </si>
  <si>
    <t>Collect Time</t>
  </si>
  <si>
    <t xml:space="preserve">DIRECTIONS </t>
  </si>
  <si>
    <r>
      <t>Project (</t>
    </r>
    <r>
      <rPr>
        <b/>
        <i/>
        <sz val="11"/>
        <color theme="1"/>
        <rFont val="Calibri"/>
        <family val="2"/>
        <scheme val="minor"/>
      </rPr>
      <t>e.g., WWS, NIFA</t>
    </r>
    <r>
      <rPr>
        <b/>
        <sz val="11"/>
        <color theme="1"/>
        <rFont val="Calibri"/>
        <family val="2"/>
        <scheme val="minor"/>
      </rPr>
      <t>)</t>
    </r>
  </si>
  <si>
    <r>
      <t>Study Code (</t>
    </r>
    <r>
      <rPr>
        <b/>
        <i/>
        <sz val="11"/>
        <color theme="1"/>
        <rFont val="Calibri"/>
        <family val="2"/>
        <scheme val="minor"/>
      </rPr>
      <t>e.g., SONDE, BDRK, SSFLAT</t>
    </r>
    <r>
      <rPr>
        <b/>
        <sz val="11"/>
        <color theme="1"/>
        <rFont val="Calibri"/>
        <family val="2"/>
        <scheme val="minor"/>
      </rPr>
      <t>)</t>
    </r>
  </si>
  <si>
    <r>
      <t>Time Interval (</t>
    </r>
    <r>
      <rPr>
        <b/>
        <i/>
        <sz val="11"/>
        <color theme="1"/>
        <rFont val="Calibri"/>
        <family val="2"/>
        <scheme val="minor"/>
      </rPr>
      <t>Hours</t>
    </r>
    <r>
      <rPr>
        <b/>
        <sz val="11"/>
        <color theme="1"/>
        <rFont val="Calibri"/>
        <family val="2"/>
        <scheme val="minor"/>
      </rPr>
      <t>)</t>
    </r>
  </si>
  <si>
    <r>
      <t>Number of Sites (</t>
    </r>
    <r>
      <rPr>
        <b/>
        <i/>
        <sz val="11"/>
        <color theme="1"/>
        <rFont val="Calibri"/>
        <family val="2"/>
        <scheme val="minor"/>
      </rPr>
      <t>autofilled</t>
    </r>
    <r>
      <rPr>
        <b/>
        <sz val="11"/>
        <color theme="1"/>
        <rFont val="Calibri"/>
        <family val="2"/>
        <scheme val="minor"/>
      </rPr>
      <t>)</t>
    </r>
  </si>
  <si>
    <t>Grab</t>
  </si>
  <si>
    <r>
      <t>Sample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</si>
  <si>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ISCO</t>
  </si>
  <si>
    <t>Bottle Calculator</t>
  </si>
  <si>
    <t>Aqualog</t>
  </si>
  <si>
    <t>Shimadzu</t>
  </si>
  <si>
    <t>Levoglucosan</t>
  </si>
  <si>
    <t>CCAL</t>
  </si>
  <si>
    <t>Excess</t>
  </si>
  <si>
    <t># Samples</t>
  </si>
  <si>
    <t>20 mL Glass</t>
  </si>
  <si>
    <t>30 mL</t>
  </si>
  <si>
    <t>125 mL</t>
  </si>
  <si>
    <t>500 mL</t>
  </si>
  <si>
    <t>125 mL (no 30 mL)</t>
  </si>
  <si>
    <t>Bottles Needed</t>
  </si>
  <si>
    <t>*edit if needed</t>
  </si>
  <si>
    <t>1. Fill out the information above to auto populate the sample IDs and specify how many samples are being collected for each analysis.</t>
  </si>
  <si>
    <t>Aqualog (DOM)</t>
  </si>
  <si>
    <t>Shimadzu (DOC/TN)</t>
  </si>
  <si>
    <t>CCAL (Nutrients)</t>
  </si>
  <si>
    <t>Excess (Node 3)</t>
  </si>
  <si>
    <t>Analysis</t>
  </si>
  <si>
    <t>Bottle Sample ID</t>
  </si>
  <si>
    <t>250 mL</t>
  </si>
  <si>
    <r>
      <rPr>
        <b/>
        <u/>
        <sz val="11"/>
        <color theme="1"/>
        <rFont val="Calibri"/>
        <family val="2"/>
        <scheme val="minor"/>
      </rPr>
      <t>Lab</t>
    </r>
    <r>
      <rPr>
        <b/>
        <sz val="11"/>
        <color theme="1"/>
        <rFont val="Calibri"/>
        <family val="2"/>
        <scheme val="minor"/>
      </rPr>
      <t xml:space="preserve"> Sample ID Type (choose one)</t>
    </r>
  </si>
  <si>
    <r>
      <rPr>
        <b/>
        <u/>
        <sz val="11"/>
        <color theme="1"/>
        <rFont val="Calibri"/>
        <family val="2"/>
        <scheme val="minor"/>
      </rPr>
      <t>Field</t>
    </r>
    <r>
      <rPr>
        <b/>
        <sz val="11"/>
        <color theme="1"/>
        <rFont val="Calibri"/>
        <family val="2"/>
        <scheme val="minor"/>
      </rPr>
      <t xml:space="preserve"> Sample ID Type (</t>
    </r>
    <r>
      <rPr>
        <b/>
        <i/>
        <sz val="11"/>
        <color theme="1"/>
        <rFont val="Calibri"/>
        <family val="2"/>
        <scheme val="minor"/>
      </rPr>
      <t>choose one</t>
    </r>
    <r>
      <rPr>
        <b/>
        <sz val="11"/>
        <color theme="1"/>
        <rFont val="Calibri"/>
        <family val="2"/>
        <scheme val="minor"/>
      </rPr>
      <t>)</t>
    </r>
  </si>
  <si>
    <t>Collect Date</t>
  </si>
  <si>
    <t>BPCA</t>
  </si>
  <si>
    <t>Two 1L</t>
  </si>
  <si>
    <t>Site 1 Sample Start Time</t>
  </si>
  <si>
    <t>Site 2 Sample Start Time</t>
  </si>
  <si>
    <t>ISCO Bottle Order</t>
  </si>
  <si>
    <t>Site Names</t>
  </si>
  <si>
    <t xml:space="preserve"> (1 per row)</t>
  </si>
  <si>
    <t>2. Make sure B7, "Sample Type" is correctly specified. It determines which labels are printed.</t>
  </si>
  <si>
    <t>3. If collecting grab samples, print lables with blank times. File in times manually after the field to fully populate datasheets after collection.</t>
  </si>
  <si>
    <t>4. Indicate which samples (if a subset) are being analyzed for what by setting columns L-R to T/F.</t>
  </si>
  <si>
    <t>5. **Directions on label creator in word from Emily**</t>
  </si>
  <si>
    <t>Separated Bottle Numbers</t>
  </si>
  <si>
    <t>Aqualog Bottle #</t>
  </si>
  <si>
    <t>Shimadzu Bottle #</t>
  </si>
  <si>
    <t>CCAL Bottle #</t>
  </si>
  <si>
    <t>Excess Bottle #</t>
  </si>
  <si>
    <t>Notes</t>
  </si>
  <si>
    <t>Sample ID</t>
  </si>
  <si>
    <t>(30mL/125mL Bottles)</t>
  </si>
  <si>
    <t>(125 mL Bottles)</t>
  </si>
  <si>
    <t>(500 mL Bottles)</t>
  </si>
  <si>
    <t>(any method deviations that could affect the data)</t>
  </si>
  <si>
    <t>ISCO Bottle Weights</t>
  </si>
  <si>
    <t>Filter Weights</t>
  </si>
  <si>
    <t>Filter Weight (g)</t>
  </si>
  <si>
    <t xml:space="preserve"> Pre-Weight</t>
  </si>
  <si>
    <t>Post-Weight</t>
  </si>
  <si>
    <t>ISCO Bottle (g)</t>
  </si>
  <si>
    <r>
      <t xml:space="preserve">3. Print out the Bottle Number data sheet in </t>
    </r>
    <r>
      <rPr>
        <b/>
        <sz val="11"/>
        <color theme="1"/>
        <rFont val="Calibri"/>
        <family val="2"/>
        <scheme val="minor"/>
      </rPr>
      <t>landscape</t>
    </r>
    <r>
      <rPr>
        <sz val="11"/>
        <color theme="1"/>
        <rFont val="Calibri"/>
        <family val="2"/>
        <scheme val="minor"/>
      </rPr>
      <t xml:space="preserve"> using "fit all columns on one page".</t>
    </r>
  </si>
  <si>
    <r>
      <t xml:space="preserve">3. Print out the ISCO Bottle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</si>
  <si>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r>
      <t xml:space="preserve">4. Print out the Filter Weight data sheet in </t>
    </r>
    <r>
      <rPr>
        <b/>
        <sz val="11"/>
        <color theme="1"/>
        <rFont val="Calibri"/>
        <family val="2"/>
        <scheme val="minor"/>
      </rPr>
      <t>portrait</t>
    </r>
    <r>
      <rPr>
        <sz val="11"/>
        <color theme="1"/>
        <rFont val="Calibri"/>
        <family val="2"/>
        <scheme val="minor"/>
      </rPr>
      <t xml:space="preserve"> (if applicable) using "fit all columns on one page".</t>
    </r>
  </si>
  <si>
    <t>Fill out the highlighted info to autofill labels and datasheets</t>
  </si>
  <si>
    <t>WWS</t>
  </si>
  <si>
    <t>SSFLAT</t>
  </si>
  <si>
    <t>ALD</t>
  </si>
  <si>
    <t>CMP</t>
  </si>
  <si>
    <t>Bottle Number</t>
  </si>
  <si>
    <t>Short Bottle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</si>
</sst>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"/>
    <numFmt numFmtId="165" formatCode="h:mm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onsolas"/>
      <family val="3"/>
    </font>
    <font>
      <sz val="12"/>
      <color theme="1"/>
      <name val="Consolas"/>
      <family val="3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CCCC00"/>
      </left>
      <right style="thin">
        <color rgb="FFCCCC00"/>
      </right>
      <top style="thin">
        <color rgb="FFCCCC00"/>
      </top>
      <bottom style="thin">
        <color rgb="FFCCCC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5" fillId="5" borderId="0" xfId="0" applyFont="1" applyFill="1" applyAlignment="1">
      <alignment horizontal="left"/>
    </xf>
    <xf numFmtId="164" fontId="5" fillId="5" borderId="0" xfId="0" applyNumberFormat="1" applyFont="1" applyFill="1" applyAlignment="1">
      <alignment horizontal="left"/>
    </xf>
    <xf numFmtId="0" fontId="0" fillId="3" borderId="0" xfId="0" applyFill="1"/>
    <xf numFmtId="0" fontId="0" fillId="2" borderId="1" xfId="0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/>
    </xf>
    <xf numFmtId="20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6" fillId="5" borderId="2" xfId="0" applyFont="1" applyFill="1" applyBorder="1"/>
    <xf numFmtId="0" fontId="1" fillId="12" borderId="3" xfId="0" applyFont="1" applyFill="1" applyBorder="1" applyAlignment="1">
      <alignment horizontal="center" vertical="center"/>
    </xf>
    <xf numFmtId="0" fontId="0" fillId="0" borderId="3" xfId="0" applyBorder="1"/>
    <xf numFmtId="0" fontId="0" fillId="9" borderId="5" xfId="0" applyFill="1" applyBorder="1"/>
    <xf numFmtId="0" fontId="0" fillId="13" borderId="6" xfId="0" applyFill="1" applyBorder="1"/>
    <xf numFmtId="0" fontId="0" fillId="7" borderId="5" xfId="0" applyFill="1" applyBorder="1"/>
    <xf numFmtId="0" fontId="0" fillId="8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0" borderId="7" xfId="0" applyBorder="1"/>
    <xf numFmtId="0" fontId="7" fillId="0" borderId="8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14" borderId="5" xfId="0" applyFill="1" applyBorder="1"/>
    <xf numFmtId="0" fontId="1" fillId="3" borderId="0" xfId="0" applyFont="1" applyFill="1"/>
    <xf numFmtId="0" fontId="9" fillId="0" borderId="0" xfId="0" applyFont="1" applyAlignment="1">
      <alignment horizontal="right"/>
    </xf>
    <xf numFmtId="0" fontId="1" fillId="14" borderId="0" xfId="0" applyFont="1" applyFill="1"/>
    <xf numFmtId="0" fontId="1" fillId="9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5" borderId="0" xfId="0" applyFont="1" applyFill="1"/>
    <xf numFmtId="0" fontId="1" fillId="16" borderId="0" xfId="0" applyFont="1" applyFill="1"/>
    <xf numFmtId="0" fontId="0" fillId="16" borderId="5" xfId="0" applyFill="1" applyBorder="1"/>
    <xf numFmtId="0" fontId="0" fillId="15" borderId="5" xfId="0" applyFill="1" applyBorder="1"/>
    <xf numFmtId="0" fontId="9" fillId="13" borderId="6" xfId="0" applyFont="1" applyFill="1" applyBorder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wrapText="1"/>
    </xf>
    <xf numFmtId="0" fontId="0" fillId="6" borderId="0" xfId="0" applyFill="1"/>
    <xf numFmtId="0" fontId="10" fillId="17" borderId="10" xfId="0" applyFont="1" applyFill="1" applyBorder="1"/>
    <xf numFmtId="0" fontId="11" fillId="0" borderId="11" xfId="0" applyFont="1" applyBorder="1"/>
    <xf numFmtId="0" fontId="10" fillId="0" borderId="13" xfId="0" applyFont="1" applyBorder="1"/>
    <xf numFmtId="0" fontId="12" fillId="0" borderId="10" xfId="0" applyFont="1" applyBorder="1"/>
    <xf numFmtId="0" fontId="12" fillId="0" borderId="10" xfId="0" applyFont="1" applyBorder="1" applyAlignment="1">
      <alignment horizontal="center"/>
    </xf>
    <xf numFmtId="0" fontId="13" fillId="18" borderId="10" xfId="0" applyFont="1" applyFill="1" applyBorder="1"/>
    <xf numFmtId="0" fontId="14" fillId="0" borderId="10" xfId="0" applyFont="1" applyBorder="1"/>
    <xf numFmtId="0" fontId="14" fillId="13" borderId="10" xfId="0" applyFont="1" applyFill="1" applyBorder="1"/>
    <xf numFmtId="0" fontId="10" fillId="19" borderId="10" xfId="0" applyFont="1" applyFill="1" applyBorder="1"/>
    <xf numFmtId="0" fontId="11" fillId="0" borderId="10" xfId="0" applyFont="1" applyBorder="1" applyAlignment="1">
      <alignment horizontal="center" vertical="center" wrapText="1"/>
    </xf>
    <xf numFmtId="0" fontId="10" fillId="20" borderId="10" xfId="0" applyFont="1" applyFill="1" applyBorder="1"/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</cellXfs>
  <cellStyles count="1">
    <cellStyle name="Normal" xfId="0" builtinId="0"/>
  </cellStyles>
  <dxfs count="28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CC"/>
        </patternFill>
      </fill>
    </dxf>
    <dxf>
      <fill>
        <patternFill>
          <bgColor rgb="FFFFFF66"/>
        </patternFill>
      </fill>
    </dxf>
    <dxf>
      <fill>
        <patternFill>
          <bgColor rgb="FFFFCC66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color rgb="FF006100"/>
      </font>
      <fill>
        <patternFill patternType="none">
          <bgColor auto="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-0.2499465926084170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</dxfs>
  <tableStyles count="4" defaultTableStyle="Table Style 3" defaultPivotStyle="PivotStyleLight16">
    <tableStyle name="Table Style 1" pivot="0" count="0" xr9:uid="{1531AD90-AED7-4252-9ADA-799B35A3DED7}"/>
    <tableStyle name="Table Style 2" pivot="0" count="1" xr9:uid="{E6B5F161-86CE-4AA2-8071-29DC0EB63180}">
      <tableStyleElement type="firstRowStripe" dxfId="27"/>
    </tableStyle>
    <tableStyle name="Table Style 3" pivot="0" count="1" xr9:uid="{F9D3F327-B512-4800-BA10-4EF09FA55AB3}">
      <tableStyleElement type="firstRowStripe" dxfId="26"/>
    </tableStyle>
    <tableStyle name="Table Style 4" pivot="0" count="1" xr9:uid="{11ADBC6B-8780-4B34-9129-079F70219539}">
      <tableStyleElement type="firstRowStripe" dxfId="25"/>
    </tableStyle>
  </tableStyles>
  <colors>
    <mruColors>
      <color rgb="FFFFFF66"/>
      <color rgb="FFFFCC66"/>
      <color rgb="FFFFE593"/>
      <color rgb="FFFFCCCC"/>
      <color rgb="FFFFFFCC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9695-5A30-40FE-911B-6B150930ACA1}">
  <dimension ref="A1:A9"/>
  <sheetViews>
    <sheetView workbookViewId="0">
      <selection activeCell="A20" sqref="A20"/>
    </sheetView>
  </sheetViews>
  <sheetFormatPr defaultRowHeight="15" x14ac:dyDescent="0.25"/>
  <cols>
    <col min="1" max="1" width="127.42578125" customWidth="1"/>
  </cols>
  <sheetData>
    <row r="1" spans="1:1" x14ac:dyDescent="0.25">
      <c r="A1" s="13" t="s">
        <v>14</v>
      </c>
    </row>
    <row r="2" spans="1:1" ht="14.45" customHeight="1" x14ac:dyDescent="0.25">
      <c r="A2" s="48" t="s">
        <v>36</v>
      </c>
    </row>
    <row r="3" spans="1:1" ht="14.45" customHeight="1" x14ac:dyDescent="0.25">
      <c r="A3" s="48" t="s">
        <v>54</v>
      </c>
    </row>
    <row r="4" spans="1:1" ht="14.45" customHeight="1" x14ac:dyDescent="0.25">
      <c r="A4" s="49" t="s">
        <v>55</v>
      </c>
    </row>
    <row r="5" spans="1:1" ht="14.45" customHeight="1" x14ac:dyDescent="0.25">
      <c r="A5" s="49" t="s">
        <v>56</v>
      </c>
    </row>
    <row r="6" spans="1:1" x14ac:dyDescent="0.25">
      <c r="A6" s="50" t="s">
        <v>57</v>
      </c>
    </row>
    <row r="7" spans="1:1" x14ac:dyDescent="0.25">
      <c r="A7" s="50" t="s">
        <v>75</v>
      </c>
    </row>
    <row r="8" spans="1:1" x14ac:dyDescent="0.25">
      <c r="A8" s="50" t="s">
        <v>76</v>
      </c>
    </row>
    <row r="9" spans="1:1" x14ac:dyDescent="0.25">
      <c r="A9" s="50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E421-CB14-43E0-8DEF-1EDAC63A74D0}">
  <dimension ref="A1:J71"/>
  <sheetViews>
    <sheetView tabSelected="1" zoomScale="85" zoomScaleNormal="85" workbookViewId="0">
      <selection activeCell="E23" sqref="E23"/>
    </sheetView>
  </sheetViews>
  <sheetFormatPr defaultRowHeight="15" x14ac:dyDescent="0.25"/>
  <cols>
    <col min="1" max="1" width="39.7109375" customWidth="1"/>
    <col min="2" max="2" width="20.42578125" customWidth="1"/>
    <col min="3" max="3" width="3.7109375" customWidth="1"/>
    <col min="4" max="4" width="20.42578125" customWidth="1"/>
    <col min="5" max="5" width="12.28515625" customWidth="1"/>
    <col min="6" max="6" width="22.85546875" customWidth="1"/>
    <col min="7" max="7" width="13.7109375" customWidth="1"/>
    <col min="8" max="8" width="10.28515625" customWidth="1"/>
    <col min="9" max="9" width="18.7109375" customWidth="1"/>
  </cols>
  <sheetData>
    <row r="1" spans="1:10" x14ac:dyDescent="0.25">
      <c r="A1" s="68" t="s">
        <v>78</v>
      </c>
      <c r="B1" s="68"/>
      <c r="C1" s="68"/>
      <c r="D1" s="68"/>
    </row>
    <row r="2" spans="1:10" ht="14.45" customHeight="1" thickBot="1" x14ac:dyDescent="0.3"/>
    <row r="3" spans="1:10" x14ac:dyDescent="0.25">
      <c r="A3" s="6" t="s">
        <v>15</v>
      </c>
      <c r="B3" s="14" t="s">
        <v>79</v>
      </c>
      <c r="D3" s="46" t="s">
        <v>52</v>
      </c>
      <c r="F3" s="18" t="s">
        <v>22</v>
      </c>
      <c r="G3" s="19" t="s">
        <v>28</v>
      </c>
      <c r="H3" s="20"/>
      <c r="I3" s="65" t="s">
        <v>34</v>
      </c>
      <c r="J3" s="66"/>
    </row>
    <row r="4" spans="1:10" x14ac:dyDescent="0.25">
      <c r="A4" s="6" t="s">
        <v>16</v>
      </c>
      <c r="B4" s="14" t="s">
        <v>80</v>
      </c>
      <c r="D4" s="47" t="s">
        <v>53</v>
      </c>
      <c r="F4" s="31" t="s">
        <v>21</v>
      </c>
      <c r="G4">
        <f>IF($B$7 = "ISCO", $B$5*$B$16, 0)</f>
        <v>48</v>
      </c>
      <c r="I4" t="s">
        <v>21</v>
      </c>
      <c r="J4" s="22">
        <f t="shared" ref="J4" si="0">G4</f>
        <v>48</v>
      </c>
    </row>
    <row r="5" spans="1:10" x14ac:dyDescent="0.25">
      <c r="A5" s="6" t="s">
        <v>7</v>
      </c>
      <c r="B5" s="14">
        <v>24</v>
      </c>
      <c r="D5" t="s">
        <v>81</v>
      </c>
      <c r="F5" s="42" t="s">
        <v>19</v>
      </c>
      <c r="G5">
        <f>IF($B$7 = "Grab", $B$5*$B$16, 0)</f>
        <v>0</v>
      </c>
      <c r="I5" t="s">
        <v>43</v>
      </c>
      <c r="J5" s="22">
        <f>G5</f>
        <v>0</v>
      </c>
    </row>
    <row r="6" spans="1:10" x14ac:dyDescent="0.25">
      <c r="A6" s="6" t="s">
        <v>8</v>
      </c>
      <c r="B6" s="15">
        <f ca="1">TODAY()</f>
        <v>46104</v>
      </c>
      <c r="D6" t="s">
        <v>82</v>
      </c>
      <c r="F6" s="21" t="s">
        <v>25</v>
      </c>
      <c r="G6">
        <v>0</v>
      </c>
      <c r="I6" t="s">
        <v>29</v>
      </c>
      <c r="J6" s="22">
        <f>G6</f>
        <v>0</v>
      </c>
    </row>
    <row r="7" spans="1:10" x14ac:dyDescent="0.25">
      <c r="A7" s="6" t="s">
        <v>20</v>
      </c>
      <c r="B7" s="15" t="s">
        <v>21</v>
      </c>
      <c r="F7" s="43" t="s">
        <v>47</v>
      </c>
      <c r="G7">
        <v>0</v>
      </c>
      <c r="I7" t="s">
        <v>48</v>
      </c>
      <c r="J7" s="22">
        <f>G7*2</f>
        <v>0</v>
      </c>
    </row>
    <row r="8" spans="1:10" x14ac:dyDescent="0.25">
      <c r="A8" s="6" t="s">
        <v>45</v>
      </c>
      <c r="B8" s="15" t="s">
        <v>84</v>
      </c>
      <c r="F8" s="23" t="s">
        <v>37</v>
      </c>
      <c r="G8">
        <f t="shared" ref="G8:G11" si="1">$B$5*$B$16</f>
        <v>48</v>
      </c>
      <c r="I8" t="s">
        <v>30</v>
      </c>
      <c r="J8" s="22">
        <f>G8</f>
        <v>48</v>
      </c>
    </row>
    <row r="9" spans="1:10" x14ac:dyDescent="0.25">
      <c r="A9" s="6" t="s">
        <v>44</v>
      </c>
      <c r="B9" s="15" t="s">
        <v>83</v>
      </c>
      <c r="F9" s="24" t="s">
        <v>38</v>
      </c>
      <c r="G9">
        <f t="shared" si="1"/>
        <v>48</v>
      </c>
      <c r="I9" t="s">
        <v>31</v>
      </c>
      <c r="J9" s="22">
        <f>G9+G10</f>
        <v>96</v>
      </c>
    </row>
    <row r="10" spans="1:10" x14ac:dyDescent="0.25">
      <c r="A10" s="67" t="s">
        <v>11</v>
      </c>
      <c r="B10" s="67"/>
      <c r="F10" s="25" t="s">
        <v>39</v>
      </c>
      <c r="G10">
        <f t="shared" si="1"/>
        <v>48</v>
      </c>
      <c r="I10" s="33" t="s">
        <v>33</v>
      </c>
      <c r="J10" s="44">
        <f>SUM(G8:G10)</f>
        <v>144</v>
      </c>
    </row>
    <row r="11" spans="1:10" x14ac:dyDescent="0.25">
      <c r="A11" s="6" t="s">
        <v>49</v>
      </c>
      <c r="B11" s="16">
        <v>0.33333333333333331</v>
      </c>
      <c r="F11" s="26" t="s">
        <v>40</v>
      </c>
      <c r="G11">
        <f t="shared" si="1"/>
        <v>48</v>
      </c>
      <c r="I11" t="s">
        <v>32</v>
      </c>
      <c r="J11" s="22">
        <f>G11</f>
        <v>48</v>
      </c>
    </row>
    <row r="12" spans="1:10" ht="15.75" thickBot="1" x14ac:dyDescent="0.3">
      <c r="A12" s="6" t="s">
        <v>50</v>
      </c>
      <c r="B12" s="16">
        <v>0.41666666666666669</v>
      </c>
      <c r="F12" s="27"/>
      <c r="G12" s="28" t="s">
        <v>35</v>
      </c>
      <c r="H12" s="29"/>
      <c r="I12" s="29"/>
      <c r="J12" s="30"/>
    </row>
    <row r="13" spans="1:10" x14ac:dyDescent="0.25">
      <c r="A13" s="6" t="s">
        <v>17</v>
      </c>
      <c r="B13" s="16">
        <v>8.3333333333333329E-2</v>
      </c>
    </row>
    <row r="14" spans="1:10" x14ac:dyDescent="0.25">
      <c r="A14" s="6" t="s">
        <v>10</v>
      </c>
      <c r="B14" s="17">
        <v>1</v>
      </c>
    </row>
    <row r="16" spans="1:10" x14ac:dyDescent="0.25">
      <c r="A16" s="6" t="s">
        <v>18</v>
      </c>
      <c r="B16" s="9">
        <f>COUNTA(D5:D297)</f>
        <v>2</v>
      </c>
    </row>
    <row r="24" spans="1:1" x14ac:dyDescent="0.25">
      <c r="A24" s="45"/>
    </row>
    <row r="25" spans="1:1" x14ac:dyDescent="0.25">
      <c r="A25" s="45"/>
    </row>
    <row r="26" spans="1:1" x14ac:dyDescent="0.25">
      <c r="A26" s="45"/>
    </row>
    <row r="27" spans="1:1" x14ac:dyDescent="0.25">
      <c r="A27" s="45"/>
    </row>
    <row r="28" spans="1:1" x14ac:dyDescent="0.25">
      <c r="A28" s="45"/>
    </row>
    <row r="29" spans="1:1" x14ac:dyDescent="0.25">
      <c r="A29" s="45"/>
    </row>
    <row r="30" spans="1:1" x14ac:dyDescent="0.25">
      <c r="A30" s="45"/>
    </row>
    <row r="31" spans="1:1" x14ac:dyDescent="0.25">
      <c r="A31" s="45"/>
    </row>
    <row r="32" spans="1:1" x14ac:dyDescent="0.25">
      <c r="A32" s="45"/>
    </row>
    <row r="33" spans="1:1" x14ac:dyDescent="0.25">
      <c r="A33" s="45"/>
    </row>
    <row r="34" spans="1:1" x14ac:dyDescent="0.25">
      <c r="A34" s="45"/>
    </row>
    <row r="35" spans="1:1" x14ac:dyDescent="0.25">
      <c r="A35" s="45"/>
    </row>
    <row r="36" spans="1:1" x14ac:dyDescent="0.25">
      <c r="A36" s="45"/>
    </row>
    <row r="37" spans="1:1" x14ac:dyDescent="0.25">
      <c r="A37" s="45"/>
    </row>
    <row r="38" spans="1:1" x14ac:dyDescent="0.25">
      <c r="A38" s="45"/>
    </row>
    <row r="39" spans="1:1" x14ac:dyDescent="0.25">
      <c r="A39" s="45"/>
    </row>
    <row r="40" spans="1:1" x14ac:dyDescent="0.25">
      <c r="A40" s="45"/>
    </row>
    <row r="41" spans="1:1" x14ac:dyDescent="0.25">
      <c r="A41" s="45"/>
    </row>
    <row r="42" spans="1:1" x14ac:dyDescent="0.25">
      <c r="A42" s="45"/>
    </row>
    <row r="43" spans="1:1" x14ac:dyDescent="0.25">
      <c r="A43" s="45"/>
    </row>
    <row r="44" spans="1:1" x14ac:dyDescent="0.25">
      <c r="A44" s="45"/>
    </row>
    <row r="45" spans="1:1" x14ac:dyDescent="0.25">
      <c r="A45" s="45"/>
    </row>
    <row r="46" spans="1:1" x14ac:dyDescent="0.25">
      <c r="A46" s="45"/>
    </row>
    <row r="47" spans="1:1" x14ac:dyDescent="0.25">
      <c r="A47" s="45"/>
    </row>
    <row r="48" spans="1:1" x14ac:dyDescent="0.25">
      <c r="A48" s="45"/>
    </row>
    <row r="49" spans="1:1" x14ac:dyDescent="0.25">
      <c r="A49" s="45"/>
    </row>
    <row r="50" spans="1:1" x14ac:dyDescent="0.25">
      <c r="A50" s="45"/>
    </row>
    <row r="51" spans="1:1" x14ac:dyDescent="0.25">
      <c r="A51" s="45"/>
    </row>
    <row r="52" spans="1:1" x14ac:dyDescent="0.25">
      <c r="A52" s="45"/>
    </row>
    <row r="53" spans="1:1" x14ac:dyDescent="0.25">
      <c r="A53" s="45"/>
    </row>
    <row r="54" spans="1:1" x14ac:dyDescent="0.25">
      <c r="A54" s="45"/>
    </row>
    <row r="55" spans="1:1" x14ac:dyDescent="0.25">
      <c r="A55" s="45"/>
    </row>
    <row r="56" spans="1:1" x14ac:dyDescent="0.25">
      <c r="A56" s="45"/>
    </row>
    <row r="57" spans="1:1" x14ac:dyDescent="0.25">
      <c r="A57" s="45"/>
    </row>
    <row r="58" spans="1:1" x14ac:dyDescent="0.25">
      <c r="A58" s="45"/>
    </row>
    <row r="59" spans="1:1" x14ac:dyDescent="0.25">
      <c r="A59" s="45"/>
    </row>
    <row r="60" spans="1:1" x14ac:dyDescent="0.25">
      <c r="A60" s="45"/>
    </row>
    <row r="61" spans="1:1" x14ac:dyDescent="0.25">
      <c r="A61" s="45"/>
    </row>
    <row r="62" spans="1:1" x14ac:dyDescent="0.25">
      <c r="A62" s="45"/>
    </row>
    <row r="63" spans="1:1" x14ac:dyDescent="0.25">
      <c r="A63" s="45"/>
    </row>
    <row r="64" spans="1:1" x14ac:dyDescent="0.25">
      <c r="A64" s="45"/>
    </row>
    <row r="65" spans="1:1" x14ac:dyDescent="0.25">
      <c r="A65" s="45"/>
    </row>
    <row r="66" spans="1:1" x14ac:dyDescent="0.25">
      <c r="A66" s="45"/>
    </row>
    <row r="67" spans="1:1" x14ac:dyDescent="0.25">
      <c r="A67" s="45"/>
    </row>
    <row r="68" spans="1:1" x14ac:dyDescent="0.25">
      <c r="A68" s="45"/>
    </row>
    <row r="69" spans="1:1" x14ac:dyDescent="0.25">
      <c r="A69" s="45"/>
    </row>
    <row r="70" spans="1:1" x14ac:dyDescent="0.25">
      <c r="A70" s="45"/>
    </row>
    <row r="71" spans="1:1" x14ac:dyDescent="0.25">
      <c r="A71" s="45"/>
    </row>
  </sheetData>
  <mergeCells count="3">
    <mergeCell ref="I3:J3"/>
    <mergeCell ref="A10:B10"/>
    <mergeCell ref="A1:D1"/>
  </mergeCells>
  <phoneticPr fontId="2" type="noConversion"/>
  <conditionalFormatting sqref="F6 F8:F11">
    <cfRule type="expression" dxfId="24" priority="56">
      <formula>$G6="Aqualog"</formula>
    </cfRule>
  </conditionalFormatting>
  <dataValidations count="3">
    <dataValidation type="list" allowBlank="1" showInputMessage="1" showErrorMessage="1" sqref="B9" xr:uid="{D4998419-C417-4887-B2CC-5188F080CC2F}">
      <formula1>"Bottle Number, Sample Date/Time"</formula1>
    </dataValidation>
    <dataValidation type="list" allowBlank="1" showInputMessage="1" showErrorMessage="1" sqref="B7" xr:uid="{ED4BD3F8-0AC2-46AB-9D8C-DA46C533B158}">
      <formula1>"Grab, ISCO"</formula1>
    </dataValidation>
    <dataValidation type="list" allowBlank="1" showInputMessage="1" showErrorMessage="1" sqref="B8" xr:uid="{5ED0AC0F-2F53-46E0-BCAE-B7278098FCF2}">
      <formula1>"Bottle Number, Sample Date/Time, Short Bottle Number"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0D06-FFFB-4E0B-84AE-A424BDF68770}">
  <dimension ref="A1:T321"/>
  <sheetViews>
    <sheetView zoomScaleNormal="100" workbookViewId="0">
      <selection activeCell="B14" sqref="B14"/>
    </sheetView>
  </sheetViews>
  <sheetFormatPr defaultRowHeight="15" x14ac:dyDescent="0.25"/>
  <cols>
    <col min="1" max="3" width="9.28515625" style="2"/>
    <col min="4" max="5" width="14" style="2" customWidth="1"/>
    <col min="6" max="6" width="13.5703125" style="2" customWidth="1"/>
    <col min="7" max="7" width="14.42578125" style="2" customWidth="1"/>
    <col min="8" max="8" width="9.28515625" style="2"/>
    <col min="9" max="9" width="8.7109375" style="9" customWidth="1"/>
    <col min="10" max="10" width="14.7109375" style="9" customWidth="1"/>
    <col min="11" max="11" width="28.5703125" style="9" customWidth="1"/>
    <col min="12" max="12" width="27.42578125" style="9" customWidth="1"/>
    <col min="13" max="13" width="7.85546875" style="9" customWidth="1"/>
    <col min="14" max="14" width="7.5703125" customWidth="1"/>
    <col min="15" max="15" width="13.28515625" customWidth="1"/>
    <col min="16" max="16" width="11.28515625" customWidth="1"/>
    <col min="17" max="17" width="9.7109375" customWidth="1"/>
    <col min="18" max="18" width="8" customWidth="1"/>
    <col min="19" max="19" width="8.28515625" customWidth="1"/>
  </cols>
  <sheetData>
    <row r="1" spans="1:20" s="1" customFormat="1" x14ac:dyDescent="0.25">
      <c r="A1" s="3" t="s">
        <v>3</v>
      </c>
      <c r="B1" s="4" t="s">
        <v>0</v>
      </c>
      <c r="C1" s="3" t="s">
        <v>2</v>
      </c>
      <c r="D1" s="4" t="s">
        <v>4</v>
      </c>
      <c r="E1" s="4" t="s">
        <v>13</v>
      </c>
      <c r="F1" s="4" t="s">
        <v>46</v>
      </c>
      <c r="G1" s="3" t="s">
        <v>9</v>
      </c>
      <c r="H1" s="3" t="s">
        <v>51</v>
      </c>
      <c r="I1" s="5" t="s">
        <v>1</v>
      </c>
      <c r="J1" s="11" t="s">
        <v>12</v>
      </c>
      <c r="K1" s="12" t="s">
        <v>5</v>
      </c>
      <c r="L1" s="11" t="s">
        <v>6</v>
      </c>
      <c r="M1" s="34" t="s">
        <v>21</v>
      </c>
      <c r="N1" s="41" t="s">
        <v>19</v>
      </c>
      <c r="O1" s="40" t="s">
        <v>47</v>
      </c>
      <c r="P1" s="35" t="s">
        <v>25</v>
      </c>
      <c r="Q1" s="36" t="s">
        <v>23</v>
      </c>
      <c r="R1" s="37" t="s">
        <v>24</v>
      </c>
      <c r="S1" s="38" t="s">
        <v>26</v>
      </c>
      <c r="T1" s="39" t="s">
        <v>27</v>
      </c>
    </row>
    <row r="2" spans="1:20" x14ac:dyDescent="0.25">
      <c r="A2" s="7" t="str">
        <f>FILLME!$B$7</f>
        <v>ISCO</v>
      </c>
      <c r="B2" t="str">
        <f>IF(FILLME!$B$3 = "", "", FILLME!$B$3)</f>
        <v>WWS</v>
      </c>
      <c r="C2" t="str">
        <f>IF(FILLME!$B$4 = "", "", FILLME!$B$4)</f>
        <v>SSFLAT</v>
      </c>
      <c r="D2" s="7" t="str">
        <f ca="1">TEXT(FILLME!$B$6,"yyyymmdd")</f>
        <v>20260323</v>
      </c>
      <c r="E2" s="8" cm="1">
        <f t="array" ref="E2:E49">IF(FILLME!B7 = "Grab", _xlfn.MAKEARRAY(FILLME!B5*FILLME!B16,1,_xlfn.LAMBDA(_xlpm.r,_xlpm.c,"")), _xlfn.LET(
_xlpm.n, FILLME!B5*FILLME!B16,
_xlpm.cut, FILLME!B5,
_xlpm.step, HOUR(FILLME!B13),
_xlpm.k, _xlfn.SEQUENCE(_xlpm.n),
TIME(
IF(_xlpm.k&lt;=_xlpm.cut,
HOUR(FILLME!B11)+(_xlpm.k-1)*_xlpm.step,
HOUR(FILLME!B12)+(_xlpm.k-_xlpm.cut-1)*_xlpm.step
),
0,0)
))</f>
        <v>0.33333333333333331</v>
      </c>
      <c r="F2" s="7">
        <f ca="1">IF(FILLME!$B$7="ISCO",FILLME!$B$6+FILLME!$B$11+(FILLME!$B$13*(G2-FILLME!$B$14)),FILLME!$B$6)</f>
        <v>46104.333333333336</v>
      </c>
      <c r="G2" s="2" cm="1">
        <f t="array" ref="G2:G49">MOD(_xlfn.SEQUENCE(FILLME!B5*FILLME!B16,,0),FILLME!B5) + FILLME!B14</f>
        <v>1</v>
      </c>
      <c r="H2" s="2" cm="1">
        <f t="array" ref="H2:H49">MOD(_xlfn.SEQUENCE(FILLME!B5*FILLME!B16,,0),FILLME!B5) + 1</f>
        <v>1</v>
      </c>
      <c r="I2" s="2" t="str" cm="1">
        <f t="array" ref="I2:I49">_xlfn.LET(
    _xlpm.items, FILLME!D5:D297,
    _xlpm.x, FILLME!$B$5,
    INDEX(_xlpm.items, ROUNDUP(_xlfn.SEQUENCE(COUNTA(_xlpm.items)*_xlpm.x)/_xlpm.x, 0))
)</f>
        <v>ALD</v>
      </c>
      <c r="J2" s="9" t="str">
        <f>CONCATENATE(I2,"_",TEXT(G2,"00"))</f>
        <v>ALD_01</v>
      </c>
      <c r="K2" s="10" t="str">
        <f ca="1">CONCATENATE(C2,"_", I2,"_",D2,"_",TEXT(G2,"00"))</f>
        <v>SSFLAT_ALD_20260323_01</v>
      </c>
      <c r="L2" s="10" t="str">
        <f ca="1">CONCATENATE(C2,"_", I2,"_",TEXT(F2, "yyyymmdd"),"_",TEXT(E2, "hhmm"))</f>
        <v>SSFLAT_ALD_20260323_0800</v>
      </c>
      <c r="M2" t="b">
        <f>IF(ROW()-ROW($M$1) &lt;= FILLME!$G$4, TRUE, FALSE)</f>
        <v>1</v>
      </c>
      <c r="N2" t="b">
        <f>IF(ROW()-ROW($N$1) &lt;= FILLME!$G$5, TRUE, FALSE)</f>
        <v>0</v>
      </c>
      <c r="O2" t="b">
        <f>IF(ROW()-ROW($O$1) &lt;= FILLME!$G$7, TRUE, FALSE)</f>
        <v>0</v>
      </c>
      <c r="P2" t="b">
        <f>IF(ROW()-ROW($P$1) &lt;= FILLME!$G$6, TRUE, FALSE)</f>
        <v>0</v>
      </c>
      <c r="Q2" t="b">
        <f>IF(ROW()-ROW($Q$1) &lt;= FILLME!$G$8, TRUE, FALSE)</f>
        <v>1</v>
      </c>
      <c r="R2" t="b">
        <f>IF(ROW()-ROW($R$1) &lt;= FILLME!$G$9, TRUE, FALSE)</f>
        <v>1</v>
      </c>
      <c r="S2" t="b">
        <f>IF(ROW()-ROW($S$1) &lt;= FILLME!$G$10, TRUE, FALSE)</f>
        <v>1</v>
      </c>
      <c r="T2" t="b">
        <f>IF(ROW()-ROW($T$1) &lt;= FILLME!$G$11, TRUE, FALSE)</f>
        <v>1</v>
      </c>
    </row>
    <row r="3" spans="1:20" x14ac:dyDescent="0.25">
      <c r="A3" s="7" t="str">
        <f>FILLME!$B$7</f>
        <v>ISCO</v>
      </c>
      <c r="B3" t="str">
        <f>IF(FILLME!$B$3 = "", "", FILLME!$B$3)</f>
        <v>WWS</v>
      </c>
      <c r="C3" t="str">
        <f>IF(FILLME!$B$4 = "", "", FILLME!$B$4)</f>
        <v>SSFLAT</v>
      </c>
      <c r="D3" s="7" t="str">
        <f ca="1">TEXT(FILLME!$B$6,"yyyymmdd")</f>
        <v>20260323</v>
      </c>
      <c r="E3" s="8">
        <v>0.41666666666666669</v>
      </c>
      <c r="F3" s="7">
        <f ca="1">IF(FILLME!$B$7="ISCO",FILLME!$B$6+FILLME!$B$11+(FILLME!$B$13*(G3-FILLME!$B$14)),FILLME!$B$6)</f>
        <v>46104.416666666672</v>
      </c>
      <c r="G3" s="2">
        <v>2</v>
      </c>
      <c r="H3" s="2">
        <v>2</v>
      </c>
      <c r="I3" s="2" t="str">
        <v>ALD</v>
      </c>
      <c r="J3" s="9" t="str">
        <f t="shared" ref="J3:J66" si="0">CONCATENATE(I3,"_",TEXT(G3,"00"))</f>
        <v>ALD_02</v>
      </c>
      <c r="K3" s="10" t="str">
        <f t="shared" ref="K3:K66" ca="1" si="1">CONCATENATE(C3,"_", I3,"_",D3,"_",TEXT(G3,"00"))</f>
        <v>SSFLAT_ALD_20260323_02</v>
      </c>
      <c r="L3" s="10" t="str">
        <f ca="1">CONCATENATE(C3,"_", I3,"_",TEXT(F3, "yyyymmdd"),"_",TEXT(E3, "hhmm"))</f>
        <v>SSFLAT_ALD_20260323_1000</v>
      </c>
      <c r="M3" t="b">
        <f>IF(ROW()-ROW($M$1) &lt;= FILLME!$G$4, TRUE, FALSE)</f>
        <v>1</v>
      </c>
      <c r="N3" t="b">
        <f>IF(ROW()-ROW($N$1) &lt;= FILLME!$G$5, TRUE, FALSE)</f>
        <v>0</v>
      </c>
      <c r="O3" t="b">
        <f>IF(ROW()-ROW($O$1) &lt;= FILLME!$G$7, TRUE, FALSE)</f>
        <v>0</v>
      </c>
      <c r="P3" t="b">
        <f>IF(ROW()-ROW($P$1) &lt;= FILLME!$G$6, TRUE, FALSE)</f>
        <v>0</v>
      </c>
      <c r="Q3" t="b">
        <f>IF(ROW()-ROW($Q$1) &lt;= FILLME!$G$8, TRUE, FALSE)</f>
        <v>1</v>
      </c>
      <c r="R3" t="b">
        <f>IF(ROW()-ROW($R$1) &lt;= FILLME!$G$9, TRUE, FALSE)</f>
        <v>1</v>
      </c>
      <c r="S3" t="b">
        <f>IF(ROW()-ROW($S$1) &lt;= FILLME!$G$10, TRUE, FALSE)</f>
        <v>1</v>
      </c>
      <c r="T3" t="b">
        <f>IF(ROW()-ROW($T$1) &lt;= FILLME!$G$11, TRUE, FALSE)</f>
        <v>1</v>
      </c>
    </row>
    <row r="4" spans="1:20" x14ac:dyDescent="0.25">
      <c r="A4" s="7" t="str">
        <f>FILLME!$B$7</f>
        <v>ISCO</v>
      </c>
      <c r="B4" t="str">
        <f>IF(FILLME!$B$3 = "", "", FILLME!$B$3)</f>
        <v>WWS</v>
      </c>
      <c r="C4" t="str">
        <f>IF(FILLME!$B$4 = "", "", FILLME!$B$4)</f>
        <v>SSFLAT</v>
      </c>
      <c r="D4" s="7" t="str">
        <f ca="1">TEXT(FILLME!$B$6,"yyyymmdd")</f>
        <v>20260323</v>
      </c>
      <c r="E4" s="8">
        <v>0.5</v>
      </c>
      <c r="F4" s="7">
        <f ca="1">IF(FILLME!$B$7="ISCO",FILLME!$B$6+FILLME!$B$11+(FILLME!$B$13*(G4-FILLME!$B$14)),FILLME!$B$6)</f>
        <v>46104.5</v>
      </c>
      <c r="G4" s="2">
        <v>3</v>
      </c>
      <c r="H4" s="2">
        <v>3</v>
      </c>
      <c r="I4" s="2" t="str">
        <v>ALD</v>
      </c>
      <c r="J4" s="9" t="str">
        <f t="shared" si="0"/>
        <v>ALD_03</v>
      </c>
      <c r="K4" s="10" t="str">
        <f t="shared" ca="1" si="1"/>
        <v>SSFLAT_ALD_20260323_03</v>
      </c>
      <c r="L4" s="10" t="str">
        <f t="shared" ref="L4:L66" ca="1" si="2">CONCATENATE(C4,"_", I4,"_",TEXT(F4, "yyyymmdd"),"_",TEXT(E4, "hhmm"))</f>
        <v>SSFLAT_ALD_20260323_1200</v>
      </c>
      <c r="M4" t="b">
        <f>IF(ROW()-ROW($M$1) &lt;= FILLME!$G$4, TRUE, FALSE)</f>
        <v>1</v>
      </c>
      <c r="N4" t="b">
        <f>IF(ROW()-ROW($N$1) &lt;= FILLME!$G$5, TRUE, FALSE)</f>
        <v>0</v>
      </c>
      <c r="O4" t="b">
        <f>IF(ROW()-ROW($O$1) &lt;= FILLME!$G$7, TRUE, FALSE)</f>
        <v>0</v>
      </c>
      <c r="P4" t="b">
        <f>IF(ROW()-ROW($P$1) &lt;= FILLME!$G$6, TRUE, FALSE)</f>
        <v>0</v>
      </c>
      <c r="Q4" t="b">
        <f>IF(ROW()-ROW($Q$1) &lt;= FILLME!$G$8, TRUE, FALSE)</f>
        <v>1</v>
      </c>
      <c r="R4" t="b">
        <f>IF(ROW()-ROW($R$1) &lt;= FILLME!$G$9, TRUE, FALSE)</f>
        <v>1</v>
      </c>
      <c r="S4" t="b">
        <f>IF(ROW()-ROW($S$1) &lt;= FILLME!$G$10, TRUE, FALSE)</f>
        <v>1</v>
      </c>
      <c r="T4" t="b">
        <f>IF(ROW()-ROW($T$1) &lt;= FILLME!$G$11, TRUE, FALSE)</f>
        <v>1</v>
      </c>
    </row>
    <row r="5" spans="1:20" x14ac:dyDescent="0.25">
      <c r="A5" s="7" t="str">
        <f>FILLME!$B$7</f>
        <v>ISCO</v>
      </c>
      <c r="B5" t="str">
        <f>IF(FILLME!$B$3 = "", "", FILLME!$B$3)</f>
        <v>WWS</v>
      </c>
      <c r="C5" t="str">
        <f>IF(FILLME!$B$4 = "", "", FILLME!$B$4)</f>
        <v>SSFLAT</v>
      </c>
      <c r="D5" s="7" t="str">
        <f ca="1">TEXT(FILLME!$B$6,"yyyymmdd")</f>
        <v>20260323</v>
      </c>
      <c r="E5" s="8">
        <v>0.58333333333333337</v>
      </c>
      <c r="F5" s="7">
        <f ca="1">IF(FILLME!$B$7="ISCO",FILLME!$B$6+FILLME!$B$11+(FILLME!$B$13*(G5-FILLME!$B$14)),FILLME!$B$6)</f>
        <v>46104.583333333336</v>
      </c>
      <c r="G5" s="2">
        <v>4</v>
      </c>
      <c r="H5" s="2">
        <v>4</v>
      </c>
      <c r="I5" s="2" t="str">
        <v>ALD</v>
      </c>
      <c r="J5" s="9" t="str">
        <f t="shared" si="0"/>
        <v>ALD_04</v>
      </c>
      <c r="K5" s="10" t="str">
        <f t="shared" ca="1" si="1"/>
        <v>SSFLAT_ALD_20260323_04</v>
      </c>
      <c r="L5" s="10" t="str">
        <f t="shared" ca="1" si="2"/>
        <v>SSFLAT_ALD_20260323_1400</v>
      </c>
      <c r="M5" t="b">
        <f>IF(ROW()-ROW($M$1) &lt;= FILLME!$G$4, TRUE, FALSE)</f>
        <v>1</v>
      </c>
      <c r="N5" t="b">
        <f>IF(ROW()-ROW($N$1) &lt;= FILLME!$G$5, TRUE, FALSE)</f>
        <v>0</v>
      </c>
      <c r="O5" t="b">
        <f>IF(ROW()-ROW($O$1) &lt;= FILLME!$G$7, TRUE, FALSE)</f>
        <v>0</v>
      </c>
      <c r="P5" t="b">
        <f>IF(ROW()-ROW($P$1) &lt;= FILLME!$G$6, TRUE, FALSE)</f>
        <v>0</v>
      </c>
      <c r="Q5" t="b">
        <f>IF(ROW()-ROW($Q$1) &lt;= FILLME!$G$8, TRUE, FALSE)</f>
        <v>1</v>
      </c>
      <c r="R5" t="b">
        <f>IF(ROW()-ROW($R$1) &lt;= FILLME!$G$9, TRUE, FALSE)</f>
        <v>1</v>
      </c>
      <c r="S5" t="b">
        <f>IF(ROW()-ROW($S$1) &lt;= FILLME!$G$10, TRUE, FALSE)</f>
        <v>1</v>
      </c>
      <c r="T5" t="b">
        <f>IF(ROW()-ROW($T$1) &lt;= FILLME!$G$11, TRUE, FALSE)</f>
        <v>1</v>
      </c>
    </row>
    <row r="6" spans="1:20" x14ac:dyDescent="0.25">
      <c r="A6" s="7" t="str">
        <f>FILLME!$B$7</f>
        <v>ISCO</v>
      </c>
      <c r="B6" t="str">
        <f>IF(FILLME!$B$3 = "", "", FILLME!$B$3)</f>
        <v>WWS</v>
      </c>
      <c r="C6" t="str">
        <f>IF(FILLME!$B$4 = "", "", FILLME!$B$4)</f>
        <v>SSFLAT</v>
      </c>
      <c r="D6" s="7" t="str">
        <f ca="1">TEXT(FILLME!$B$6,"yyyymmdd")</f>
        <v>20260323</v>
      </c>
      <c r="E6" s="8">
        <v>0.66666666666666663</v>
      </c>
      <c r="F6" s="7">
        <f ca="1">IF(FILLME!$B$7="ISCO",FILLME!$B$6+FILLME!$B$11+(FILLME!$B$13*(G6-FILLME!$B$14)),FILLME!$B$6)</f>
        <v>46104.666666666672</v>
      </c>
      <c r="G6" s="2">
        <v>5</v>
      </c>
      <c r="H6" s="2">
        <v>5</v>
      </c>
      <c r="I6" s="2" t="str">
        <v>ALD</v>
      </c>
      <c r="J6" s="9" t="str">
        <f t="shared" si="0"/>
        <v>ALD_05</v>
      </c>
      <c r="K6" s="10" t="str">
        <f t="shared" ca="1" si="1"/>
        <v>SSFLAT_ALD_20260323_05</v>
      </c>
      <c r="L6" s="10" t="str">
        <f t="shared" ca="1" si="2"/>
        <v>SSFLAT_ALD_20260323_1600</v>
      </c>
      <c r="M6" t="b">
        <f>IF(ROW()-ROW($M$1) &lt;= FILLME!$G$4, TRUE, FALSE)</f>
        <v>1</v>
      </c>
      <c r="N6" t="b">
        <f>IF(ROW()-ROW($N$1) &lt;= FILLME!$G$5, TRUE, FALSE)</f>
        <v>0</v>
      </c>
      <c r="O6" t="b">
        <f>IF(ROW()-ROW($O$1) &lt;= FILLME!$G$7, TRUE, FALSE)</f>
        <v>0</v>
      </c>
      <c r="P6" t="b">
        <f>IF(ROW()-ROW($P$1) &lt;= FILLME!$G$6, TRUE, FALSE)</f>
        <v>0</v>
      </c>
      <c r="Q6" t="b">
        <f>IF(ROW()-ROW($Q$1) &lt;= FILLME!$G$8, TRUE, FALSE)</f>
        <v>1</v>
      </c>
      <c r="R6" t="b">
        <f>IF(ROW()-ROW($R$1) &lt;= FILLME!$G$9, TRUE, FALSE)</f>
        <v>1</v>
      </c>
      <c r="S6" t="b">
        <f>IF(ROW()-ROW($S$1) &lt;= FILLME!$G$10, TRUE, FALSE)</f>
        <v>1</v>
      </c>
      <c r="T6" t="b">
        <f>IF(ROW()-ROW($T$1) &lt;= FILLME!$G$11, TRUE, FALSE)</f>
        <v>1</v>
      </c>
    </row>
    <row r="7" spans="1:20" x14ac:dyDescent="0.25">
      <c r="A7" s="7" t="str">
        <f>FILLME!$B$7</f>
        <v>ISCO</v>
      </c>
      <c r="B7" t="str">
        <f>IF(FILLME!$B$3 = "", "", FILLME!$B$3)</f>
        <v>WWS</v>
      </c>
      <c r="C7" t="str">
        <f>IF(FILLME!$B$4 = "", "", FILLME!$B$4)</f>
        <v>SSFLAT</v>
      </c>
      <c r="D7" s="7" t="str">
        <f ca="1">TEXT(FILLME!$B$6,"yyyymmdd")</f>
        <v>20260323</v>
      </c>
      <c r="E7" s="8">
        <v>0.75</v>
      </c>
      <c r="F7" s="7">
        <f ca="1">IF(FILLME!$B$7="ISCO",FILLME!$B$6+FILLME!$B$11+(FILLME!$B$13*(G7-FILLME!$B$14)),FILLME!$B$6)</f>
        <v>46104.75</v>
      </c>
      <c r="G7" s="2">
        <v>6</v>
      </c>
      <c r="H7" s="2">
        <v>6</v>
      </c>
      <c r="I7" s="2" t="str">
        <v>ALD</v>
      </c>
      <c r="J7" s="9" t="str">
        <f t="shared" si="0"/>
        <v>ALD_06</v>
      </c>
      <c r="K7" s="10" t="str">
        <f t="shared" ca="1" si="1"/>
        <v>SSFLAT_ALD_20260323_06</v>
      </c>
      <c r="L7" s="10" t="str">
        <f t="shared" ca="1" si="2"/>
        <v>SSFLAT_ALD_20260323_1800</v>
      </c>
      <c r="M7" t="b">
        <f>IF(ROW()-ROW($M$1) &lt;= FILLME!$G$4, TRUE, FALSE)</f>
        <v>1</v>
      </c>
      <c r="N7" t="b">
        <f>IF(ROW()-ROW($N$1) &lt;= FILLME!$G$5, TRUE, FALSE)</f>
        <v>0</v>
      </c>
      <c r="O7" t="b">
        <f>IF(ROW()-ROW($O$1) &lt;= FILLME!$G$7, TRUE, FALSE)</f>
        <v>0</v>
      </c>
      <c r="P7" t="b">
        <f>IF(ROW()-ROW($P$1) &lt;= FILLME!$G$6, TRUE, FALSE)</f>
        <v>0</v>
      </c>
      <c r="Q7" t="b">
        <f>IF(ROW()-ROW($Q$1) &lt;= FILLME!$G$8, TRUE, FALSE)</f>
        <v>1</v>
      </c>
      <c r="R7" t="b">
        <f>IF(ROW()-ROW($R$1) &lt;= FILLME!$G$9, TRUE, FALSE)</f>
        <v>1</v>
      </c>
      <c r="S7" t="b">
        <f>IF(ROW()-ROW($S$1) &lt;= FILLME!$G$10, TRUE, FALSE)</f>
        <v>1</v>
      </c>
      <c r="T7" t="b">
        <f>IF(ROW()-ROW($T$1) &lt;= FILLME!$G$11, TRUE, FALSE)</f>
        <v>1</v>
      </c>
    </row>
    <row r="8" spans="1:20" x14ac:dyDescent="0.25">
      <c r="A8" s="7" t="str">
        <f>FILLME!$B$7</f>
        <v>ISCO</v>
      </c>
      <c r="B8" t="str">
        <f>IF(FILLME!$B$3 = "", "", FILLME!$B$3)</f>
        <v>WWS</v>
      </c>
      <c r="C8" t="str">
        <f>IF(FILLME!$B$4 = "", "", FILLME!$B$4)</f>
        <v>SSFLAT</v>
      </c>
      <c r="D8" s="7" t="str">
        <f ca="1">TEXT(FILLME!$B$6,"yyyymmdd")</f>
        <v>20260323</v>
      </c>
      <c r="E8" s="8">
        <v>0.83333333333333337</v>
      </c>
      <c r="F8" s="7">
        <f ca="1">IF(FILLME!$B$7="ISCO",FILLME!$B$6+FILLME!$B$11+(FILLME!$B$13*(G8-FILLME!$B$14)),FILLME!$B$6)</f>
        <v>46104.833333333336</v>
      </c>
      <c r="G8" s="2">
        <v>7</v>
      </c>
      <c r="H8" s="2">
        <v>7</v>
      </c>
      <c r="I8" s="2" t="str">
        <v>ALD</v>
      </c>
      <c r="J8" s="9" t="str">
        <f t="shared" si="0"/>
        <v>ALD_07</v>
      </c>
      <c r="K8" s="10" t="str">
        <f t="shared" ca="1" si="1"/>
        <v>SSFLAT_ALD_20260323_07</v>
      </c>
      <c r="L8" s="10" t="str">
        <f t="shared" ca="1" si="2"/>
        <v>SSFLAT_ALD_20260323_2000</v>
      </c>
      <c r="M8" t="b">
        <f>IF(ROW()-ROW($M$1) &lt;= FILLME!$G$4, TRUE, FALSE)</f>
        <v>1</v>
      </c>
      <c r="N8" t="b">
        <f>IF(ROW()-ROW($N$1) &lt;= FILLME!$G$5, TRUE, FALSE)</f>
        <v>0</v>
      </c>
      <c r="O8" t="b">
        <f>IF(ROW()-ROW($O$1) &lt;= FILLME!$G$7, TRUE, FALSE)</f>
        <v>0</v>
      </c>
      <c r="P8" t="b">
        <f>IF(ROW()-ROW($P$1) &lt;= FILLME!$G$6, TRUE, FALSE)</f>
        <v>0</v>
      </c>
      <c r="Q8" t="b">
        <f>IF(ROW()-ROW($Q$1) &lt;= FILLME!$G$8, TRUE, FALSE)</f>
        <v>1</v>
      </c>
      <c r="R8" t="b">
        <f>IF(ROW()-ROW($R$1) &lt;= FILLME!$G$9, TRUE, FALSE)</f>
        <v>1</v>
      </c>
      <c r="S8" t="b">
        <f>IF(ROW()-ROW($S$1) &lt;= FILLME!$G$10, TRUE, FALSE)</f>
        <v>1</v>
      </c>
      <c r="T8" t="b">
        <f>IF(ROW()-ROW($T$1) &lt;= FILLME!$G$11, TRUE, FALSE)</f>
        <v>1</v>
      </c>
    </row>
    <row r="9" spans="1:20" x14ac:dyDescent="0.25">
      <c r="A9" s="7" t="str">
        <f>FILLME!$B$7</f>
        <v>ISCO</v>
      </c>
      <c r="B9" t="str">
        <f>IF(FILLME!$B$3 = "", "", FILLME!$B$3)</f>
        <v>WWS</v>
      </c>
      <c r="C9" t="str">
        <f>IF(FILLME!$B$4 = "", "", FILLME!$B$4)</f>
        <v>SSFLAT</v>
      </c>
      <c r="D9" s="7" t="str">
        <f ca="1">TEXT(FILLME!$B$6,"yyyymmdd")</f>
        <v>20260323</v>
      </c>
      <c r="E9" s="8">
        <v>0.91666666666666663</v>
      </c>
      <c r="F9" s="7">
        <f ca="1">IF(FILLME!$B$7="ISCO",FILLME!$B$6+FILLME!$B$11+(FILLME!$B$13*(G9-FILLME!$B$14)),FILLME!$B$6)</f>
        <v>46104.916666666672</v>
      </c>
      <c r="G9" s="2">
        <v>8</v>
      </c>
      <c r="H9" s="2">
        <v>8</v>
      </c>
      <c r="I9" s="2" t="str">
        <v>ALD</v>
      </c>
      <c r="J9" s="9" t="str">
        <f t="shared" si="0"/>
        <v>ALD_08</v>
      </c>
      <c r="K9" s="10" t="str">
        <f t="shared" ca="1" si="1"/>
        <v>SSFLAT_ALD_20260323_08</v>
      </c>
      <c r="L9" s="10" t="str">
        <f t="shared" ca="1" si="2"/>
        <v>SSFLAT_ALD_20260323_2200</v>
      </c>
      <c r="M9" t="b">
        <f>IF(ROW()-ROW($M$1) &lt;= FILLME!$G$4, TRUE, FALSE)</f>
        <v>1</v>
      </c>
      <c r="N9" t="b">
        <f>IF(ROW()-ROW($N$1) &lt;= FILLME!$G$5, TRUE, FALSE)</f>
        <v>0</v>
      </c>
      <c r="O9" t="b">
        <f>IF(ROW()-ROW($O$1) &lt;= FILLME!$G$7, TRUE, FALSE)</f>
        <v>0</v>
      </c>
      <c r="P9" t="b">
        <f>IF(ROW()-ROW($P$1) &lt;= FILLME!$G$6, TRUE, FALSE)</f>
        <v>0</v>
      </c>
      <c r="Q9" t="b">
        <f>IF(ROW()-ROW($Q$1) &lt;= FILLME!$G$8, TRUE, FALSE)</f>
        <v>1</v>
      </c>
      <c r="R9" t="b">
        <f>IF(ROW()-ROW($R$1) &lt;= FILLME!$G$9, TRUE, FALSE)</f>
        <v>1</v>
      </c>
      <c r="S9" t="b">
        <f>IF(ROW()-ROW($S$1) &lt;= FILLME!$G$10, TRUE, FALSE)</f>
        <v>1</v>
      </c>
      <c r="T9" t="b">
        <f>IF(ROW()-ROW($T$1) &lt;= FILLME!$G$11, TRUE, FALSE)</f>
        <v>1</v>
      </c>
    </row>
    <row r="10" spans="1:20" x14ac:dyDescent="0.25">
      <c r="A10" s="7" t="str">
        <f>FILLME!$B$7</f>
        <v>ISCO</v>
      </c>
      <c r="B10" t="str">
        <f>IF(FILLME!$B$3 = "", "", FILLME!$B$3)</f>
        <v>WWS</v>
      </c>
      <c r="C10" t="str">
        <f>IF(FILLME!$B$4 = "", "", FILLME!$B$4)</f>
        <v>SSFLAT</v>
      </c>
      <c r="D10" s="7" t="str">
        <f ca="1">TEXT(FILLME!$B$6,"yyyymmdd")</f>
        <v>20260323</v>
      </c>
      <c r="E10" s="8">
        <v>0</v>
      </c>
      <c r="F10" s="7">
        <f ca="1">IF(FILLME!$B$7="ISCO",FILLME!$B$6+FILLME!$B$11+(FILLME!$B$13*(G10-FILLME!$B$14)),FILLME!$B$6)</f>
        <v>46105</v>
      </c>
      <c r="G10" s="2">
        <v>9</v>
      </c>
      <c r="H10" s="2">
        <v>9</v>
      </c>
      <c r="I10" s="2" t="str">
        <v>ALD</v>
      </c>
      <c r="J10" s="9" t="str">
        <f t="shared" si="0"/>
        <v>ALD_09</v>
      </c>
      <c r="K10" s="10" t="str">
        <f t="shared" ca="1" si="1"/>
        <v>SSFLAT_ALD_20260323_09</v>
      </c>
      <c r="L10" s="10" t="str">
        <f t="shared" ca="1" si="2"/>
        <v>SSFLAT_ALD_20260324_0000</v>
      </c>
      <c r="M10" t="b">
        <f>IF(ROW()-ROW($M$1) &lt;= FILLME!$G$4, TRUE, FALSE)</f>
        <v>1</v>
      </c>
      <c r="N10" t="b">
        <f>IF(ROW()-ROW($N$1) &lt;= FILLME!$G$5, TRUE, FALSE)</f>
        <v>0</v>
      </c>
      <c r="O10" t="b">
        <f>IF(ROW()-ROW($O$1) &lt;= FILLME!$G$7, TRUE, FALSE)</f>
        <v>0</v>
      </c>
      <c r="P10" t="b">
        <f>IF(ROW()-ROW($P$1) &lt;= FILLME!$G$6, TRUE, FALSE)</f>
        <v>0</v>
      </c>
      <c r="Q10" t="b">
        <f>IF(ROW()-ROW($Q$1) &lt;= FILLME!$G$8, TRUE, FALSE)</f>
        <v>1</v>
      </c>
      <c r="R10" t="b">
        <f>IF(ROW()-ROW($R$1) &lt;= FILLME!$G$9, TRUE, FALSE)</f>
        <v>1</v>
      </c>
      <c r="S10" t="b">
        <f>IF(ROW()-ROW($S$1) &lt;= FILLME!$G$10, TRUE, FALSE)</f>
        <v>1</v>
      </c>
      <c r="T10" t="b">
        <f>IF(ROW()-ROW($T$1) &lt;= FILLME!$G$11, TRUE, FALSE)</f>
        <v>1</v>
      </c>
    </row>
    <row r="11" spans="1:20" x14ac:dyDescent="0.25">
      <c r="A11" s="7" t="str">
        <f>FILLME!$B$7</f>
        <v>ISCO</v>
      </c>
      <c r="B11" t="str">
        <f>IF(FILLME!$B$3 = "", "", FILLME!$B$3)</f>
        <v>WWS</v>
      </c>
      <c r="C11" t="str">
        <f>IF(FILLME!$B$4 = "", "", FILLME!$B$4)</f>
        <v>SSFLAT</v>
      </c>
      <c r="D11" s="7" t="str">
        <f ca="1">TEXT(FILLME!$B$6,"yyyymmdd")</f>
        <v>20260323</v>
      </c>
      <c r="E11" s="8">
        <v>8.3333333333333259E-2</v>
      </c>
      <c r="F11" s="7">
        <f ca="1">IF(FILLME!$B$7="ISCO",FILLME!$B$6+FILLME!$B$11+(FILLME!$B$13*(G11-FILLME!$B$14)),FILLME!$B$6)</f>
        <v>46105.083333333336</v>
      </c>
      <c r="G11" s="2">
        <v>10</v>
      </c>
      <c r="H11" s="2">
        <v>10</v>
      </c>
      <c r="I11" s="2" t="str">
        <v>ALD</v>
      </c>
      <c r="J11" s="9" t="str">
        <f t="shared" si="0"/>
        <v>ALD_10</v>
      </c>
      <c r="K11" s="10" t="str">
        <f t="shared" ca="1" si="1"/>
        <v>SSFLAT_ALD_20260323_10</v>
      </c>
      <c r="L11" s="10" t="str">
        <f t="shared" ca="1" si="2"/>
        <v>SSFLAT_ALD_20260324_0200</v>
      </c>
      <c r="M11" t="b">
        <f>IF(ROW()-ROW($M$1) &lt;= FILLME!$G$4, TRUE, FALSE)</f>
        <v>1</v>
      </c>
      <c r="N11" t="b">
        <f>IF(ROW()-ROW($N$1) &lt;= FILLME!$G$5, TRUE, FALSE)</f>
        <v>0</v>
      </c>
      <c r="O11" t="b">
        <f>IF(ROW()-ROW($O$1) &lt;= FILLME!$G$7, TRUE, FALSE)</f>
        <v>0</v>
      </c>
      <c r="P11" t="b">
        <f>IF(ROW()-ROW($P$1) &lt;= FILLME!$G$6, TRUE, FALSE)</f>
        <v>0</v>
      </c>
      <c r="Q11" t="b">
        <f>IF(ROW()-ROW($Q$1) &lt;= FILLME!$G$8, TRUE, FALSE)</f>
        <v>1</v>
      </c>
      <c r="R11" t="b">
        <f>IF(ROW()-ROW($R$1) &lt;= FILLME!$G$9, TRUE, FALSE)</f>
        <v>1</v>
      </c>
      <c r="S11" t="b">
        <f>IF(ROW()-ROW($S$1) &lt;= FILLME!$G$10, TRUE, FALSE)</f>
        <v>1</v>
      </c>
      <c r="T11" t="b">
        <f>IF(ROW()-ROW($T$1) &lt;= FILLME!$G$11, TRUE, FALSE)</f>
        <v>1</v>
      </c>
    </row>
    <row r="12" spans="1:20" x14ac:dyDescent="0.25">
      <c r="A12" s="7" t="str">
        <f>FILLME!$B$7</f>
        <v>ISCO</v>
      </c>
      <c r="B12" t="str">
        <f>IF(FILLME!$B$3 = "", "", FILLME!$B$3)</f>
        <v>WWS</v>
      </c>
      <c r="C12" t="str">
        <f>IF(FILLME!$B$4 = "", "", FILLME!$B$4)</f>
        <v>SSFLAT</v>
      </c>
      <c r="D12" s="7" t="str">
        <f ca="1">TEXT(FILLME!$B$6,"yyyymmdd")</f>
        <v>20260323</v>
      </c>
      <c r="E12" s="8">
        <v>0.16666666666666674</v>
      </c>
      <c r="F12" s="7">
        <f ca="1">IF(FILLME!$B$7="ISCO",FILLME!$B$6+FILLME!$B$11+(FILLME!$B$13*(G12-FILLME!$B$14)),FILLME!$B$6)</f>
        <v>46105.166666666672</v>
      </c>
      <c r="G12" s="2">
        <v>11</v>
      </c>
      <c r="H12" s="2">
        <v>11</v>
      </c>
      <c r="I12" s="2" t="str">
        <v>ALD</v>
      </c>
      <c r="J12" s="9" t="str">
        <f t="shared" si="0"/>
        <v>ALD_11</v>
      </c>
      <c r="K12" s="10" t="str">
        <f t="shared" ca="1" si="1"/>
        <v>SSFLAT_ALD_20260323_11</v>
      </c>
      <c r="L12" s="10" t="str">
        <f t="shared" ca="1" si="2"/>
        <v>SSFLAT_ALD_20260324_0400</v>
      </c>
      <c r="M12" t="b">
        <f>IF(ROW()-ROW($M$1) &lt;= FILLME!$G$4, TRUE, FALSE)</f>
        <v>1</v>
      </c>
      <c r="N12" t="b">
        <f>IF(ROW()-ROW($N$1) &lt;= FILLME!$G$5, TRUE, FALSE)</f>
        <v>0</v>
      </c>
      <c r="O12" t="b">
        <f>IF(ROW()-ROW($O$1) &lt;= FILLME!$G$7, TRUE, FALSE)</f>
        <v>0</v>
      </c>
      <c r="P12" t="b">
        <f>IF(ROW()-ROW($P$1) &lt;= FILLME!$G$6, TRUE, FALSE)</f>
        <v>0</v>
      </c>
      <c r="Q12" t="b">
        <f>IF(ROW()-ROW($Q$1) &lt;= FILLME!$G$8, TRUE, FALSE)</f>
        <v>1</v>
      </c>
      <c r="R12" t="b">
        <f>IF(ROW()-ROW($R$1) &lt;= FILLME!$G$9, TRUE, FALSE)</f>
        <v>1</v>
      </c>
      <c r="S12" t="b">
        <f>IF(ROW()-ROW($S$1) &lt;= FILLME!$G$10, TRUE, FALSE)</f>
        <v>1</v>
      </c>
      <c r="T12" t="b">
        <f>IF(ROW()-ROW($T$1) &lt;= FILLME!$G$11, TRUE, FALSE)</f>
        <v>1</v>
      </c>
    </row>
    <row r="13" spans="1:20" x14ac:dyDescent="0.25">
      <c r="A13" s="7" t="str">
        <f>FILLME!$B$7</f>
        <v>ISCO</v>
      </c>
      <c r="B13" t="str">
        <f>IF(FILLME!$B$3 = "", "", FILLME!$B$3)</f>
        <v>WWS</v>
      </c>
      <c r="C13" t="str">
        <f>IF(FILLME!$B$4 = "", "", FILLME!$B$4)</f>
        <v>SSFLAT</v>
      </c>
      <c r="D13" s="7" t="str">
        <f ca="1">TEXT(FILLME!$B$6,"yyyymmdd")</f>
        <v>20260323</v>
      </c>
      <c r="E13" s="8">
        <v>0.25</v>
      </c>
      <c r="F13" s="7">
        <f ca="1">IF(FILLME!$B$7="ISCO",FILLME!$B$6+FILLME!$B$11+(FILLME!$B$13*(G13-FILLME!$B$14)),FILLME!$B$6)</f>
        <v>46105.25</v>
      </c>
      <c r="G13" s="2">
        <v>12</v>
      </c>
      <c r="H13" s="2">
        <v>12</v>
      </c>
      <c r="I13" s="2" t="str">
        <v>ALD</v>
      </c>
      <c r="J13" s="9" t="str">
        <f t="shared" si="0"/>
        <v>ALD_12</v>
      </c>
      <c r="K13" s="10" t="str">
        <f t="shared" ca="1" si="1"/>
        <v>SSFLAT_ALD_20260323_12</v>
      </c>
      <c r="L13" s="10" t="str">
        <f t="shared" ca="1" si="2"/>
        <v>SSFLAT_ALD_20260324_0600</v>
      </c>
      <c r="M13" t="b">
        <f>IF(ROW()-ROW($M$1) &lt;= FILLME!$G$4, TRUE, FALSE)</f>
        <v>1</v>
      </c>
      <c r="N13" t="b">
        <f>IF(ROW()-ROW($N$1) &lt;= FILLME!$G$5, TRUE, FALSE)</f>
        <v>0</v>
      </c>
      <c r="O13" t="b">
        <f>IF(ROW()-ROW($O$1) &lt;= FILLME!$G$7, TRUE, FALSE)</f>
        <v>0</v>
      </c>
      <c r="P13" t="b">
        <f>IF(ROW()-ROW($P$1) &lt;= FILLME!$G$6, TRUE, FALSE)</f>
        <v>0</v>
      </c>
      <c r="Q13" t="b">
        <f>IF(ROW()-ROW($Q$1) &lt;= FILLME!$G$8, TRUE, FALSE)</f>
        <v>1</v>
      </c>
      <c r="R13" t="b">
        <f>IF(ROW()-ROW($R$1) &lt;= FILLME!$G$9, TRUE, FALSE)</f>
        <v>1</v>
      </c>
      <c r="S13" t="b">
        <f>IF(ROW()-ROW($S$1) &lt;= FILLME!$G$10, TRUE, FALSE)</f>
        <v>1</v>
      </c>
      <c r="T13" t="b">
        <f>IF(ROW()-ROW($T$1) &lt;= FILLME!$G$11, TRUE, FALSE)</f>
        <v>1</v>
      </c>
    </row>
    <row r="14" spans="1:20" x14ac:dyDescent="0.25">
      <c r="A14" s="7" t="str">
        <f>FILLME!$B$7</f>
        <v>ISCO</v>
      </c>
      <c r="B14" t="str">
        <f>IF(FILLME!$B$3 = "", "", FILLME!$B$3)</f>
        <v>WWS</v>
      </c>
      <c r="C14" t="str">
        <f>IF(FILLME!$B$4 = "", "", FILLME!$B$4)</f>
        <v>SSFLAT</v>
      </c>
      <c r="D14" s="7" t="str">
        <f ca="1">TEXT(FILLME!$B$6,"yyyymmdd")</f>
        <v>20260323</v>
      </c>
      <c r="E14" s="8">
        <v>0.33333333333333326</v>
      </c>
      <c r="F14" s="7">
        <f ca="1">IF(FILLME!$B$7="ISCO",FILLME!$B$6+FILLME!$B$11+(FILLME!$B$13*(G14-FILLME!$B$14)),FILLME!$B$6)</f>
        <v>46105.333333333336</v>
      </c>
      <c r="G14" s="2">
        <v>13</v>
      </c>
      <c r="H14" s="2">
        <v>13</v>
      </c>
      <c r="I14" s="2" t="str">
        <v>ALD</v>
      </c>
      <c r="J14" s="9" t="str">
        <f t="shared" si="0"/>
        <v>ALD_13</v>
      </c>
      <c r="K14" s="10" t="str">
        <f t="shared" ca="1" si="1"/>
        <v>SSFLAT_ALD_20260323_13</v>
      </c>
      <c r="L14" s="10" t="str">
        <f t="shared" ca="1" si="2"/>
        <v>SSFLAT_ALD_20260324_0800</v>
      </c>
      <c r="M14" t="b">
        <f>IF(ROW()-ROW($M$1) &lt;= FILLME!$G$4, TRUE, FALSE)</f>
        <v>1</v>
      </c>
      <c r="N14" t="b">
        <f>IF(ROW()-ROW($N$1) &lt;= FILLME!$G$5, TRUE, FALSE)</f>
        <v>0</v>
      </c>
      <c r="O14" t="b">
        <f>IF(ROW()-ROW($O$1) &lt;= FILLME!$G$7, TRUE, FALSE)</f>
        <v>0</v>
      </c>
      <c r="P14" t="b">
        <f>IF(ROW()-ROW($P$1) &lt;= FILLME!$G$6, TRUE, FALSE)</f>
        <v>0</v>
      </c>
      <c r="Q14" t="b">
        <f>IF(ROW()-ROW($Q$1) &lt;= FILLME!$G$8, TRUE, FALSE)</f>
        <v>1</v>
      </c>
      <c r="R14" t="b">
        <f>IF(ROW()-ROW($R$1) &lt;= FILLME!$G$9, TRUE, FALSE)</f>
        <v>1</v>
      </c>
      <c r="S14" t="b">
        <f>IF(ROW()-ROW($S$1) &lt;= FILLME!$G$10, TRUE, FALSE)</f>
        <v>1</v>
      </c>
      <c r="T14" t="b">
        <f>IF(ROW()-ROW($T$1) &lt;= FILLME!$G$11, TRUE, FALSE)</f>
        <v>1</v>
      </c>
    </row>
    <row r="15" spans="1:20" x14ac:dyDescent="0.25">
      <c r="A15" s="7" t="str">
        <f>FILLME!$B$7</f>
        <v>ISCO</v>
      </c>
      <c r="B15" t="str">
        <f>IF(FILLME!$B$3 = "", "", FILLME!$B$3)</f>
        <v>WWS</v>
      </c>
      <c r="C15" t="str">
        <f>IF(FILLME!$B$4 = "", "", FILLME!$B$4)</f>
        <v>SSFLAT</v>
      </c>
      <c r="D15" s="7" t="str">
        <f ca="1">TEXT(FILLME!$B$6,"yyyymmdd")</f>
        <v>20260323</v>
      </c>
      <c r="E15" s="8">
        <v>0.41666666666666674</v>
      </c>
      <c r="F15" s="7">
        <f ca="1">IF(FILLME!$B$7="ISCO",FILLME!$B$6+FILLME!$B$11+(FILLME!$B$13*(G15-FILLME!$B$14)),FILLME!$B$6)</f>
        <v>46105.416666666672</v>
      </c>
      <c r="G15" s="2">
        <v>14</v>
      </c>
      <c r="H15" s="2">
        <v>14</v>
      </c>
      <c r="I15" s="2" t="str">
        <v>ALD</v>
      </c>
      <c r="J15" s="9" t="str">
        <f t="shared" si="0"/>
        <v>ALD_14</v>
      </c>
      <c r="K15" s="10" t="str">
        <f t="shared" ca="1" si="1"/>
        <v>SSFLAT_ALD_20260323_14</v>
      </c>
      <c r="L15" s="10" t="str">
        <f t="shared" ca="1" si="2"/>
        <v>SSFLAT_ALD_20260324_1000</v>
      </c>
      <c r="M15" t="b">
        <f>IF(ROW()-ROW($M$1) &lt;= FILLME!$G$4, TRUE, FALSE)</f>
        <v>1</v>
      </c>
      <c r="N15" t="b">
        <f>IF(ROW()-ROW($N$1) &lt;= FILLME!$G$5, TRUE, FALSE)</f>
        <v>0</v>
      </c>
      <c r="O15" t="b">
        <f>IF(ROW()-ROW($O$1) &lt;= FILLME!$G$7, TRUE, FALSE)</f>
        <v>0</v>
      </c>
      <c r="P15" t="b">
        <f>IF(ROW()-ROW($P$1) &lt;= FILLME!$G$6, TRUE, FALSE)</f>
        <v>0</v>
      </c>
      <c r="Q15" t="b">
        <f>IF(ROW()-ROW($Q$1) &lt;= FILLME!$G$8, TRUE, FALSE)</f>
        <v>1</v>
      </c>
      <c r="R15" t="b">
        <f>IF(ROW()-ROW($R$1) &lt;= FILLME!$G$9, TRUE, FALSE)</f>
        <v>1</v>
      </c>
      <c r="S15" t="b">
        <f>IF(ROW()-ROW($S$1) &lt;= FILLME!$G$10, TRUE, FALSE)</f>
        <v>1</v>
      </c>
      <c r="T15" t="b">
        <f>IF(ROW()-ROW($T$1) &lt;= FILLME!$G$11, TRUE, FALSE)</f>
        <v>1</v>
      </c>
    </row>
    <row r="16" spans="1:20" x14ac:dyDescent="0.25">
      <c r="A16" s="7" t="str">
        <f>FILLME!$B$7</f>
        <v>ISCO</v>
      </c>
      <c r="B16" t="str">
        <f>IF(FILLME!$B$3 = "", "", FILLME!$B$3)</f>
        <v>WWS</v>
      </c>
      <c r="C16" t="str">
        <f>IF(FILLME!$B$4 = "", "", FILLME!$B$4)</f>
        <v>SSFLAT</v>
      </c>
      <c r="D16" s="7" t="str">
        <f ca="1">TEXT(FILLME!$B$6,"yyyymmdd")</f>
        <v>20260323</v>
      </c>
      <c r="E16" s="8">
        <v>0.5</v>
      </c>
      <c r="F16" s="7">
        <f ca="1">IF(FILLME!$B$7="ISCO",FILLME!$B$6+FILLME!$B$11+(FILLME!$B$13*(G16-FILLME!$B$14)),FILLME!$B$6)</f>
        <v>46105.5</v>
      </c>
      <c r="G16" s="2">
        <v>15</v>
      </c>
      <c r="H16" s="2">
        <v>15</v>
      </c>
      <c r="I16" s="2" t="str">
        <v>ALD</v>
      </c>
      <c r="J16" s="9" t="str">
        <f t="shared" si="0"/>
        <v>ALD_15</v>
      </c>
      <c r="K16" s="10" t="str">
        <f t="shared" ca="1" si="1"/>
        <v>SSFLAT_ALD_20260323_15</v>
      </c>
      <c r="L16" s="10" t="str">
        <f t="shared" ca="1" si="2"/>
        <v>SSFLAT_ALD_20260324_1200</v>
      </c>
      <c r="M16" t="b">
        <f>IF(ROW()-ROW($M$1) &lt;= FILLME!$G$4, TRUE, FALSE)</f>
        <v>1</v>
      </c>
      <c r="N16" t="b">
        <f>IF(ROW()-ROW($N$1) &lt;= FILLME!$G$5, TRUE, FALSE)</f>
        <v>0</v>
      </c>
      <c r="O16" t="b">
        <f>IF(ROW()-ROW($O$1) &lt;= FILLME!$G$7, TRUE, FALSE)</f>
        <v>0</v>
      </c>
      <c r="P16" t="b">
        <f>IF(ROW()-ROW($P$1) &lt;= FILLME!$G$6, TRUE, FALSE)</f>
        <v>0</v>
      </c>
      <c r="Q16" t="b">
        <f>IF(ROW()-ROW($Q$1) &lt;= FILLME!$G$8, TRUE, FALSE)</f>
        <v>1</v>
      </c>
      <c r="R16" t="b">
        <f>IF(ROW()-ROW($R$1) &lt;= FILLME!$G$9, TRUE, FALSE)</f>
        <v>1</v>
      </c>
      <c r="S16" t="b">
        <f>IF(ROW()-ROW($S$1) &lt;= FILLME!$G$10, TRUE, FALSE)</f>
        <v>1</v>
      </c>
      <c r="T16" t="b">
        <f>IF(ROW()-ROW($T$1) &lt;= FILLME!$G$11, TRUE, FALSE)</f>
        <v>1</v>
      </c>
    </row>
    <row r="17" spans="1:20" x14ac:dyDescent="0.25">
      <c r="A17" s="7" t="str">
        <f>FILLME!$B$7</f>
        <v>ISCO</v>
      </c>
      <c r="B17" t="str">
        <f>IF(FILLME!$B$3 = "", "", FILLME!$B$3)</f>
        <v>WWS</v>
      </c>
      <c r="C17" t="str">
        <f>IF(FILLME!$B$4 = "", "", FILLME!$B$4)</f>
        <v>SSFLAT</v>
      </c>
      <c r="D17" s="7" t="str">
        <f ca="1">TEXT(FILLME!$B$6,"yyyymmdd")</f>
        <v>20260323</v>
      </c>
      <c r="E17" s="8">
        <v>0.58333333333333326</v>
      </c>
      <c r="F17" s="7">
        <f ca="1">IF(FILLME!$B$7="ISCO",FILLME!$B$6+FILLME!$B$11+(FILLME!$B$13*(G17-FILLME!$B$14)),FILLME!$B$6)</f>
        <v>46105.583333333336</v>
      </c>
      <c r="G17" s="2">
        <v>16</v>
      </c>
      <c r="H17" s="2">
        <v>16</v>
      </c>
      <c r="I17" s="2" t="str">
        <v>ALD</v>
      </c>
      <c r="J17" s="9" t="str">
        <f t="shared" si="0"/>
        <v>ALD_16</v>
      </c>
      <c r="K17" s="10" t="str">
        <f t="shared" ca="1" si="1"/>
        <v>SSFLAT_ALD_20260323_16</v>
      </c>
      <c r="L17" s="10" t="str">
        <f t="shared" ca="1" si="2"/>
        <v>SSFLAT_ALD_20260324_1400</v>
      </c>
      <c r="M17" t="b">
        <f>IF(ROW()-ROW($M$1) &lt;= FILLME!$G$4, TRUE, FALSE)</f>
        <v>1</v>
      </c>
      <c r="N17" t="b">
        <f>IF(ROW()-ROW($N$1) &lt;= FILLME!$G$5, TRUE, FALSE)</f>
        <v>0</v>
      </c>
      <c r="O17" t="b">
        <f>IF(ROW()-ROW($O$1) &lt;= FILLME!$G$7, TRUE, FALSE)</f>
        <v>0</v>
      </c>
      <c r="P17" t="b">
        <f>IF(ROW()-ROW($P$1) &lt;= FILLME!$G$6, TRUE, FALSE)</f>
        <v>0</v>
      </c>
      <c r="Q17" t="b">
        <f>IF(ROW()-ROW($Q$1) &lt;= FILLME!$G$8, TRUE, FALSE)</f>
        <v>1</v>
      </c>
      <c r="R17" t="b">
        <f>IF(ROW()-ROW($R$1) &lt;= FILLME!$G$9, TRUE, FALSE)</f>
        <v>1</v>
      </c>
      <c r="S17" t="b">
        <f>IF(ROW()-ROW($S$1) &lt;= FILLME!$G$10, TRUE, FALSE)</f>
        <v>1</v>
      </c>
      <c r="T17" t="b">
        <f>IF(ROW()-ROW($T$1) &lt;= FILLME!$G$11, TRUE, FALSE)</f>
        <v>1</v>
      </c>
    </row>
    <row r="18" spans="1:20" x14ac:dyDescent="0.25">
      <c r="A18" s="7" t="str">
        <f>FILLME!$B$7</f>
        <v>ISCO</v>
      </c>
      <c r="B18" t="str">
        <f>IF(FILLME!$B$3 = "", "", FILLME!$B$3)</f>
        <v>WWS</v>
      </c>
      <c r="C18" t="str">
        <f>IF(FILLME!$B$4 = "", "", FILLME!$B$4)</f>
        <v>SSFLAT</v>
      </c>
      <c r="D18" s="7" t="str">
        <f ca="1">TEXT(FILLME!$B$6,"yyyymmdd")</f>
        <v>20260323</v>
      </c>
      <c r="E18" s="8">
        <v>0.66666666666666674</v>
      </c>
      <c r="F18" s="7">
        <f ca="1">IF(FILLME!$B$7="ISCO",FILLME!$B$6+FILLME!$B$11+(FILLME!$B$13*(G18-FILLME!$B$14)),FILLME!$B$6)</f>
        <v>46105.666666666672</v>
      </c>
      <c r="G18" s="2">
        <v>17</v>
      </c>
      <c r="H18" s="2">
        <v>17</v>
      </c>
      <c r="I18" s="2" t="str">
        <v>ALD</v>
      </c>
      <c r="J18" s="9" t="str">
        <f t="shared" si="0"/>
        <v>ALD_17</v>
      </c>
      <c r="K18" s="10" t="str">
        <f t="shared" ca="1" si="1"/>
        <v>SSFLAT_ALD_20260323_17</v>
      </c>
      <c r="L18" s="10" t="str">
        <f t="shared" ca="1" si="2"/>
        <v>SSFLAT_ALD_20260324_1600</v>
      </c>
      <c r="M18" t="b">
        <f>IF(ROW()-ROW($M$1) &lt;= FILLME!$G$4, TRUE, FALSE)</f>
        <v>1</v>
      </c>
      <c r="N18" t="b">
        <f>IF(ROW()-ROW($N$1) &lt;= FILLME!$G$5, TRUE, FALSE)</f>
        <v>0</v>
      </c>
      <c r="O18" t="b">
        <f>IF(ROW()-ROW($O$1) &lt;= FILLME!$G$7, TRUE, FALSE)</f>
        <v>0</v>
      </c>
      <c r="P18" t="b">
        <f>IF(ROW()-ROW($P$1) &lt;= FILLME!$G$6, TRUE, FALSE)</f>
        <v>0</v>
      </c>
      <c r="Q18" t="b">
        <f>IF(ROW()-ROW($Q$1) &lt;= FILLME!$G$8, TRUE, FALSE)</f>
        <v>1</v>
      </c>
      <c r="R18" t="b">
        <f>IF(ROW()-ROW($R$1) &lt;= FILLME!$G$9, TRUE, FALSE)</f>
        <v>1</v>
      </c>
      <c r="S18" t="b">
        <f>IF(ROW()-ROW($S$1) &lt;= FILLME!$G$10, TRUE, FALSE)</f>
        <v>1</v>
      </c>
      <c r="T18" t="b">
        <f>IF(ROW()-ROW($T$1) &lt;= FILLME!$G$11, TRUE, FALSE)</f>
        <v>1</v>
      </c>
    </row>
    <row r="19" spans="1:20" x14ac:dyDescent="0.25">
      <c r="A19" s="7" t="str">
        <f>FILLME!$B$7</f>
        <v>ISCO</v>
      </c>
      <c r="B19" t="str">
        <f>IF(FILLME!$B$3 = "", "", FILLME!$B$3)</f>
        <v>WWS</v>
      </c>
      <c r="C19" t="str">
        <f>IF(FILLME!$B$4 = "", "", FILLME!$B$4)</f>
        <v>SSFLAT</v>
      </c>
      <c r="D19" s="7" t="str">
        <f ca="1">TEXT(FILLME!$B$6,"yyyymmdd")</f>
        <v>20260323</v>
      </c>
      <c r="E19" s="8">
        <v>0.75</v>
      </c>
      <c r="F19" s="7">
        <f ca="1">IF(FILLME!$B$7="ISCO",FILLME!$B$6+FILLME!$B$11+(FILLME!$B$13*(G19-FILLME!$B$14)),FILLME!$B$6)</f>
        <v>46105.75</v>
      </c>
      <c r="G19" s="2">
        <v>18</v>
      </c>
      <c r="H19" s="2">
        <v>18</v>
      </c>
      <c r="I19" s="2" t="str">
        <v>ALD</v>
      </c>
      <c r="J19" s="9" t="str">
        <f t="shared" si="0"/>
        <v>ALD_18</v>
      </c>
      <c r="K19" s="10" t="str">
        <f t="shared" ca="1" si="1"/>
        <v>SSFLAT_ALD_20260323_18</v>
      </c>
      <c r="L19" s="10" t="str">
        <f t="shared" ca="1" si="2"/>
        <v>SSFLAT_ALD_20260324_1800</v>
      </c>
      <c r="M19" t="b">
        <f>IF(ROW()-ROW($M$1) &lt;= FILLME!$G$4, TRUE, FALSE)</f>
        <v>1</v>
      </c>
      <c r="N19" t="b">
        <f>IF(ROW()-ROW($N$1) &lt;= FILLME!$G$5, TRUE, FALSE)</f>
        <v>0</v>
      </c>
      <c r="O19" t="b">
        <f>IF(ROW()-ROW($O$1) &lt;= FILLME!$G$7, TRUE, FALSE)</f>
        <v>0</v>
      </c>
      <c r="P19" t="b">
        <f>IF(ROW()-ROW($P$1) &lt;= FILLME!$G$6, TRUE, FALSE)</f>
        <v>0</v>
      </c>
      <c r="Q19" t="b">
        <f>IF(ROW()-ROW($Q$1) &lt;= FILLME!$G$8, TRUE, FALSE)</f>
        <v>1</v>
      </c>
      <c r="R19" t="b">
        <f>IF(ROW()-ROW($R$1) &lt;= FILLME!$G$9, TRUE, FALSE)</f>
        <v>1</v>
      </c>
      <c r="S19" t="b">
        <f>IF(ROW()-ROW($S$1) &lt;= FILLME!$G$10, TRUE, FALSE)</f>
        <v>1</v>
      </c>
      <c r="T19" t="b">
        <f>IF(ROW()-ROW($T$1) &lt;= FILLME!$G$11, TRUE, FALSE)</f>
        <v>1</v>
      </c>
    </row>
    <row r="20" spans="1:20" x14ac:dyDescent="0.25">
      <c r="A20" s="7" t="str">
        <f>FILLME!$B$7</f>
        <v>ISCO</v>
      </c>
      <c r="B20" t="str">
        <f>IF(FILLME!$B$3 = "", "", FILLME!$B$3)</f>
        <v>WWS</v>
      </c>
      <c r="C20" t="str">
        <f>IF(FILLME!$B$4 = "", "", FILLME!$B$4)</f>
        <v>SSFLAT</v>
      </c>
      <c r="D20" s="7" t="str">
        <f ca="1">TEXT(FILLME!$B$6,"yyyymmdd")</f>
        <v>20260323</v>
      </c>
      <c r="E20" s="8">
        <v>0.83333333333333326</v>
      </c>
      <c r="F20" s="7">
        <f ca="1">IF(FILLME!$B$7="ISCO",FILLME!$B$6+FILLME!$B$11+(FILLME!$B$13*(G20-FILLME!$B$14)),FILLME!$B$6)</f>
        <v>46105.833333333336</v>
      </c>
      <c r="G20" s="2">
        <v>19</v>
      </c>
      <c r="H20" s="2">
        <v>19</v>
      </c>
      <c r="I20" s="2" t="str">
        <v>ALD</v>
      </c>
      <c r="J20" s="9" t="str">
        <f t="shared" si="0"/>
        <v>ALD_19</v>
      </c>
      <c r="K20" s="10" t="str">
        <f t="shared" ca="1" si="1"/>
        <v>SSFLAT_ALD_20260323_19</v>
      </c>
      <c r="L20" s="10" t="str">
        <f t="shared" ca="1" si="2"/>
        <v>SSFLAT_ALD_20260324_2000</v>
      </c>
      <c r="M20" t="b">
        <f>IF(ROW()-ROW($M$1) &lt;= FILLME!$G$4, TRUE, FALSE)</f>
        <v>1</v>
      </c>
      <c r="N20" t="b">
        <f>IF(ROW()-ROW($N$1) &lt;= FILLME!$G$5, TRUE, FALSE)</f>
        <v>0</v>
      </c>
      <c r="O20" t="b">
        <f>IF(ROW()-ROW($O$1) &lt;= FILLME!$G$7, TRUE, FALSE)</f>
        <v>0</v>
      </c>
      <c r="P20" t="b">
        <f>IF(ROW()-ROW($P$1) &lt;= FILLME!$G$6, TRUE, FALSE)</f>
        <v>0</v>
      </c>
      <c r="Q20" t="b">
        <f>IF(ROW()-ROW($Q$1) &lt;= FILLME!$G$8, TRUE, FALSE)</f>
        <v>1</v>
      </c>
      <c r="R20" t="b">
        <f>IF(ROW()-ROW($R$1) &lt;= FILLME!$G$9, TRUE, FALSE)</f>
        <v>1</v>
      </c>
      <c r="S20" t="b">
        <f>IF(ROW()-ROW($S$1) &lt;= FILLME!$G$10, TRUE, FALSE)</f>
        <v>1</v>
      </c>
      <c r="T20" t="b">
        <f>IF(ROW()-ROW($T$1) &lt;= FILLME!$G$11, TRUE, FALSE)</f>
        <v>1</v>
      </c>
    </row>
    <row r="21" spans="1:20" x14ac:dyDescent="0.25">
      <c r="A21" s="7" t="str">
        <f>FILLME!$B$7</f>
        <v>ISCO</v>
      </c>
      <c r="B21" t="str">
        <f>IF(FILLME!$B$3 = "", "", FILLME!$B$3)</f>
        <v>WWS</v>
      </c>
      <c r="C21" t="str">
        <f>IF(FILLME!$B$4 = "", "", FILLME!$B$4)</f>
        <v>SSFLAT</v>
      </c>
      <c r="D21" s="7" t="str">
        <f ca="1">TEXT(FILLME!$B$6,"yyyymmdd")</f>
        <v>20260323</v>
      </c>
      <c r="E21" s="8">
        <v>0.91666666666666674</v>
      </c>
      <c r="F21" s="7">
        <f ca="1">IF(FILLME!$B$7="ISCO",FILLME!$B$6+FILLME!$B$11+(FILLME!$B$13*(G21-FILLME!$B$14)),FILLME!$B$6)</f>
        <v>46105.916666666672</v>
      </c>
      <c r="G21" s="2">
        <v>20</v>
      </c>
      <c r="H21" s="2">
        <v>20</v>
      </c>
      <c r="I21" s="2" t="str">
        <v>ALD</v>
      </c>
      <c r="J21" s="9" t="str">
        <f t="shared" si="0"/>
        <v>ALD_20</v>
      </c>
      <c r="K21" s="10" t="str">
        <f t="shared" ca="1" si="1"/>
        <v>SSFLAT_ALD_20260323_20</v>
      </c>
      <c r="L21" s="10" t="str">
        <f t="shared" ca="1" si="2"/>
        <v>SSFLAT_ALD_20260324_2200</v>
      </c>
      <c r="M21" t="b">
        <f>IF(ROW()-ROW($M$1) &lt;= FILLME!$G$4, TRUE, FALSE)</f>
        <v>1</v>
      </c>
      <c r="N21" t="b">
        <f>IF(ROW()-ROW($N$1) &lt;= FILLME!$G$5, TRUE, FALSE)</f>
        <v>0</v>
      </c>
      <c r="O21" t="b">
        <f>IF(ROW()-ROW($O$1) &lt;= FILLME!$G$7, TRUE, FALSE)</f>
        <v>0</v>
      </c>
      <c r="P21" t="b">
        <f>IF(ROW()-ROW($P$1) &lt;= FILLME!$G$6, TRUE, FALSE)</f>
        <v>0</v>
      </c>
      <c r="Q21" t="b">
        <f>IF(ROW()-ROW($Q$1) &lt;= FILLME!$G$8, TRUE, FALSE)</f>
        <v>1</v>
      </c>
      <c r="R21" t="b">
        <f>IF(ROW()-ROW($R$1) &lt;= FILLME!$G$9, TRUE, FALSE)</f>
        <v>1</v>
      </c>
      <c r="S21" t="b">
        <f>IF(ROW()-ROW($S$1) &lt;= FILLME!$G$10, TRUE, FALSE)</f>
        <v>1</v>
      </c>
      <c r="T21" t="b">
        <f>IF(ROW()-ROW($T$1) &lt;= FILLME!$G$11, TRUE, FALSE)</f>
        <v>1</v>
      </c>
    </row>
    <row r="22" spans="1:20" x14ac:dyDescent="0.25">
      <c r="A22" s="7" t="str">
        <f>FILLME!$B$7</f>
        <v>ISCO</v>
      </c>
      <c r="B22" t="str">
        <f>IF(FILLME!$B$3 = "", "", FILLME!$B$3)</f>
        <v>WWS</v>
      </c>
      <c r="C22" t="str">
        <f>IF(FILLME!$B$4 = "", "", FILLME!$B$4)</f>
        <v>SSFLAT</v>
      </c>
      <c r="D22" s="7" t="str">
        <f ca="1">TEXT(FILLME!$B$6,"yyyymmdd")</f>
        <v>20260323</v>
      </c>
      <c r="E22" s="8">
        <v>0</v>
      </c>
      <c r="F22" s="7">
        <f ca="1">IF(FILLME!$B$7="ISCO",FILLME!$B$6+FILLME!$B$11+(FILLME!$B$13*(G22-FILLME!$B$14)),FILLME!$B$6)</f>
        <v>46106</v>
      </c>
      <c r="G22" s="2">
        <v>21</v>
      </c>
      <c r="H22" s="2">
        <v>21</v>
      </c>
      <c r="I22" s="2" t="str">
        <v>ALD</v>
      </c>
      <c r="J22" s="9" t="str">
        <f t="shared" si="0"/>
        <v>ALD_21</v>
      </c>
      <c r="K22" s="10" t="str">
        <f t="shared" ca="1" si="1"/>
        <v>SSFLAT_ALD_20260323_21</v>
      </c>
      <c r="L22" s="10" t="str">
        <f t="shared" ca="1" si="2"/>
        <v>SSFLAT_ALD_20260325_0000</v>
      </c>
      <c r="M22" t="b">
        <f>IF(ROW()-ROW($M$1) &lt;= FILLME!$G$4, TRUE, FALSE)</f>
        <v>1</v>
      </c>
      <c r="N22" t="b">
        <f>IF(ROW()-ROW($N$1) &lt;= FILLME!$G$5, TRUE, FALSE)</f>
        <v>0</v>
      </c>
      <c r="O22" t="b">
        <f>IF(ROW()-ROW($O$1) &lt;= FILLME!$G$7, TRUE, FALSE)</f>
        <v>0</v>
      </c>
      <c r="P22" t="b">
        <f>IF(ROW()-ROW($P$1) &lt;= FILLME!$G$6, TRUE, FALSE)</f>
        <v>0</v>
      </c>
      <c r="Q22" t="b">
        <f>IF(ROW()-ROW($Q$1) &lt;= FILLME!$G$8, TRUE, FALSE)</f>
        <v>1</v>
      </c>
      <c r="R22" t="b">
        <f>IF(ROW()-ROW($R$1) &lt;= FILLME!$G$9, TRUE, FALSE)</f>
        <v>1</v>
      </c>
      <c r="S22" t="b">
        <f>IF(ROW()-ROW($S$1) &lt;= FILLME!$G$10, TRUE, FALSE)</f>
        <v>1</v>
      </c>
      <c r="T22" t="b">
        <f>IF(ROW()-ROW($T$1) &lt;= FILLME!$G$11, TRUE, FALSE)</f>
        <v>1</v>
      </c>
    </row>
    <row r="23" spans="1:20" x14ac:dyDescent="0.25">
      <c r="A23" s="7" t="str">
        <f>FILLME!$B$7</f>
        <v>ISCO</v>
      </c>
      <c r="B23" t="str">
        <f>IF(FILLME!$B$3 = "", "", FILLME!$B$3)</f>
        <v>WWS</v>
      </c>
      <c r="C23" t="str">
        <f>IF(FILLME!$B$4 = "", "", FILLME!$B$4)</f>
        <v>SSFLAT</v>
      </c>
      <c r="D23" s="7" t="str">
        <f ca="1">TEXT(FILLME!$B$6,"yyyymmdd")</f>
        <v>20260323</v>
      </c>
      <c r="E23" s="8">
        <v>8.3333333333333481E-2</v>
      </c>
      <c r="F23" s="7">
        <f ca="1">IF(FILLME!$B$7="ISCO",FILLME!$B$6+FILLME!$B$11+(FILLME!$B$13*(G23-FILLME!$B$14)),FILLME!$B$6)</f>
        <v>46106.083333333336</v>
      </c>
      <c r="G23" s="2">
        <v>22</v>
      </c>
      <c r="H23" s="2">
        <v>22</v>
      </c>
      <c r="I23" s="2" t="str">
        <v>ALD</v>
      </c>
      <c r="J23" s="9" t="str">
        <f t="shared" si="0"/>
        <v>ALD_22</v>
      </c>
      <c r="K23" s="10" t="str">
        <f t="shared" ca="1" si="1"/>
        <v>SSFLAT_ALD_20260323_22</v>
      </c>
      <c r="L23" s="10" t="str">
        <f t="shared" ca="1" si="2"/>
        <v>SSFLAT_ALD_20260325_0200</v>
      </c>
      <c r="M23" t="b">
        <f>IF(ROW()-ROW($M$1) &lt;= FILLME!$G$4, TRUE, FALSE)</f>
        <v>1</v>
      </c>
      <c r="N23" t="b">
        <f>IF(ROW()-ROW($N$1) &lt;= FILLME!$G$5, TRUE, FALSE)</f>
        <v>0</v>
      </c>
      <c r="O23" t="b">
        <f>IF(ROW()-ROW($O$1) &lt;= FILLME!$G$7, TRUE, FALSE)</f>
        <v>0</v>
      </c>
      <c r="P23" t="b">
        <f>IF(ROW()-ROW($P$1) &lt;= FILLME!$G$6, TRUE, FALSE)</f>
        <v>0</v>
      </c>
      <c r="Q23" t="b">
        <f>IF(ROW()-ROW($Q$1) &lt;= FILLME!$G$8, TRUE, FALSE)</f>
        <v>1</v>
      </c>
      <c r="R23" t="b">
        <f>IF(ROW()-ROW($R$1) &lt;= FILLME!$G$9, TRUE, FALSE)</f>
        <v>1</v>
      </c>
      <c r="S23" t="b">
        <f>IF(ROW()-ROW($S$1) &lt;= FILLME!$G$10, TRUE, FALSE)</f>
        <v>1</v>
      </c>
      <c r="T23" t="b">
        <f>IF(ROW()-ROW($T$1) &lt;= FILLME!$G$11, TRUE, FALSE)</f>
        <v>1</v>
      </c>
    </row>
    <row r="24" spans="1:20" x14ac:dyDescent="0.25">
      <c r="A24" s="7" t="str">
        <f>FILLME!$B$7</f>
        <v>ISCO</v>
      </c>
      <c r="B24" t="str">
        <f>IF(FILLME!$B$3 = "", "", FILLME!$B$3)</f>
        <v>WWS</v>
      </c>
      <c r="C24" t="str">
        <f>IF(FILLME!$B$4 = "", "", FILLME!$B$4)</f>
        <v>SSFLAT</v>
      </c>
      <c r="D24" s="7" t="str">
        <f ca="1">TEXT(FILLME!$B$6,"yyyymmdd")</f>
        <v>20260323</v>
      </c>
      <c r="E24" s="8">
        <v>0.16666666666666652</v>
      </c>
      <c r="F24" s="7">
        <f ca="1">IF(FILLME!$B$7="ISCO",FILLME!$B$6+FILLME!$B$11+(FILLME!$B$13*(G24-FILLME!$B$14)),FILLME!$B$6)</f>
        <v>46106.166666666672</v>
      </c>
      <c r="G24" s="2">
        <v>23</v>
      </c>
      <c r="H24" s="2">
        <v>23</v>
      </c>
      <c r="I24" s="2" t="str">
        <v>ALD</v>
      </c>
      <c r="J24" s="9" t="str">
        <f t="shared" si="0"/>
        <v>ALD_23</v>
      </c>
      <c r="K24" s="10" t="str">
        <f t="shared" ca="1" si="1"/>
        <v>SSFLAT_ALD_20260323_23</v>
      </c>
      <c r="L24" s="10" t="str">
        <f t="shared" ca="1" si="2"/>
        <v>SSFLAT_ALD_20260325_0400</v>
      </c>
      <c r="M24" t="b">
        <f>IF(ROW()-ROW($M$1) &lt;= FILLME!$G$4, TRUE, FALSE)</f>
        <v>1</v>
      </c>
      <c r="N24" t="b">
        <f>IF(ROW()-ROW($N$1) &lt;= FILLME!$G$5, TRUE, FALSE)</f>
        <v>0</v>
      </c>
      <c r="O24" t="b">
        <f>IF(ROW()-ROW($O$1) &lt;= FILLME!$G$7, TRUE, FALSE)</f>
        <v>0</v>
      </c>
      <c r="P24" t="b">
        <f>IF(ROW()-ROW($P$1) &lt;= FILLME!$G$6, TRUE, FALSE)</f>
        <v>0</v>
      </c>
      <c r="Q24" t="b">
        <f>IF(ROW()-ROW($Q$1) &lt;= FILLME!$G$8, TRUE, FALSE)</f>
        <v>1</v>
      </c>
      <c r="R24" t="b">
        <f>IF(ROW()-ROW($R$1) &lt;= FILLME!$G$9, TRUE, FALSE)</f>
        <v>1</v>
      </c>
      <c r="S24" t="b">
        <f>IF(ROW()-ROW($S$1) &lt;= FILLME!$G$10, TRUE, FALSE)</f>
        <v>1</v>
      </c>
      <c r="T24" t="b">
        <f>IF(ROW()-ROW($T$1) &lt;= FILLME!$G$11, TRUE, FALSE)</f>
        <v>1</v>
      </c>
    </row>
    <row r="25" spans="1:20" x14ac:dyDescent="0.25">
      <c r="A25" s="7" t="str">
        <f>FILLME!$B$7</f>
        <v>ISCO</v>
      </c>
      <c r="B25" t="str">
        <f>IF(FILLME!$B$3 = "", "", FILLME!$B$3)</f>
        <v>WWS</v>
      </c>
      <c r="C25" t="str">
        <f>IF(FILLME!$B$4 = "", "", FILLME!$B$4)</f>
        <v>SSFLAT</v>
      </c>
      <c r="D25" s="7" t="str">
        <f ca="1">TEXT(FILLME!$B$6,"yyyymmdd")</f>
        <v>20260323</v>
      </c>
      <c r="E25" s="8">
        <v>0.25</v>
      </c>
      <c r="F25" s="7">
        <f ca="1">IF(FILLME!$B$7="ISCO",FILLME!$B$6+FILLME!$B$11+(FILLME!$B$13*(G25-FILLME!$B$14)),FILLME!$B$6)</f>
        <v>46106.25</v>
      </c>
      <c r="G25" s="2">
        <v>24</v>
      </c>
      <c r="H25" s="2">
        <v>24</v>
      </c>
      <c r="I25" s="2" t="str">
        <v>ALD</v>
      </c>
      <c r="J25" s="9" t="str">
        <f t="shared" si="0"/>
        <v>ALD_24</v>
      </c>
      <c r="K25" s="10" t="str">
        <f t="shared" ca="1" si="1"/>
        <v>SSFLAT_ALD_20260323_24</v>
      </c>
      <c r="L25" s="10" t="str">
        <f t="shared" ca="1" si="2"/>
        <v>SSFLAT_ALD_20260325_0600</v>
      </c>
      <c r="M25" t="b">
        <f>IF(ROW()-ROW($M$1) &lt;= FILLME!$G$4, TRUE, FALSE)</f>
        <v>1</v>
      </c>
      <c r="N25" t="b">
        <f>IF(ROW()-ROW($N$1) &lt;= FILLME!$G$5, TRUE, FALSE)</f>
        <v>0</v>
      </c>
      <c r="O25" t="b">
        <f>IF(ROW()-ROW($O$1) &lt;= FILLME!$G$7, TRUE, FALSE)</f>
        <v>0</v>
      </c>
      <c r="P25" t="b">
        <f>IF(ROW()-ROW($P$1) &lt;= FILLME!$G$6, TRUE, FALSE)</f>
        <v>0</v>
      </c>
      <c r="Q25" t="b">
        <f>IF(ROW()-ROW($Q$1) &lt;= FILLME!$G$8, TRUE, FALSE)</f>
        <v>1</v>
      </c>
      <c r="R25" t="b">
        <f>IF(ROW()-ROW($R$1) &lt;= FILLME!$G$9, TRUE, FALSE)</f>
        <v>1</v>
      </c>
      <c r="S25" t="b">
        <f>IF(ROW()-ROW($S$1) &lt;= FILLME!$G$10, TRUE, FALSE)</f>
        <v>1</v>
      </c>
      <c r="T25" t="b">
        <f>IF(ROW()-ROW($T$1) &lt;= FILLME!$G$11, TRUE, FALSE)</f>
        <v>1</v>
      </c>
    </row>
    <row r="26" spans="1:20" x14ac:dyDescent="0.25">
      <c r="A26" s="7" t="str">
        <f>FILLME!$B$7</f>
        <v>ISCO</v>
      </c>
      <c r="B26" t="str">
        <f>IF(FILLME!$B$3 = "", "", FILLME!$B$3)</f>
        <v>WWS</v>
      </c>
      <c r="C26" t="str">
        <f>IF(FILLME!$B$4 = "", "", FILLME!$B$4)</f>
        <v>SSFLAT</v>
      </c>
      <c r="D26" s="7" t="str">
        <f ca="1">TEXT(FILLME!$B$6,"yyyymmdd")</f>
        <v>20260323</v>
      </c>
      <c r="E26" s="8">
        <v>0.41666666666666669</v>
      </c>
      <c r="F26" s="7">
        <f ca="1">IF(FILLME!$B$7="ISCO",FILLME!$B$6+FILLME!$B$11+(FILLME!$B$13*(G26-FILLME!$B$14)),FILLME!$B$6)</f>
        <v>46104.333333333336</v>
      </c>
      <c r="G26" s="2">
        <v>1</v>
      </c>
      <c r="H26" s="2">
        <v>1</v>
      </c>
      <c r="I26" s="2" t="str">
        <v>CMP</v>
      </c>
      <c r="J26" s="9" t="str">
        <f t="shared" si="0"/>
        <v>CMP_01</v>
      </c>
      <c r="K26" s="10" t="str">
        <f t="shared" ca="1" si="1"/>
        <v>SSFLAT_CMP_20260323_01</v>
      </c>
      <c r="L26" s="10" t="str">
        <f t="shared" ca="1" si="2"/>
        <v>SSFLAT_CMP_20260323_1000</v>
      </c>
      <c r="M26" t="b">
        <f>IF(ROW()-ROW($M$1) &lt;= FILLME!$G$4, TRUE, FALSE)</f>
        <v>1</v>
      </c>
      <c r="N26" t="b">
        <f>IF(ROW()-ROW($N$1) &lt;= FILLME!$G$5, TRUE, FALSE)</f>
        <v>0</v>
      </c>
      <c r="O26" t="b">
        <f>IF(ROW()-ROW($O$1) &lt;= FILLME!$G$7, TRUE, FALSE)</f>
        <v>0</v>
      </c>
      <c r="P26" t="b">
        <f>IF(ROW()-ROW($P$1) &lt;= FILLME!$G$6, TRUE, FALSE)</f>
        <v>0</v>
      </c>
      <c r="Q26" t="b">
        <f>IF(ROW()-ROW($Q$1) &lt;= FILLME!$G$8, TRUE, FALSE)</f>
        <v>1</v>
      </c>
      <c r="R26" t="b">
        <f>IF(ROW()-ROW($R$1) &lt;= FILLME!$G$9, TRUE, FALSE)</f>
        <v>1</v>
      </c>
      <c r="S26" t="b">
        <f>IF(ROW()-ROW($S$1) &lt;= FILLME!$G$10, TRUE, FALSE)</f>
        <v>1</v>
      </c>
      <c r="T26" t="b">
        <f>IF(ROW()-ROW($T$1) &lt;= FILLME!$G$11, TRUE, FALSE)</f>
        <v>1</v>
      </c>
    </row>
    <row r="27" spans="1:20" x14ac:dyDescent="0.25">
      <c r="A27" s="7" t="str">
        <f>FILLME!$B$7</f>
        <v>ISCO</v>
      </c>
      <c r="B27" t="str">
        <f>IF(FILLME!$B$3 = "", "", FILLME!$B$3)</f>
        <v>WWS</v>
      </c>
      <c r="C27" t="str">
        <f>IF(FILLME!$B$4 = "", "", FILLME!$B$4)</f>
        <v>SSFLAT</v>
      </c>
      <c r="D27" s="7" t="str">
        <f ca="1">TEXT(FILLME!$B$6,"yyyymmdd")</f>
        <v>20260323</v>
      </c>
      <c r="E27" s="8">
        <v>0.5</v>
      </c>
      <c r="F27" s="7">
        <f ca="1">IF(FILLME!$B$7="ISCO",FILLME!$B$6+FILLME!$B$11+(FILLME!$B$13*(G27-FILLME!$B$14)),FILLME!$B$6)</f>
        <v>46104.416666666672</v>
      </c>
      <c r="G27" s="2">
        <v>2</v>
      </c>
      <c r="H27" s="2">
        <v>2</v>
      </c>
      <c r="I27" s="2" t="str">
        <v>CMP</v>
      </c>
      <c r="J27" s="9" t="str">
        <f t="shared" si="0"/>
        <v>CMP_02</v>
      </c>
      <c r="K27" s="10" t="str">
        <f t="shared" ca="1" si="1"/>
        <v>SSFLAT_CMP_20260323_02</v>
      </c>
      <c r="L27" s="10" t="str">
        <f t="shared" ca="1" si="2"/>
        <v>SSFLAT_CMP_20260323_1200</v>
      </c>
      <c r="M27" t="b">
        <f>IF(ROW()-ROW($M$1) &lt;= FILLME!$G$4, TRUE, FALSE)</f>
        <v>1</v>
      </c>
      <c r="N27" t="b">
        <f>IF(ROW()-ROW($N$1) &lt;= FILLME!$G$5, TRUE, FALSE)</f>
        <v>0</v>
      </c>
      <c r="O27" t="b">
        <f>IF(ROW()-ROW($O$1) &lt;= FILLME!$G$7, TRUE, FALSE)</f>
        <v>0</v>
      </c>
      <c r="P27" t="b">
        <f>IF(ROW()-ROW($P$1) &lt;= FILLME!$G$6, TRUE, FALSE)</f>
        <v>0</v>
      </c>
      <c r="Q27" t="b">
        <f>IF(ROW()-ROW($Q$1) &lt;= FILLME!$G$8, TRUE, FALSE)</f>
        <v>1</v>
      </c>
      <c r="R27" t="b">
        <f>IF(ROW()-ROW($R$1) &lt;= FILLME!$G$9, TRUE, FALSE)</f>
        <v>1</v>
      </c>
      <c r="S27" t="b">
        <f>IF(ROW()-ROW($S$1) &lt;= FILLME!$G$10, TRUE, FALSE)</f>
        <v>1</v>
      </c>
      <c r="T27" t="b">
        <f>IF(ROW()-ROW($T$1) &lt;= FILLME!$G$11, TRUE, FALSE)</f>
        <v>1</v>
      </c>
    </row>
    <row r="28" spans="1:20" x14ac:dyDescent="0.25">
      <c r="A28" s="7" t="str">
        <f>FILLME!$B$7</f>
        <v>ISCO</v>
      </c>
      <c r="B28" t="str">
        <f>IF(FILLME!$B$3 = "", "", FILLME!$B$3)</f>
        <v>WWS</v>
      </c>
      <c r="C28" t="str">
        <f>IF(FILLME!$B$4 = "", "", FILLME!$B$4)</f>
        <v>SSFLAT</v>
      </c>
      <c r="D28" s="7" t="str">
        <f ca="1">TEXT(FILLME!$B$6,"yyyymmdd")</f>
        <v>20260323</v>
      </c>
      <c r="E28" s="8">
        <v>0.58333333333333337</v>
      </c>
      <c r="F28" s="7">
        <f ca="1">IF(FILLME!$B$7="ISCO",FILLME!$B$6+FILLME!$B$11+(FILLME!$B$13*(G28-FILLME!$B$14)),FILLME!$B$6)</f>
        <v>46104.5</v>
      </c>
      <c r="G28" s="2">
        <v>3</v>
      </c>
      <c r="H28" s="2">
        <v>3</v>
      </c>
      <c r="I28" s="2" t="str">
        <v>CMP</v>
      </c>
      <c r="J28" s="9" t="str">
        <f t="shared" si="0"/>
        <v>CMP_03</v>
      </c>
      <c r="K28" s="10" t="str">
        <f t="shared" ca="1" si="1"/>
        <v>SSFLAT_CMP_20260323_03</v>
      </c>
      <c r="L28" s="10" t="str">
        <f t="shared" ca="1" si="2"/>
        <v>SSFLAT_CMP_20260323_1400</v>
      </c>
      <c r="M28" t="b">
        <f>IF(ROW()-ROW($M$1) &lt;= FILLME!$G$4, TRUE, FALSE)</f>
        <v>1</v>
      </c>
      <c r="N28" t="b">
        <f>IF(ROW()-ROW($N$1) &lt;= FILLME!$G$5, TRUE, FALSE)</f>
        <v>0</v>
      </c>
      <c r="O28" t="b">
        <f>IF(ROW()-ROW($O$1) &lt;= FILLME!$G$7, TRUE, FALSE)</f>
        <v>0</v>
      </c>
      <c r="P28" t="b">
        <f>IF(ROW()-ROW($P$1) &lt;= FILLME!$G$6, TRUE, FALSE)</f>
        <v>0</v>
      </c>
      <c r="Q28" t="b">
        <f>IF(ROW()-ROW($Q$1) &lt;= FILLME!$G$8, TRUE, FALSE)</f>
        <v>1</v>
      </c>
      <c r="R28" t="b">
        <f>IF(ROW()-ROW($R$1) &lt;= FILLME!$G$9, TRUE, FALSE)</f>
        <v>1</v>
      </c>
      <c r="S28" t="b">
        <f>IF(ROW()-ROW($S$1) &lt;= FILLME!$G$10, TRUE, FALSE)</f>
        <v>1</v>
      </c>
      <c r="T28" t="b">
        <f>IF(ROW()-ROW($T$1) &lt;= FILLME!$G$11, TRUE, FALSE)</f>
        <v>1</v>
      </c>
    </row>
    <row r="29" spans="1:20" x14ac:dyDescent="0.25">
      <c r="A29" s="7" t="str">
        <f>FILLME!$B$7</f>
        <v>ISCO</v>
      </c>
      <c r="B29" t="str">
        <f>IF(FILLME!$B$3 = "", "", FILLME!$B$3)</f>
        <v>WWS</v>
      </c>
      <c r="C29" t="str">
        <f>IF(FILLME!$B$4 = "", "", FILLME!$B$4)</f>
        <v>SSFLAT</v>
      </c>
      <c r="D29" s="7" t="str">
        <f ca="1">TEXT(FILLME!$B$6,"yyyymmdd")</f>
        <v>20260323</v>
      </c>
      <c r="E29" s="8">
        <v>0.66666666666666663</v>
      </c>
      <c r="F29" s="7">
        <f ca="1">IF(FILLME!$B$7="ISCO",FILLME!$B$6+FILLME!$B$11+(FILLME!$B$13*(G29-FILLME!$B$14)),FILLME!$B$6)</f>
        <v>46104.583333333336</v>
      </c>
      <c r="G29" s="2">
        <v>4</v>
      </c>
      <c r="H29" s="2">
        <v>4</v>
      </c>
      <c r="I29" s="2" t="str">
        <v>CMP</v>
      </c>
      <c r="J29" s="9" t="str">
        <f t="shared" si="0"/>
        <v>CMP_04</v>
      </c>
      <c r="K29" s="10" t="str">
        <f t="shared" ca="1" si="1"/>
        <v>SSFLAT_CMP_20260323_04</v>
      </c>
      <c r="L29" s="10" t="str">
        <f t="shared" ca="1" si="2"/>
        <v>SSFLAT_CMP_20260323_1600</v>
      </c>
      <c r="M29" t="b">
        <f>IF(ROW()-ROW($M$1) &lt;= FILLME!$G$4, TRUE, FALSE)</f>
        <v>1</v>
      </c>
      <c r="N29" t="b">
        <f>IF(ROW()-ROW($N$1) &lt;= FILLME!$G$5, TRUE, FALSE)</f>
        <v>0</v>
      </c>
      <c r="O29" t="b">
        <f>IF(ROW()-ROW($O$1) &lt;= FILLME!$G$7, TRUE, FALSE)</f>
        <v>0</v>
      </c>
      <c r="P29" t="b">
        <f>IF(ROW()-ROW($P$1) &lt;= FILLME!$G$6, TRUE, FALSE)</f>
        <v>0</v>
      </c>
      <c r="Q29" t="b">
        <f>IF(ROW()-ROW($Q$1) &lt;= FILLME!$G$8, TRUE, FALSE)</f>
        <v>1</v>
      </c>
      <c r="R29" t="b">
        <f>IF(ROW()-ROW($R$1) &lt;= FILLME!$G$9, TRUE, FALSE)</f>
        <v>1</v>
      </c>
      <c r="S29" t="b">
        <f>IF(ROW()-ROW($S$1) &lt;= FILLME!$G$10, TRUE, FALSE)</f>
        <v>1</v>
      </c>
      <c r="T29" t="b">
        <f>IF(ROW()-ROW($T$1) &lt;= FILLME!$G$11, TRUE, FALSE)</f>
        <v>1</v>
      </c>
    </row>
    <row r="30" spans="1:20" x14ac:dyDescent="0.25">
      <c r="A30" s="7" t="str">
        <f>FILLME!$B$7</f>
        <v>ISCO</v>
      </c>
      <c r="B30" t="str">
        <f>IF(FILLME!$B$3 = "", "", FILLME!$B$3)</f>
        <v>WWS</v>
      </c>
      <c r="C30" t="str">
        <f>IF(FILLME!$B$4 = "", "", FILLME!$B$4)</f>
        <v>SSFLAT</v>
      </c>
      <c r="D30" s="7" t="str">
        <f ca="1">TEXT(FILLME!$B$6,"yyyymmdd")</f>
        <v>20260323</v>
      </c>
      <c r="E30" s="8">
        <v>0.75</v>
      </c>
      <c r="F30" s="7">
        <f ca="1">IF(FILLME!$B$7="ISCO",FILLME!$B$6+FILLME!$B$11+(FILLME!$B$13*(G30-FILLME!$B$14)),FILLME!$B$6)</f>
        <v>46104.666666666672</v>
      </c>
      <c r="G30" s="2">
        <v>5</v>
      </c>
      <c r="H30" s="2">
        <v>5</v>
      </c>
      <c r="I30" s="2" t="str">
        <v>CMP</v>
      </c>
      <c r="J30" s="9" t="str">
        <f t="shared" si="0"/>
        <v>CMP_05</v>
      </c>
      <c r="K30" s="10" t="str">
        <f t="shared" ca="1" si="1"/>
        <v>SSFLAT_CMP_20260323_05</v>
      </c>
      <c r="L30" s="10" t="str">
        <f t="shared" ca="1" si="2"/>
        <v>SSFLAT_CMP_20260323_1800</v>
      </c>
      <c r="M30" t="b">
        <f>IF(ROW()-ROW($M$1) &lt;= FILLME!$G$4, TRUE, FALSE)</f>
        <v>1</v>
      </c>
      <c r="N30" t="b">
        <f>IF(ROW()-ROW($N$1) &lt;= FILLME!$G$5, TRUE, FALSE)</f>
        <v>0</v>
      </c>
      <c r="O30" t="b">
        <f>IF(ROW()-ROW($O$1) &lt;= FILLME!$G$7, TRUE, FALSE)</f>
        <v>0</v>
      </c>
      <c r="P30" t="b">
        <f>IF(ROW()-ROW($P$1) &lt;= FILLME!$G$6, TRUE, FALSE)</f>
        <v>0</v>
      </c>
      <c r="Q30" t="b">
        <f>IF(ROW()-ROW($Q$1) &lt;= FILLME!$G$8, TRUE, FALSE)</f>
        <v>1</v>
      </c>
      <c r="R30" t="b">
        <f>IF(ROW()-ROW($R$1) &lt;= FILLME!$G$9, TRUE, FALSE)</f>
        <v>1</v>
      </c>
      <c r="S30" t="b">
        <f>IF(ROW()-ROW($S$1) &lt;= FILLME!$G$10, TRUE, FALSE)</f>
        <v>1</v>
      </c>
      <c r="T30" t="b">
        <f>IF(ROW()-ROW($T$1) &lt;= FILLME!$G$11, TRUE, FALSE)</f>
        <v>1</v>
      </c>
    </row>
    <row r="31" spans="1:20" x14ac:dyDescent="0.25">
      <c r="A31" s="7" t="str">
        <f>FILLME!$B$7</f>
        <v>ISCO</v>
      </c>
      <c r="B31" t="str">
        <f>IF(FILLME!$B$3 = "", "", FILLME!$B$3)</f>
        <v>WWS</v>
      </c>
      <c r="C31" t="str">
        <f>IF(FILLME!$B$4 = "", "", FILLME!$B$4)</f>
        <v>SSFLAT</v>
      </c>
      <c r="D31" s="7" t="str">
        <f ca="1">TEXT(FILLME!$B$6,"yyyymmdd")</f>
        <v>20260323</v>
      </c>
      <c r="E31" s="8">
        <v>0.83333333333333337</v>
      </c>
      <c r="F31" s="7">
        <f ca="1">IF(FILLME!$B$7="ISCO",FILLME!$B$6+FILLME!$B$11+(FILLME!$B$13*(G31-FILLME!$B$14)),FILLME!$B$6)</f>
        <v>46104.75</v>
      </c>
      <c r="G31" s="2">
        <v>6</v>
      </c>
      <c r="H31" s="2">
        <v>6</v>
      </c>
      <c r="I31" s="2" t="str">
        <v>CMP</v>
      </c>
      <c r="J31" s="9" t="str">
        <f t="shared" si="0"/>
        <v>CMP_06</v>
      </c>
      <c r="K31" s="10" t="str">
        <f t="shared" ca="1" si="1"/>
        <v>SSFLAT_CMP_20260323_06</v>
      </c>
      <c r="L31" s="10" t="str">
        <f t="shared" ca="1" si="2"/>
        <v>SSFLAT_CMP_20260323_2000</v>
      </c>
      <c r="M31" t="b">
        <f>IF(ROW()-ROW($M$1) &lt;= FILLME!$G$4, TRUE, FALSE)</f>
        <v>1</v>
      </c>
      <c r="N31" t="b">
        <f>IF(ROW()-ROW($N$1) &lt;= FILLME!$G$5, TRUE, FALSE)</f>
        <v>0</v>
      </c>
      <c r="O31" t="b">
        <f>IF(ROW()-ROW($O$1) &lt;= FILLME!$G$7, TRUE, FALSE)</f>
        <v>0</v>
      </c>
      <c r="P31" t="b">
        <f>IF(ROW()-ROW($P$1) &lt;= FILLME!$G$6, TRUE, FALSE)</f>
        <v>0</v>
      </c>
      <c r="Q31" t="b">
        <f>IF(ROW()-ROW($Q$1) &lt;= FILLME!$G$8, TRUE, FALSE)</f>
        <v>1</v>
      </c>
      <c r="R31" t="b">
        <f>IF(ROW()-ROW($R$1) &lt;= FILLME!$G$9, TRUE, FALSE)</f>
        <v>1</v>
      </c>
      <c r="S31" t="b">
        <f>IF(ROW()-ROW($S$1) &lt;= FILLME!$G$10, TRUE, FALSE)</f>
        <v>1</v>
      </c>
      <c r="T31" t="b">
        <f>IF(ROW()-ROW($T$1) &lt;= FILLME!$G$11, TRUE, FALSE)</f>
        <v>1</v>
      </c>
    </row>
    <row r="32" spans="1:20" x14ac:dyDescent="0.25">
      <c r="A32" s="7" t="str">
        <f>FILLME!$B$7</f>
        <v>ISCO</v>
      </c>
      <c r="B32" t="str">
        <f>IF(FILLME!$B$3 = "", "", FILLME!$B$3)</f>
        <v>WWS</v>
      </c>
      <c r="C32" t="str">
        <f>IF(FILLME!$B$4 = "", "", FILLME!$B$4)</f>
        <v>SSFLAT</v>
      </c>
      <c r="D32" s="7" t="str">
        <f ca="1">TEXT(FILLME!$B$6,"yyyymmdd")</f>
        <v>20260323</v>
      </c>
      <c r="E32" s="8">
        <v>0.91666666666666663</v>
      </c>
      <c r="F32" s="7">
        <f ca="1">IF(FILLME!$B$7="ISCO",FILLME!$B$6+FILLME!$B$11+(FILLME!$B$13*(G32-FILLME!$B$14)),FILLME!$B$6)</f>
        <v>46104.833333333336</v>
      </c>
      <c r="G32" s="2">
        <v>7</v>
      </c>
      <c r="H32" s="2">
        <v>7</v>
      </c>
      <c r="I32" s="2" t="str">
        <v>CMP</v>
      </c>
      <c r="J32" s="9" t="str">
        <f t="shared" si="0"/>
        <v>CMP_07</v>
      </c>
      <c r="K32" s="10" t="str">
        <f t="shared" ca="1" si="1"/>
        <v>SSFLAT_CMP_20260323_07</v>
      </c>
      <c r="L32" s="10" t="str">
        <f t="shared" ca="1" si="2"/>
        <v>SSFLAT_CMP_20260323_2200</v>
      </c>
      <c r="M32" t="b">
        <f>IF(ROW()-ROW($M$1) &lt;= FILLME!$G$4, TRUE, FALSE)</f>
        <v>1</v>
      </c>
      <c r="N32" t="b">
        <f>IF(ROW()-ROW($N$1) &lt;= FILLME!$G$5, TRUE, FALSE)</f>
        <v>0</v>
      </c>
      <c r="O32" t="b">
        <f>IF(ROW()-ROW($O$1) &lt;= FILLME!$G$7, TRUE, FALSE)</f>
        <v>0</v>
      </c>
      <c r="P32" t="b">
        <f>IF(ROW()-ROW($P$1) &lt;= FILLME!$G$6, TRUE, FALSE)</f>
        <v>0</v>
      </c>
      <c r="Q32" t="b">
        <f>IF(ROW()-ROW($Q$1) &lt;= FILLME!$G$8, TRUE, FALSE)</f>
        <v>1</v>
      </c>
      <c r="R32" t="b">
        <f>IF(ROW()-ROW($R$1) &lt;= FILLME!$G$9, TRUE, FALSE)</f>
        <v>1</v>
      </c>
      <c r="S32" t="b">
        <f>IF(ROW()-ROW($S$1) &lt;= FILLME!$G$10, TRUE, FALSE)</f>
        <v>1</v>
      </c>
      <c r="T32" t="b">
        <f>IF(ROW()-ROW($T$1) &lt;= FILLME!$G$11, TRUE, FALSE)</f>
        <v>1</v>
      </c>
    </row>
    <row r="33" spans="1:20" x14ac:dyDescent="0.25">
      <c r="A33" s="7" t="str">
        <f>FILLME!$B$7</f>
        <v>ISCO</v>
      </c>
      <c r="B33" t="str">
        <f>IF(FILLME!$B$3 = "", "", FILLME!$B$3)</f>
        <v>WWS</v>
      </c>
      <c r="C33" t="str">
        <f>IF(FILLME!$B$4 = "", "", FILLME!$B$4)</f>
        <v>SSFLAT</v>
      </c>
      <c r="D33" s="7" t="str">
        <f ca="1">TEXT(FILLME!$B$6,"yyyymmdd")</f>
        <v>20260323</v>
      </c>
      <c r="E33" s="8">
        <v>0</v>
      </c>
      <c r="F33" s="7">
        <f ca="1">IF(FILLME!$B$7="ISCO",FILLME!$B$6+FILLME!$B$11+(FILLME!$B$13*(G33-FILLME!$B$14)),FILLME!$B$6)</f>
        <v>46104.916666666672</v>
      </c>
      <c r="G33" s="2">
        <v>8</v>
      </c>
      <c r="H33" s="2">
        <v>8</v>
      </c>
      <c r="I33" s="2" t="str">
        <v>CMP</v>
      </c>
      <c r="J33" s="9" t="str">
        <f t="shared" si="0"/>
        <v>CMP_08</v>
      </c>
      <c r="K33" s="10" t="str">
        <f t="shared" ca="1" si="1"/>
        <v>SSFLAT_CMP_20260323_08</v>
      </c>
      <c r="L33" s="10" t="str">
        <f t="shared" ca="1" si="2"/>
        <v>SSFLAT_CMP_20260323_0000</v>
      </c>
      <c r="M33" t="b">
        <f>IF(ROW()-ROW($M$1) &lt;= FILLME!$G$4, TRUE, FALSE)</f>
        <v>1</v>
      </c>
      <c r="N33" t="b">
        <f>IF(ROW()-ROW($N$1) &lt;= FILLME!$G$5, TRUE, FALSE)</f>
        <v>0</v>
      </c>
      <c r="O33" t="b">
        <f>IF(ROW()-ROW($O$1) &lt;= FILLME!$G$7, TRUE, FALSE)</f>
        <v>0</v>
      </c>
      <c r="P33" t="b">
        <f>IF(ROW()-ROW($P$1) &lt;= FILLME!$G$6, TRUE, FALSE)</f>
        <v>0</v>
      </c>
      <c r="Q33" t="b">
        <f>IF(ROW()-ROW($Q$1) &lt;= FILLME!$G$8, TRUE, FALSE)</f>
        <v>1</v>
      </c>
      <c r="R33" t="b">
        <f>IF(ROW()-ROW($R$1) &lt;= FILLME!$G$9, TRUE, FALSE)</f>
        <v>1</v>
      </c>
      <c r="S33" t="b">
        <f>IF(ROW()-ROW($S$1) &lt;= FILLME!$G$10, TRUE, FALSE)</f>
        <v>1</v>
      </c>
      <c r="T33" t="b">
        <f>IF(ROW()-ROW($T$1) &lt;= FILLME!$G$11, TRUE, FALSE)</f>
        <v>1</v>
      </c>
    </row>
    <row r="34" spans="1:20" x14ac:dyDescent="0.25">
      <c r="A34" s="7" t="str">
        <f>FILLME!$B$7</f>
        <v>ISCO</v>
      </c>
      <c r="B34" t="str">
        <f>IF(FILLME!$B$3 = "", "", FILLME!$B$3)</f>
        <v>WWS</v>
      </c>
      <c r="C34" t="str">
        <f>IF(FILLME!$B$4 = "", "", FILLME!$B$4)</f>
        <v>SSFLAT</v>
      </c>
      <c r="D34" s="7" t="str">
        <f ca="1">TEXT(FILLME!$B$6,"yyyymmdd")</f>
        <v>20260323</v>
      </c>
      <c r="E34" s="8">
        <v>8.3333333333333259E-2</v>
      </c>
      <c r="F34" s="7">
        <f ca="1">IF(FILLME!$B$7="ISCO",FILLME!$B$6+FILLME!$B$11+(FILLME!$B$13*(G34-FILLME!$B$14)),FILLME!$B$6)</f>
        <v>46105</v>
      </c>
      <c r="G34" s="2">
        <v>9</v>
      </c>
      <c r="H34" s="2">
        <v>9</v>
      </c>
      <c r="I34" s="2" t="str">
        <v>CMP</v>
      </c>
      <c r="J34" s="9" t="str">
        <f t="shared" si="0"/>
        <v>CMP_09</v>
      </c>
      <c r="K34" s="10" t="str">
        <f t="shared" ca="1" si="1"/>
        <v>SSFLAT_CMP_20260323_09</v>
      </c>
      <c r="L34" s="10" t="str">
        <f t="shared" ca="1" si="2"/>
        <v>SSFLAT_CMP_20260324_0200</v>
      </c>
      <c r="M34" t="b">
        <f>IF(ROW()-ROW($M$1) &lt;= FILLME!$G$4, TRUE, FALSE)</f>
        <v>1</v>
      </c>
      <c r="N34" t="b">
        <f>IF(ROW()-ROW($N$1) &lt;= FILLME!$G$5, TRUE, FALSE)</f>
        <v>0</v>
      </c>
      <c r="O34" t="b">
        <f>IF(ROW()-ROW($O$1) &lt;= FILLME!$G$7, TRUE, FALSE)</f>
        <v>0</v>
      </c>
      <c r="P34" t="b">
        <f>IF(ROW()-ROW($P$1) &lt;= FILLME!$G$6, TRUE, FALSE)</f>
        <v>0</v>
      </c>
      <c r="Q34" t="b">
        <f>IF(ROW()-ROW($Q$1) &lt;= FILLME!$G$8, TRUE, FALSE)</f>
        <v>1</v>
      </c>
      <c r="R34" t="b">
        <f>IF(ROW()-ROW($R$1) &lt;= FILLME!$G$9, TRUE, FALSE)</f>
        <v>1</v>
      </c>
      <c r="S34" t="b">
        <f>IF(ROW()-ROW($S$1) &lt;= FILLME!$G$10, TRUE, FALSE)</f>
        <v>1</v>
      </c>
      <c r="T34" t="b">
        <f>IF(ROW()-ROW($T$1) &lt;= FILLME!$G$11, TRUE, FALSE)</f>
        <v>1</v>
      </c>
    </row>
    <row r="35" spans="1:20" x14ac:dyDescent="0.25">
      <c r="A35" s="7" t="str">
        <f>FILLME!$B$7</f>
        <v>ISCO</v>
      </c>
      <c r="B35" t="str">
        <f>IF(FILLME!$B$3 = "", "", FILLME!$B$3)</f>
        <v>WWS</v>
      </c>
      <c r="C35" t="str">
        <f>IF(FILLME!$B$4 = "", "", FILLME!$B$4)</f>
        <v>SSFLAT</v>
      </c>
      <c r="D35" s="7" t="str">
        <f ca="1">TEXT(FILLME!$B$6,"yyyymmdd")</f>
        <v>20260323</v>
      </c>
      <c r="E35" s="8">
        <v>0.16666666666666674</v>
      </c>
      <c r="F35" s="7">
        <f ca="1">IF(FILLME!$B$7="ISCO",FILLME!$B$6+FILLME!$B$11+(FILLME!$B$13*(G35-FILLME!$B$14)),FILLME!$B$6)</f>
        <v>46105.083333333336</v>
      </c>
      <c r="G35" s="2">
        <v>10</v>
      </c>
      <c r="H35" s="2">
        <v>10</v>
      </c>
      <c r="I35" s="2" t="str">
        <v>CMP</v>
      </c>
      <c r="J35" s="9" t="str">
        <f t="shared" si="0"/>
        <v>CMP_10</v>
      </c>
      <c r="K35" s="10" t="str">
        <f t="shared" ca="1" si="1"/>
        <v>SSFLAT_CMP_20260323_10</v>
      </c>
      <c r="L35" s="10" t="str">
        <f t="shared" ca="1" si="2"/>
        <v>SSFLAT_CMP_20260324_0400</v>
      </c>
      <c r="M35" t="b">
        <f>IF(ROW()-ROW($M$1) &lt;= FILLME!$G$4, TRUE, FALSE)</f>
        <v>1</v>
      </c>
      <c r="N35" t="b">
        <f>IF(ROW()-ROW($N$1) &lt;= FILLME!$G$5, TRUE, FALSE)</f>
        <v>0</v>
      </c>
      <c r="O35" t="b">
        <f>IF(ROW()-ROW($O$1) &lt;= FILLME!$G$7, TRUE, FALSE)</f>
        <v>0</v>
      </c>
      <c r="P35" t="b">
        <f>IF(ROW()-ROW($P$1) &lt;= FILLME!$G$6, TRUE, FALSE)</f>
        <v>0</v>
      </c>
      <c r="Q35" t="b">
        <f>IF(ROW()-ROW($Q$1) &lt;= FILLME!$G$8, TRUE, FALSE)</f>
        <v>1</v>
      </c>
      <c r="R35" t="b">
        <f>IF(ROW()-ROW($R$1) &lt;= FILLME!$G$9, TRUE, FALSE)</f>
        <v>1</v>
      </c>
      <c r="S35" t="b">
        <f>IF(ROW()-ROW($S$1) &lt;= FILLME!$G$10, TRUE, FALSE)</f>
        <v>1</v>
      </c>
      <c r="T35" t="b">
        <f>IF(ROW()-ROW($T$1) &lt;= FILLME!$G$11, TRUE, FALSE)</f>
        <v>1</v>
      </c>
    </row>
    <row r="36" spans="1:20" x14ac:dyDescent="0.25">
      <c r="A36" s="7" t="str">
        <f>FILLME!$B$7</f>
        <v>ISCO</v>
      </c>
      <c r="B36" t="str">
        <f>IF(FILLME!$B$3 = "", "", FILLME!$B$3)</f>
        <v>WWS</v>
      </c>
      <c r="C36" t="str">
        <f>IF(FILLME!$B$4 = "", "", FILLME!$B$4)</f>
        <v>SSFLAT</v>
      </c>
      <c r="D36" s="7" t="str">
        <f ca="1">TEXT(FILLME!$B$6,"yyyymmdd")</f>
        <v>20260323</v>
      </c>
      <c r="E36" s="8">
        <v>0.25</v>
      </c>
      <c r="F36" s="7">
        <f ca="1">IF(FILLME!$B$7="ISCO",FILLME!$B$6+FILLME!$B$11+(FILLME!$B$13*(G36-FILLME!$B$14)),FILLME!$B$6)</f>
        <v>46105.166666666672</v>
      </c>
      <c r="G36" s="2">
        <v>11</v>
      </c>
      <c r="H36" s="2">
        <v>11</v>
      </c>
      <c r="I36" s="2" t="str">
        <v>CMP</v>
      </c>
      <c r="J36" s="9" t="str">
        <f t="shared" si="0"/>
        <v>CMP_11</v>
      </c>
      <c r="K36" s="10" t="str">
        <f t="shared" ca="1" si="1"/>
        <v>SSFLAT_CMP_20260323_11</v>
      </c>
      <c r="L36" s="10" t="str">
        <f t="shared" ca="1" si="2"/>
        <v>SSFLAT_CMP_20260324_0600</v>
      </c>
      <c r="M36" t="b">
        <f>IF(ROW()-ROW($M$1) &lt;= FILLME!$G$4, TRUE, FALSE)</f>
        <v>1</v>
      </c>
      <c r="N36" t="b">
        <f>IF(ROW()-ROW($N$1) &lt;= FILLME!$G$5, TRUE, FALSE)</f>
        <v>0</v>
      </c>
      <c r="O36" t="b">
        <f>IF(ROW()-ROW($O$1) &lt;= FILLME!$G$7, TRUE, FALSE)</f>
        <v>0</v>
      </c>
      <c r="P36" t="b">
        <f>IF(ROW()-ROW($P$1) &lt;= FILLME!$G$6, TRUE, FALSE)</f>
        <v>0</v>
      </c>
      <c r="Q36" t="b">
        <f>IF(ROW()-ROW($Q$1) &lt;= FILLME!$G$8, TRUE, FALSE)</f>
        <v>1</v>
      </c>
      <c r="R36" t="b">
        <f>IF(ROW()-ROW($R$1) &lt;= FILLME!$G$9, TRUE, FALSE)</f>
        <v>1</v>
      </c>
      <c r="S36" t="b">
        <f>IF(ROW()-ROW($S$1) &lt;= FILLME!$G$10, TRUE, FALSE)</f>
        <v>1</v>
      </c>
      <c r="T36" t="b">
        <f>IF(ROW()-ROW($T$1) &lt;= FILLME!$G$11, TRUE, FALSE)</f>
        <v>1</v>
      </c>
    </row>
    <row r="37" spans="1:20" x14ac:dyDescent="0.25">
      <c r="A37" s="7" t="str">
        <f>FILLME!$B$7</f>
        <v>ISCO</v>
      </c>
      <c r="B37" t="str">
        <f>IF(FILLME!$B$3 = "", "", FILLME!$B$3)</f>
        <v>WWS</v>
      </c>
      <c r="C37" t="str">
        <f>IF(FILLME!$B$4 = "", "", FILLME!$B$4)</f>
        <v>SSFLAT</v>
      </c>
      <c r="D37" s="7" t="str">
        <f ca="1">TEXT(FILLME!$B$6,"yyyymmdd")</f>
        <v>20260323</v>
      </c>
      <c r="E37" s="8">
        <v>0.33333333333333326</v>
      </c>
      <c r="F37" s="7">
        <f ca="1">IF(FILLME!$B$7="ISCO",FILLME!$B$6+FILLME!$B$11+(FILLME!$B$13*(G37-FILLME!$B$14)),FILLME!$B$6)</f>
        <v>46105.25</v>
      </c>
      <c r="G37" s="2">
        <v>12</v>
      </c>
      <c r="H37" s="2">
        <v>12</v>
      </c>
      <c r="I37" s="2" t="str">
        <v>CMP</v>
      </c>
      <c r="J37" s="9" t="str">
        <f t="shared" si="0"/>
        <v>CMP_12</v>
      </c>
      <c r="K37" s="10" t="str">
        <f t="shared" ca="1" si="1"/>
        <v>SSFLAT_CMP_20260323_12</v>
      </c>
      <c r="L37" s="10" t="str">
        <f t="shared" ca="1" si="2"/>
        <v>SSFLAT_CMP_20260324_0800</v>
      </c>
      <c r="M37" t="b">
        <f>IF(ROW()-ROW($M$1) &lt;= FILLME!$G$4, TRUE, FALSE)</f>
        <v>1</v>
      </c>
      <c r="N37" t="b">
        <f>IF(ROW()-ROW($N$1) &lt;= FILLME!$G$5, TRUE, FALSE)</f>
        <v>0</v>
      </c>
      <c r="O37" t="b">
        <f>IF(ROW()-ROW($O$1) &lt;= FILLME!$G$7, TRUE, FALSE)</f>
        <v>0</v>
      </c>
      <c r="P37" t="b">
        <f>IF(ROW()-ROW($P$1) &lt;= FILLME!$G$6, TRUE, FALSE)</f>
        <v>0</v>
      </c>
      <c r="Q37" t="b">
        <f>IF(ROW()-ROW($Q$1) &lt;= FILLME!$G$8, TRUE, FALSE)</f>
        <v>1</v>
      </c>
      <c r="R37" t="b">
        <f>IF(ROW()-ROW($R$1) &lt;= FILLME!$G$9, TRUE, FALSE)</f>
        <v>1</v>
      </c>
      <c r="S37" t="b">
        <f>IF(ROW()-ROW($S$1) &lt;= FILLME!$G$10, TRUE, FALSE)</f>
        <v>1</v>
      </c>
      <c r="T37" t="b">
        <f>IF(ROW()-ROW($T$1) &lt;= FILLME!$G$11, TRUE, FALSE)</f>
        <v>1</v>
      </c>
    </row>
    <row r="38" spans="1:20" x14ac:dyDescent="0.25">
      <c r="A38" s="7" t="str">
        <f>FILLME!$B$7</f>
        <v>ISCO</v>
      </c>
      <c r="B38" t="str">
        <f>IF(FILLME!$B$3 = "", "", FILLME!$B$3)</f>
        <v>WWS</v>
      </c>
      <c r="C38" t="str">
        <f>IF(FILLME!$B$4 = "", "", FILLME!$B$4)</f>
        <v>SSFLAT</v>
      </c>
      <c r="D38" s="7" t="str">
        <f ca="1">TEXT(FILLME!$B$6,"yyyymmdd")</f>
        <v>20260323</v>
      </c>
      <c r="E38" s="8">
        <v>0.41666666666666674</v>
      </c>
      <c r="F38" s="7">
        <f ca="1">IF(FILLME!$B$7="ISCO",FILLME!$B$6+FILLME!$B$11+(FILLME!$B$13*(G38-FILLME!$B$14)),FILLME!$B$6)</f>
        <v>46105.333333333336</v>
      </c>
      <c r="G38" s="2">
        <v>13</v>
      </c>
      <c r="H38" s="2">
        <v>13</v>
      </c>
      <c r="I38" s="2" t="str">
        <v>CMP</v>
      </c>
      <c r="J38" s="9" t="str">
        <f t="shared" si="0"/>
        <v>CMP_13</v>
      </c>
      <c r="K38" s="10" t="str">
        <f t="shared" ca="1" si="1"/>
        <v>SSFLAT_CMP_20260323_13</v>
      </c>
      <c r="L38" s="10" t="str">
        <f t="shared" ca="1" si="2"/>
        <v>SSFLAT_CMP_20260324_1000</v>
      </c>
      <c r="M38" t="b">
        <f>IF(ROW()-ROW($M$1) &lt;= FILLME!$G$4, TRUE, FALSE)</f>
        <v>1</v>
      </c>
      <c r="N38" t="b">
        <f>IF(ROW()-ROW($N$1) &lt;= FILLME!$G$5, TRUE, FALSE)</f>
        <v>0</v>
      </c>
      <c r="O38" t="b">
        <f>IF(ROW()-ROW($O$1) &lt;= FILLME!$G$7, TRUE, FALSE)</f>
        <v>0</v>
      </c>
      <c r="P38" t="b">
        <f>IF(ROW()-ROW($P$1) &lt;= FILLME!$G$6, TRUE, FALSE)</f>
        <v>0</v>
      </c>
      <c r="Q38" t="b">
        <f>IF(ROW()-ROW($Q$1) &lt;= FILLME!$G$8, TRUE, FALSE)</f>
        <v>1</v>
      </c>
      <c r="R38" t="b">
        <f>IF(ROW()-ROW($R$1) &lt;= FILLME!$G$9, TRUE, FALSE)</f>
        <v>1</v>
      </c>
      <c r="S38" t="b">
        <f>IF(ROW()-ROW($S$1) &lt;= FILLME!$G$10, TRUE, FALSE)</f>
        <v>1</v>
      </c>
      <c r="T38" t="b">
        <f>IF(ROW()-ROW($T$1) &lt;= FILLME!$G$11, TRUE, FALSE)</f>
        <v>1</v>
      </c>
    </row>
    <row r="39" spans="1:20" x14ac:dyDescent="0.25">
      <c r="A39" s="7" t="str">
        <f>FILLME!$B$7</f>
        <v>ISCO</v>
      </c>
      <c r="B39" t="str">
        <f>IF(FILLME!$B$3 = "", "", FILLME!$B$3)</f>
        <v>WWS</v>
      </c>
      <c r="C39" t="str">
        <f>IF(FILLME!$B$4 = "", "", FILLME!$B$4)</f>
        <v>SSFLAT</v>
      </c>
      <c r="D39" s="7" t="str">
        <f ca="1">TEXT(FILLME!$B$6,"yyyymmdd")</f>
        <v>20260323</v>
      </c>
      <c r="E39" s="8">
        <v>0.5</v>
      </c>
      <c r="F39" s="7">
        <f ca="1">IF(FILLME!$B$7="ISCO",FILLME!$B$6+FILLME!$B$11+(FILLME!$B$13*(G39-FILLME!$B$14)),FILLME!$B$6)</f>
        <v>46105.416666666672</v>
      </c>
      <c r="G39" s="2">
        <v>14</v>
      </c>
      <c r="H39" s="2">
        <v>14</v>
      </c>
      <c r="I39" s="2" t="str">
        <v>CMP</v>
      </c>
      <c r="J39" s="9" t="str">
        <f t="shared" si="0"/>
        <v>CMP_14</v>
      </c>
      <c r="K39" s="10" t="str">
        <f t="shared" ca="1" si="1"/>
        <v>SSFLAT_CMP_20260323_14</v>
      </c>
      <c r="L39" s="10" t="str">
        <f t="shared" ca="1" si="2"/>
        <v>SSFLAT_CMP_20260324_1200</v>
      </c>
      <c r="M39" t="b">
        <f>IF(ROW()-ROW($M$1) &lt;= FILLME!$G$4, TRUE, FALSE)</f>
        <v>1</v>
      </c>
      <c r="N39" t="b">
        <f>IF(ROW()-ROW($N$1) &lt;= FILLME!$G$5, TRUE, FALSE)</f>
        <v>0</v>
      </c>
      <c r="O39" t="b">
        <f>IF(ROW()-ROW($O$1) &lt;= FILLME!$G$7, TRUE, FALSE)</f>
        <v>0</v>
      </c>
      <c r="P39" t="b">
        <f>IF(ROW()-ROW($P$1) &lt;= FILLME!$G$6, TRUE, FALSE)</f>
        <v>0</v>
      </c>
      <c r="Q39" t="b">
        <f>IF(ROW()-ROW($Q$1) &lt;= FILLME!$G$8, TRUE, FALSE)</f>
        <v>1</v>
      </c>
      <c r="R39" t="b">
        <f>IF(ROW()-ROW($R$1) &lt;= FILLME!$G$9, TRUE, FALSE)</f>
        <v>1</v>
      </c>
      <c r="S39" t="b">
        <f>IF(ROW()-ROW($S$1) &lt;= FILLME!$G$10, TRUE, FALSE)</f>
        <v>1</v>
      </c>
      <c r="T39" t="b">
        <f>IF(ROW()-ROW($T$1) &lt;= FILLME!$G$11, TRUE, FALSE)</f>
        <v>1</v>
      </c>
    </row>
    <row r="40" spans="1:20" x14ac:dyDescent="0.25">
      <c r="A40" s="7" t="str">
        <f>FILLME!$B$7</f>
        <v>ISCO</v>
      </c>
      <c r="B40" t="str">
        <f>IF(FILLME!$B$3 = "", "", FILLME!$B$3)</f>
        <v>WWS</v>
      </c>
      <c r="C40" t="str">
        <f>IF(FILLME!$B$4 = "", "", FILLME!$B$4)</f>
        <v>SSFLAT</v>
      </c>
      <c r="D40" s="7" t="str">
        <f ca="1">TEXT(FILLME!$B$6,"yyyymmdd")</f>
        <v>20260323</v>
      </c>
      <c r="E40" s="8">
        <v>0.58333333333333326</v>
      </c>
      <c r="F40" s="7">
        <f ca="1">IF(FILLME!$B$7="ISCO",FILLME!$B$6+FILLME!$B$11+(FILLME!$B$13*(G40-FILLME!$B$14)),FILLME!$B$6)</f>
        <v>46105.5</v>
      </c>
      <c r="G40" s="2">
        <v>15</v>
      </c>
      <c r="H40" s="2">
        <v>15</v>
      </c>
      <c r="I40" s="2" t="str">
        <v>CMP</v>
      </c>
      <c r="J40" s="9" t="str">
        <f t="shared" si="0"/>
        <v>CMP_15</v>
      </c>
      <c r="K40" s="10" t="str">
        <f t="shared" ca="1" si="1"/>
        <v>SSFLAT_CMP_20260323_15</v>
      </c>
      <c r="L40" s="10" t="str">
        <f t="shared" ca="1" si="2"/>
        <v>SSFLAT_CMP_20260324_1400</v>
      </c>
      <c r="M40" t="b">
        <f>IF(ROW()-ROW($M$1) &lt;= FILLME!$G$4, TRUE, FALSE)</f>
        <v>1</v>
      </c>
      <c r="N40" t="b">
        <f>IF(ROW()-ROW($N$1) &lt;= FILLME!$G$5, TRUE, FALSE)</f>
        <v>0</v>
      </c>
      <c r="O40" t="b">
        <f>IF(ROW()-ROW($O$1) &lt;= FILLME!$G$7, TRUE, FALSE)</f>
        <v>0</v>
      </c>
      <c r="P40" t="b">
        <f>IF(ROW()-ROW($P$1) &lt;= FILLME!$G$6, TRUE, FALSE)</f>
        <v>0</v>
      </c>
      <c r="Q40" t="b">
        <f>IF(ROW()-ROW($Q$1) &lt;= FILLME!$G$8, TRUE, FALSE)</f>
        <v>1</v>
      </c>
      <c r="R40" t="b">
        <f>IF(ROW()-ROW($R$1) &lt;= FILLME!$G$9, TRUE, FALSE)</f>
        <v>1</v>
      </c>
      <c r="S40" t="b">
        <f>IF(ROW()-ROW($S$1) &lt;= FILLME!$G$10, TRUE, FALSE)</f>
        <v>1</v>
      </c>
      <c r="T40" t="b">
        <f>IF(ROW()-ROW($T$1) &lt;= FILLME!$G$11, TRUE, FALSE)</f>
        <v>1</v>
      </c>
    </row>
    <row r="41" spans="1:20" x14ac:dyDescent="0.25">
      <c r="A41" s="7" t="str">
        <f>FILLME!$B$7</f>
        <v>ISCO</v>
      </c>
      <c r="B41" t="str">
        <f>IF(FILLME!$B$3 = "", "", FILLME!$B$3)</f>
        <v>WWS</v>
      </c>
      <c r="C41" t="str">
        <f>IF(FILLME!$B$4 = "", "", FILLME!$B$4)</f>
        <v>SSFLAT</v>
      </c>
      <c r="D41" s="7" t="str">
        <f ca="1">TEXT(FILLME!$B$6,"yyyymmdd")</f>
        <v>20260323</v>
      </c>
      <c r="E41" s="8">
        <v>0.66666666666666674</v>
      </c>
      <c r="F41" s="7">
        <f ca="1">IF(FILLME!$B$7="ISCO",FILLME!$B$6+FILLME!$B$11+(FILLME!$B$13*(G41-FILLME!$B$14)),FILLME!$B$6)</f>
        <v>46105.583333333336</v>
      </c>
      <c r="G41" s="2">
        <v>16</v>
      </c>
      <c r="H41" s="2">
        <v>16</v>
      </c>
      <c r="I41" s="2" t="str">
        <v>CMP</v>
      </c>
      <c r="J41" s="9" t="str">
        <f t="shared" si="0"/>
        <v>CMP_16</v>
      </c>
      <c r="K41" s="10" t="str">
        <f t="shared" ca="1" si="1"/>
        <v>SSFLAT_CMP_20260323_16</v>
      </c>
      <c r="L41" s="10" t="str">
        <f t="shared" ca="1" si="2"/>
        <v>SSFLAT_CMP_20260324_1600</v>
      </c>
      <c r="M41" t="b">
        <f>IF(ROW()-ROW($M$1) &lt;= FILLME!$G$4, TRUE, FALSE)</f>
        <v>1</v>
      </c>
      <c r="N41" t="b">
        <f>IF(ROW()-ROW($N$1) &lt;= FILLME!$G$5, TRUE, FALSE)</f>
        <v>0</v>
      </c>
      <c r="O41" t="b">
        <f>IF(ROW()-ROW($O$1) &lt;= FILLME!$G$7, TRUE, FALSE)</f>
        <v>0</v>
      </c>
      <c r="P41" t="b">
        <f>IF(ROW()-ROW($P$1) &lt;= FILLME!$G$6, TRUE, FALSE)</f>
        <v>0</v>
      </c>
      <c r="Q41" t="b">
        <f>IF(ROW()-ROW($Q$1) &lt;= FILLME!$G$8, TRUE, FALSE)</f>
        <v>1</v>
      </c>
      <c r="R41" t="b">
        <f>IF(ROW()-ROW($R$1) &lt;= FILLME!$G$9, TRUE, FALSE)</f>
        <v>1</v>
      </c>
      <c r="S41" t="b">
        <f>IF(ROW()-ROW($S$1) &lt;= FILLME!$G$10, TRUE, FALSE)</f>
        <v>1</v>
      </c>
      <c r="T41" t="b">
        <f>IF(ROW()-ROW($T$1) &lt;= FILLME!$G$11, TRUE, FALSE)</f>
        <v>1</v>
      </c>
    </row>
    <row r="42" spans="1:20" x14ac:dyDescent="0.25">
      <c r="A42" s="7" t="str">
        <f>FILLME!$B$7</f>
        <v>ISCO</v>
      </c>
      <c r="B42" t="str">
        <f>IF(FILLME!$B$3 = "", "", FILLME!$B$3)</f>
        <v>WWS</v>
      </c>
      <c r="C42" t="str">
        <f>IF(FILLME!$B$4 = "", "", FILLME!$B$4)</f>
        <v>SSFLAT</v>
      </c>
      <c r="D42" s="7" t="str">
        <f ca="1">TEXT(FILLME!$B$6,"yyyymmdd")</f>
        <v>20260323</v>
      </c>
      <c r="E42" s="8">
        <v>0.75</v>
      </c>
      <c r="F42" s="7">
        <f ca="1">IF(FILLME!$B$7="ISCO",FILLME!$B$6+FILLME!$B$11+(FILLME!$B$13*(G42-FILLME!$B$14)),FILLME!$B$6)</f>
        <v>46105.666666666672</v>
      </c>
      <c r="G42" s="2">
        <v>17</v>
      </c>
      <c r="H42" s="2">
        <v>17</v>
      </c>
      <c r="I42" s="2" t="str">
        <v>CMP</v>
      </c>
      <c r="J42" s="9" t="str">
        <f t="shared" si="0"/>
        <v>CMP_17</v>
      </c>
      <c r="K42" s="10" t="str">
        <f t="shared" ca="1" si="1"/>
        <v>SSFLAT_CMP_20260323_17</v>
      </c>
      <c r="L42" s="10" t="str">
        <f t="shared" ca="1" si="2"/>
        <v>SSFLAT_CMP_20260324_1800</v>
      </c>
      <c r="M42" t="b">
        <f>IF(ROW()-ROW($M$1) &lt;= FILLME!$G$4, TRUE, FALSE)</f>
        <v>1</v>
      </c>
      <c r="N42" t="b">
        <f>IF(ROW()-ROW($N$1) &lt;= FILLME!$G$5, TRUE, FALSE)</f>
        <v>0</v>
      </c>
      <c r="O42" t="b">
        <f>IF(ROW()-ROW($O$1) &lt;= FILLME!$G$7, TRUE, FALSE)</f>
        <v>0</v>
      </c>
      <c r="P42" t="b">
        <f>IF(ROW()-ROW($P$1) &lt;= FILLME!$G$6, TRUE, FALSE)</f>
        <v>0</v>
      </c>
      <c r="Q42" t="b">
        <f>IF(ROW()-ROW($Q$1) &lt;= FILLME!$G$8, TRUE, FALSE)</f>
        <v>1</v>
      </c>
      <c r="R42" t="b">
        <f>IF(ROW()-ROW($R$1) &lt;= FILLME!$G$9, TRUE, FALSE)</f>
        <v>1</v>
      </c>
      <c r="S42" t="b">
        <f>IF(ROW()-ROW($S$1) &lt;= FILLME!$G$10, TRUE, FALSE)</f>
        <v>1</v>
      </c>
      <c r="T42" t="b">
        <f>IF(ROW()-ROW($T$1) &lt;= FILLME!$G$11, TRUE, FALSE)</f>
        <v>1</v>
      </c>
    </row>
    <row r="43" spans="1:20" x14ac:dyDescent="0.25">
      <c r="A43" s="7" t="str">
        <f>FILLME!$B$7</f>
        <v>ISCO</v>
      </c>
      <c r="B43" t="str">
        <f>IF(FILLME!$B$3 = "", "", FILLME!$B$3)</f>
        <v>WWS</v>
      </c>
      <c r="C43" t="str">
        <f>IF(FILLME!$B$4 = "", "", FILLME!$B$4)</f>
        <v>SSFLAT</v>
      </c>
      <c r="D43" s="7" t="str">
        <f ca="1">TEXT(FILLME!$B$6,"yyyymmdd")</f>
        <v>20260323</v>
      </c>
      <c r="E43" s="8">
        <v>0.83333333333333326</v>
      </c>
      <c r="F43" s="7">
        <f ca="1">IF(FILLME!$B$7="ISCO",FILLME!$B$6+FILLME!$B$11+(FILLME!$B$13*(G43-FILLME!$B$14)),FILLME!$B$6)</f>
        <v>46105.75</v>
      </c>
      <c r="G43" s="2">
        <v>18</v>
      </c>
      <c r="H43" s="2">
        <v>18</v>
      </c>
      <c r="I43" s="2" t="str">
        <v>CMP</v>
      </c>
      <c r="J43" s="9" t="str">
        <f t="shared" si="0"/>
        <v>CMP_18</v>
      </c>
      <c r="K43" s="10" t="str">
        <f t="shared" ca="1" si="1"/>
        <v>SSFLAT_CMP_20260323_18</v>
      </c>
      <c r="L43" s="10" t="str">
        <f t="shared" ca="1" si="2"/>
        <v>SSFLAT_CMP_20260324_2000</v>
      </c>
      <c r="M43" t="b">
        <f>IF(ROW()-ROW($M$1) &lt;= FILLME!$G$4, TRUE, FALSE)</f>
        <v>1</v>
      </c>
      <c r="N43" t="b">
        <f>IF(ROW()-ROW($N$1) &lt;= FILLME!$G$5, TRUE, FALSE)</f>
        <v>0</v>
      </c>
      <c r="O43" t="b">
        <f>IF(ROW()-ROW($O$1) &lt;= FILLME!$G$7, TRUE, FALSE)</f>
        <v>0</v>
      </c>
      <c r="P43" t="b">
        <f>IF(ROW()-ROW($P$1) &lt;= FILLME!$G$6, TRUE, FALSE)</f>
        <v>0</v>
      </c>
      <c r="Q43" t="b">
        <f>IF(ROW()-ROW($Q$1) &lt;= FILLME!$G$8, TRUE, FALSE)</f>
        <v>1</v>
      </c>
      <c r="R43" t="b">
        <f>IF(ROW()-ROW($R$1) &lt;= FILLME!$G$9, TRUE, FALSE)</f>
        <v>1</v>
      </c>
      <c r="S43" t="b">
        <f>IF(ROW()-ROW($S$1) &lt;= FILLME!$G$10, TRUE, FALSE)</f>
        <v>1</v>
      </c>
      <c r="T43" t="b">
        <f>IF(ROW()-ROW($T$1) &lt;= FILLME!$G$11, TRUE, FALSE)</f>
        <v>1</v>
      </c>
    </row>
    <row r="44" spans="1:20" x14ac:dyDescent="0.25">
      <c r="A44" s="7" t="str">
        <f>FILLME!$B$7</f>
        <v>ISCO</v>
      </c>
      <c r="B44" t="str">
        <f>IF(FILLME!$B$3 = "", "", FILLME!$B$3)</f>
        <v>WWS</v>
      </c>
      <c r="C44" t="str">
        <f>IF(FILLME!$B$4 = "", "", FILLME!$B$4)</f>
        <v>SSFLAT</v>
      </c>
      <c r="D44" s="7" t="str">
        <f ca="1">TEXT(FILLME!$B$6,"yyyymmdd")</f>
        <v>20260323</v>
      </c>
      <c r="E44" s="8">
        <v>0.91666666666666674</v>
      </c>
      <c r="F44" s="7">
        <f ca="1">IF(FILLME!$B$7="ISCO",FILLME!$B$6+FILLME!$B$11+(FILLME!$B$13*(G44-FILLME!$B$14)),FILLME!$B$6)</f>
        <v>46105.833333333336</v>
      </c>
      <c r="G44" s="2">
        <v>19</v>
      </c>
      <c r="H44" s="2">
        <v>19</v>
      </c>
      <c r="I44" s="2" t="str">
        <v>CMP</v>
      </c>
      <c r="J44" s="9" t="str">
        <f t="shared" si="0"/>
        <v>CMP_19</v>
      </c>
      <c r="K44" s="10" t="str">
        <f t="shared" ca="1" si="1"/>
        <v>SSFLAT_CMP_20260323_19</v>
      </c>
      <c r="L44" s="10" t="str">
        <f t="shared" ca="1" si="2"/>
        <v>SSFLAT_CMP_20260324_2200</v>
      </c>
      <c r="M44" t="b">
        <f>IF(ROW()-ROW($M$1) &lt;= FILLME!$G$4, TRUE, FALSE)</f>
        <v>1</v>
      </c>
      <c r="N44" t="b">
        <f>IF(ROW()-ROW($N$1) &lt;= FILLME!$G$5, TRUE, FALSE)</f>
        <v>0</v>
      </c>
      <c r="O44" t="b">
        <f>IF(ROW()-ROW($O$1) &lt;= FILLME!$G$7, TRUE, FALSE)</f>
        <v>0</v>
      </c>
      <c r="P44" t="b">
        <f>IF(ROW()-ROW($P$1) &lt;= FILLME!$G$6, TRUE, FALSE)</f>
        <v>0</v>
      </c>
      <c r="Q44" t="b">
        <f>IF(ROW()-ROW($Q$1) &lt;= FILLME!$G$8, TRUE, FALSE)</f>
        <v>1</v>
      </c>
      <c r="R44" t="b">
        <f>IF(ROW()-ROW($R$1) &lt;= FILLME!$G$9, TRUE, FALSE)</f>
        <v>1</v>
      </c>
      <c r="S44" t="b">
        <f>IF(ROW()-ROW($S$1) &lt;= FILLME!$G$10, TRUE, FALSE)</f>
        <v>1</v>
      </c>
      <c r="T44" t="b">
        <f>IF(ROW()-ROW($T$1) &lt;= FILLME!$G$11, TRUE, FALSE)</f>
        <v>1</v>
      </c>
    </row>
    <row r="45" spans="1:20" x14ac:dyDescent="0.25">
      <c r="A45" s="7" t="str">
        <f>FILLME!$B$7</f>
        <v>ISCO</v>
      </c>
      <c r="B45" t="str">
        <f>IF(FILLME!$B$3 = "", "", FILLME!$B$3)</f>
        <v>WWS</v>
      </c>
      <c r="C45" t="str">
        <f>IF(FILLME!$B$4 = "", "", FILLME!$B$4)</f>
        <v>SSFLAT</v>
      </c>
      <c r="D45" s="7" t="str">
        <f ca="1">TEXT(FILLME!$B$6,"yyyymmdd")</f>
        <v>20260323</v>
      </c>
      <c r="E45" s="8">
        <v>0</v>
      </c>
      <c r="F45" s="7">
        <f ca="1">IF(FILLME!$B$7="ISCO",FILLME!$B$6+FILLME!$B$11+(FILLME!$B$13*(G45-FILLME!$B$14)),FILLME!$B$6)</f>
        <v>46105.916666666672</v>
      </c>
      <c r="G45" s="2">
        <v>20</v>
      </c>
      <c r="H45" s="2">
        <v>20</v>
      </c>
      <c r="I45" s="2" t="str">
        <v>CMP</v>
      </c>
      <c r="J45" s="9" t="str">
        <f t="shared" si="0"/>
        <v>CMP_20</v>
      </c>
      <c r="K45" s="10" t="str">
        <f t="shared" ca="1" si="1"/>
        <v>SSFLAT_CMP_20260323_20</v>
      </c>
      <c r="L45" s="10" t="str">
        <f t="shared" ca="1" si="2"/>
        <v>SSFLAT_CMP_20260324_0000</v>
      </c>
      <c r="M45" t="b">
        <f>IF(ROW()-ROW($M$1) &lt;= FILLME!$G$4, TRUE, FALSE)</f>
        <v>1</v>
      </c>
      <c r="N45" t="b">
        <f>IF(ROW()-ROW($N$1) &lt;= FILLME!$G$5, TRUE, FALSE)</f>
        <v>0</v>
      </c>
      <c r="O45" t="b">
        <f>IF(ROW()-ROW($O$1) &lt;= FILLME!$G$7, TRUE, FALSE)</f>
        <v>0</v>
      </c>
      <c r="P45" t="b">
        <f>IF(ROW()-ROW($P$1) &lt;= FILLME!$G$6, TRUE, FALSE)</f>
        <v>0</v>
      </c>
      <c r="Q45" t="b">
        <f>IF(ROW()-ROW($Q$1) &lt;= FILLME!$G$8, TRUE, FALSE)</f>
        <v>1</v>
      </c>
      <c r="R45" t="b">
        <f>IF(ROW()-ROW($R$1) &lt;= FILLME!$G$9, TRUE, FALSE)</f>
        <v>1</v>
      </c>
      <c r="S45" t="b">
        <f>IF(ROW()-ROW($S$1) &lt;= FILLME!$G$10, TRUE, FALSE)</f>
        <v>1</v>
      </c>
      <c r="T45" t="b">
        <f>IF(ROW()-ROW($T$1) &lt;= FILLME!$G$11, TRUE, FALSE)</f>
        <v>1</v>
      </c>
    </row>
    <row r="46" spans="1:20" x14ac:dyDescent="0.25">
      <c r="A46" s="7" t="str">
        <f>FILLME!$B$7</f>
        <v>ISCO</v>
      </c>
      <c r="B46" t="str">
        <f>IF(FILLME!$B$3 = "", "", FILLME!$B$3)</f>
        <v>WWS</v>
      </c>
      <c r="C46" t="str">
        <f>IF(FILLME!$B$4 = "", "", FILLME!$B$4)</f>
        <v>SSFLAT</v>
      </c>
      <c r="D46" s="7" t="str">
        <f ca="1">TEXT(FILLME!$B$6,"yyyymmdd")</f>
        <v>20260323</v>
      </c>
      <c r="E46" s="8">
        <v>8.3333333333333481E-2</v>
      </c>
      <c r="F46" s="7">
        <f ca="1">IF(FILLME!$B$7="ISCO",FILLME!$B$6+FILLME!$B$11+(FILLME!$B$13*(G46-FILLME!$B$14)),FILLME!$B$6)</f>
        <v>46106</v>
      </c>
      <c r="G46" s="2">
        <v>21</v>
      </c>
      <c r="H46" s="2">
        <v>21</v>
      </c>
      <c r="I46" s="2" t="str">
        <v>CMP</v>
      </c>
      <c r="J46" s="9" t="str">
        <f t="shared" si="0"/>
        <v>CMP_21</v>
      </c>
      <c r="K46" s="10" t="str">
        <f t="shared" ca="1" si="1"/>
        <v>SSFLAT_CMP_20260323_21</v>
      </c>
      <c r="L46" s="10" t="str">
        <f t="shared" ca="1" si="2"/>
        <v>SSFLAT_CMP_20260325_0200</v>
      </c>
      <c r="M46" t="b">
        <f>IF(ROW()-ROW($M$1) &lt;= FILLME!$G$4, TRUE, FALSE)</f>
        <v>1</v>
      </c>
      <c r="N46" t="b">
        <f>IF(ROW()-ROW($N$1) &lt;= FILLME!$G$5, TRUE, FALSE)</f>
        <v>0</v>
      </c>
      <c r="O46" t="b">
        <f>IF(ROW()-ROW($O$1) &lt;= FILLME!$G$7, TRUE, FALSE)</f>
        <v>0</v>
      </c>
      <c r="P46" t="b">
        <f>IF(ROW()-ROW($P$1) &lt;= FILLME!$G$6, TRUE, FALSE)</f>
        <v>0</v>
      </c>
      <c r="Q46" t="b">
        <f>IF(ROW()-ROW($Q$1) &lt;= FILLME!$G$8, TRUE, FALSE)</f>
        <v>1</v>
      </c>
      <c r="R46" t="b">
        <f>IF(ROW()-ROW($R$1) &lt;= FILLME!$G$9, TRUE, FALSE)</f>
        <v>1</v>
      </c>
      <c r="S46" t="b">
        <f>IF(ROW()-ROW($S$1) &lt;= FILLME!$G$10, TRUE, FALSE)</f>
        <v>1</v>
      </c>
      <c r="T46" t="b">
        <f>IF(ROW()-ROW($T$1) &lt;= FILLME!$G$11, TRUE, FALSE)</f>
        <v>1</v>
      </c>
    </row>
    <row r="47" spans="1:20" x14ac:dyDescent="0.25">
      <c r="A47" s="7" t="str">
        <f>FILLME!$B$7</f>
        <v>ISCO</v>
      </c>
      <c r="B47" t="str">
        <f>IF(FILLME!$B$3 = "", "", FILLME!$B$3)</f>
        <v>WWS</v>
      </c>
      <c r="C47" t="str">
        <f>IF(FILLME!$B$4 = "", "", FILLME!$B$4)</f>
        <v>SSFLAT</v>
      </c>
      <c r="D47" s="7" t="str">
        <f ca="1">TEXT(FILLME!$B$6,"yyyymmdd")</f>
        <v>20260323</v>
      </c>
      <c r="E47" s="8">
        <v>0.16666666666666652</v>
      </c>
      <c r="F47" s="7">
        <f ca="1">IF(FILLME!$B$7="ISCO",FILLME!$B$6+FILLME!$B$11+(FILLME!$B$13*(G47-FILLME!$B$14)),FILLME!$B$6)</f>
        <v>46106.083333333336</v>
      </c>
      <c r="G47" s="2">
        <v>22</v>
      </c>
      <c r="H47" s="2">
        <v>22</v>
      </c>
      <c r="I47" s="2" t="str">
        <v>CMP</v>
      </c>
      <c r="J47" s="9" t="str">
        <f t="shared" si="0"/>
        <v>CMP_22</v>
      </c>
      <c r="K47" s="10" t="str">
        <f t="shared" ca="1" si="1"/>
        <v>SSFLAT_CMP_20260323_22</v>
      </c>
      <c r="L47" s="10" t="str">
        <f t="shared" ca="1" si="2"/>
        <v>SSFLAT_CMP_20260325_0400</v>
      </c>
      <c r="M47" t="b">
        <f>IF(ROW()-ROW($M$1) &lt;= FILLME!$G$4, TRUE, FALSE)</f>
        <v>1</v>
      </c>
      <c r="N47" t="b">
        <f>IF(ROW()-ROW($N$1) &lt;= FILLME!$G$5, TRUE, FALSE)</f>
        <v>0</v>
      </c>
      <c r="O47" t="b">
        <f>IF(ROW()-ROW($O$1) &lt;= FILLME!$G$7, TRUE, FALSE)</f>
        <v>0</v>
      </c>
      <c r="P47" t="b">
        <f>IF(ROW()-ROW($P$1) &lt;= FILLME!$G$6, TRUE, FALSE)</f>
        <v>0</v>
      </c>
      <c r="Q47" t="b">
        <f>IF(ROW()-ROW($Q$1) &lt;= FILLME!$G$8, TRUE, FALSE)</f>
        <v>1</v>
      </c>
      <c r="R47" t="b">
        <f>IF(ROW()-ROW($R$1) &lt;= FILLME!$G$9, TRUE, FALSE)</f>
        <v>1</v>
      </c>
      <c r="S47" t="b">
        <f>IF(ROW()-ROW($S$1) &lt;= FILLME!$G$10, TRUE, FALSE)</f>
        <v>1</v>
      </c>
      <c r="T47" t="b">
        <f>IF(ROW()-ROW($T$1) &lt;= FILLME!$G$11, TRUE, FALSE)</f>
        <v>1</v>
      </c>
    </row>
    <row r="48" spans="1:20" x14ac:dyDescent="0.25">
      <c r="A48" s="7" t="str">
        <f>FILLME!$B$7</f>
        <v>ISCO</v>
      </c>
      <c r="B48" t="str">
        <f>IF(FILLME!$B$3 = "", "", FILLME!$B$3)</f>
        <v>WWS</v>
      </c>
      <c r="C48" t="str">
        <f>IF(FILLME!$B$4 = "", "", FILLME!$B$4)</f>
        <v>SSFLAT</v>
      </c>
      <c r="D48" s="7" t="str">
        <f ca="1">TEXT(FILLME!$B$6,"yyyymmdd")</f>
        <v>20260323</v>
      </c>
      <c r="E48" s="8">
        <v>0.25</v>
      </c>
      <c r="F48" s="7">
        <f ca="1">IF(FILLME!$B$7="ISCO",FILLME!$B$6+FILLME!$B$11+(FILLME!$B$13*(G48-FILLME!$B$14)),FILLME!$B$6)</f>
        <v>46106.166666666672</v>
      </c>
      <c r="G48" s="2">
        <v>23</v>
      </c>
      <c r="H48" s="2">
        <v>23</v>
      </c>
      <c r="I48" s="2" t="str">
        <v>CMP</v>
      </c>
      <c r="J48" s="9" t="str">
        <f t="shared" si="0"/>
        <v>CMP_23</v>
      </c>
      <c r="K48" s="10" t="str">
        <f t="shared" ca="1" si="1"/>
        <v>SSFLAT_CMP_20260323_23</v>
      </c>
      <c r="L48" s="10" t="str">
        <f t="shared" ca="1" si="2"/>
        <v>SSFLAT_CMP_20260325_0600</v>
      </c>
      <c r="M48" t="b">
        <f>IF(ROW()-ROW($M$1) &lt;= FILLME!$G$4, TRUE, FALSE)</f>
        <v>1</v>
      </c>
      <c r="N48" t="b">
        <f>IF(ROW()-ROW($N$1) &lt;= FILLME!$G$5, TRUE, FALSE)</f>
        <v>0</v>
      </c>
      <c r="O48" t="b">
        <f>IF(ROW()-ROW($O$1) &lt;= FILLME!$G$7, TRUE, FALSE)</f>
        <v>0</v>
      </c>
      <c r="P48" t="b">
        <f>IF(ROW()-ROW($P$1) &lt;= FILLME!$G$6, TRUE, FALSE)</f>
        <v>0</v>
      </c>
      <c r="Q48" t="b">
        <f>IF(ROW()-ROW($Q$1) &lt;= FILLME!$G$8, TRUE, FALSE)</f>
        <v>1</v>
      </c>
      <c r="R48" t="b">
        <f>IF(ROW()-ROW($R$1) &lt;= FILLME!$G$9, TRUE, FALSE)</f>
        <v>1</v>
      </c>
      <c r="S48" t="b">
        <f>IF(ROW()-ROW($S$1) &lt;= FILLME!$G$10, TRUE, FALSE)</f>
        <v>1</v>
      </c>
      <c r="T48" t="b">
        <f>IF(ROW()-ROW($T$1) &lt;= FILLME!$G$11, TRUE, FALSE)</f>
        <v>1</v>
      </c>
    </row>
    <row r="49" spans="1:20" x14ac:dyDescent="0.25">
      <c r="A49" s="7" t="str">
        <f>FILLME!$B$7</f>
        <v>ISCO</v>
      </c>
      <c r="B49" t="str">
        <f>IF(FILLME!$B$3 = "", "", FILLME!$B$3)</f>
        <v>WWS</v>
      </c>
      <c r="C49" t="str">
        <f>IF(FILLME!$B$4 = "", "", FILLME!$B$4)</f>
        <v>SSFLAT</v>
      </c>
      <c r="D49" s="7" t="str">
        <f ca="1">TEXT(FILLME!$B$6,"yyyymmdd")</f>
        <v>20260323</v>
      </c>
      <c r="E49" s="8">
        <v>0.33333333333333348</v>
      </c>
      <c r="F49" s="7">
        <f ca="1">IF(FILLME!$B$7="ISCO",FILLME!$B$6+FILLME!$B$11+(FILLME!$B$13*(G49-FILLME!$B$14)),FILLME!$B$6)</f>
        <v>46106.25</v>
      </c>
      <c r="G49" s="2">
        <v>24</v>
      </c>
      <c r="H49" s="2">
        <v>24</v>
      </c>
      <c r="I49" s="2" t="str">
        <v>CMP</v>
      </c>
      <c r="J49" s="9" t="str">
        <f t="shared" si="0"/>
        <v>CMP_24</v>
      </c>
      <c r="K49" s="10" t="str">
        <f t="shared" ca="1" si="1"/>
        <v>SSFLAT_CMP_20260323_24</v>
      </c>
      <c r="L49" s="10" t="str">
        <f t="shared" ca="1" si="2"/>
        <v>SSFLAT_CMP_20260325_0800</v>
      </c>
      <c r="M49" t="b">
        <f>IF(ROW()-ROW($M$1) &lt;= FILLME!$G$4, TRUE, FALSE)</f>
        <v>1</v>
      </c>
      <c r="N49" t="b">
        <f>IF(ROW()-ROW($N$1) &lt;= FILLME!$G$5, TRUE, FALSE)</f>
        <v>0</v>
      </c>
      <c r="O49" t="b">
        <f>IF(ROW()-ROW($O$1) &lt;= FILLME!$G$7, TRUE, FALSE)</f>
        <v>0</v>
      </c>
      <c r="P49" t="b">
        <f>IF(ROW()-ROW($P$1) &lt;= FILLME!$G$6, TRUE, FALSE)</f>
        <v>0</v>
      </c>
      <c r="Q49" t="b">
        <f>IF(ROW()-ROW($Q$1) &lt;= FILLME!$G$8, TRUE, FALSE)</f>
        <v>1</v>
      </c>
      <c r="R49" t="b">
        <f>IF(ROW()-ROW($R$1) &lt;= FILLME!$G$9, TRUE, FALSE)</f>
        <v>1</v>
      </c>
      <c r="S49" t="b">
        <f>IF(ROW()-ROW($S$1) &lt;= FILLME!$G$10, TRUE, FALSE)</f>
        <v>1</v>
      </c>
      <c r="T49" t="b">
        <f>IF(ROW()-ROW($T$1) &lt;= FILLME!$G$11, TRUE, FALSE)</f>
        <v>1</v>
      </c>
    </row>
    <row r="50" spans="1:20" x14ac:dyDescent="0.25">
      <c r="A50" s="7" t="str">
        <f>FILLME!$B$7</f>
        <v>ISCO</v>
      </c>
      <c r="B50" t="str">
        <f>IF(FILLME!$B$3 = "", "", FILLME!$B$3)</f>
        <v>WWS</v>
      </c>
      <c r="C50" t="str">
        <f>IF(FILLME!$B$4 = "", "", FILLME!$B$4)</f>
        <v>SSFLAT</v>
      </c>
      <c r="D50" s="7" t="str">
        <f ca="1">TEXT(FILLME!$B$6,"yyyymmdd")</f>
        <v>20260323</v>
      </c>
      <c r="E50" s="8"/>
      <c r="F50" s="7">
        <f ca="1">IF(FILLME!$B$7="ISCO",FILLME!$B$6+FILLME!$B$11+(FILLME!$B$13*(G50-FILLME!$B$14)),FILLME!$B$6)</f>
        <v>46104.25</v>
      </c>
      <c r="I50" s="2"/>
      <c r="J50" s="9" t="str">
        <f t="shared" si="0"/>
        <v>_00</v>
      </c>
      <c r="K50" s="10" t="str">
        <f t="shared" ca="1" si="1"/>
        <v>SSFLAT__20260323_00</v>
      </c>
      <c r="L50" s="10" t="str">
        <f t="shared" ca="1" si="2"/>
        <v>SSFLAT__20260323_0000</v>
      </c>
      <c r="M50" t="b">
        <f>IF(ROW()-ROW($M$1) &lt;= FILLME!$G$4, TRUE, FALSE)</f>
        <v>0</v>
      </c>
      <c r="N50" t="b">
        <f>IF(ROW()-ROW($N$1) &lt;= FILLME!$G$5, TRUE, FALSE)</f>
        <v>0</v>
      </c>
      <c r="O50" t="b">
        <f>IF(ROW()-ROW($O$1) &lt;= FILLME!$G$7, TRUE, FALSE)</f>
        <v>0</v>
      </c>
      <c r="P50" t="b">
        <f>IF(ROW()-ROW($P$1) &lt;= FILLME!$G$6, TRUE, FALSE)</f>
        <v>0</v>
      </c>
      <c r="Q50" t="b">
        <f>IF(ROW()-ROW($Q$1) &lt;= FILLME!$G$8, TRUE, FALSE)</f>
        <v>0</v>
      </c>
      <c r="R50" t="b">
        <f>IF(ROW()-ROW($R$1) &lt;= FILLME!$G$9, TRUE, FALSE)</f>
        <v>0</v>
      </c>
      <c r="S50" t="b">
        <f>IF(ROW()-ROW($S$1) &lt;= FILLME!$G$10, TRUE, FALSE)</f>
        <v>0</v>
      </c>
      <c r="T50" t="b">
        <f>IF(ROW()-ROW($T$1) &lt;= FILLME!$G$11, TRUE, FALSE)</f>
        <v>0</v>
      </c>
    </row>
    <row r="51" spans="1:20" x14ac:dyDescent="0.25">
      <c r="A51" s="7" t="str">
        <f>FILLME!$B$7</f>
        <v>ISCO</v>
      </c>
      <c r="B51" t="str">
        <f>IF(FILLME!$B$3 = "", "", FILLME!$B$3)</f>
        <v>WWS</v>
      </c>
      <c r="C51" t="str">
        <f>IF(FILLME!$B$4 = "", "", FILLME!$B$4)</f>
        <v>SSFLAT</v>
      </c>
      <c r="D51" s="7" t="str">
        <f ca="1">TEXT(FILLME!$B$6,"yyyymmdd")</f>
        <v>20260323</v>
      </c>
      <c r="E51" s="8"/>
      <c r="F51" s="7">
        <f ca="1">IF(FILLME!$B$7="ISCO",FILLME!$B$6+FILLME!$B$11+(FILLME!$B$13*(G51-FILLME!$B$14)),FILLME!$B$6)</f>
        <v>46104.25</v>
      </c>
      <c r="G51" s="8"/>
      <c r="H51" s="8"/>
      <c r="I51" s="2"/>
      <c r="J51" s="9" t="str">
        <f t="shared" si="0"/>
        <v>_00</v>
      </c>
      <c r="K51" s="10" t="str">
        <f t="shared" ca="1" si="1"/>
        <v>SSFLAT__20260323_00</v>
      </c>
      <c r="L51" s="10" t="str">
        <f t="shared" ca="1" si="2"/>
        <v>SSFLAT__20260323_0000</v>
      </c>
      <c r="M51" t="b">
        <f>IF(ROW()-ROW($M$1) &lt;= FILLME!$G$4, TRUE, FALSE)</f>
        <v>0</v>
      </c>
      <c r="N51" t="b">
        <f>IF(ROW()-ROW($N$1) &lt;= FILLME!$G$5, TRUE, FALSE)</f>
        <v>0</v>
      </c>
      <c r="O51" t="b">
        <f>IF(ROW()-ROW($O$1) &lt;= FILLME!$G$7, TRUE, FALSE)</f>
        <v>0</v>
      </c>
      <c r="P51" t="b">
        <f>IF(ROW()-ROW($P$1) &lt;= FILLME!$G$6, TRUE, FALSE)</f>
        <v>0</v>
      </c>
      <c r="Q51" t="b">
        <f>IF(ROW()-ROW($Q$1) &lt;= FILLME!$G$8, TRUE, FALSE)</f>
        <v>0</v>
      </c>
      <c r="R51" t="b">
        <f>IF(ROW()-ROW($R$1) &lt;= FILLME!$G$9, TRUE, FALSE)</f>
        <v>0</v>
      </c>
      <c r="S51" t="b">
        <f>IF(ROW()-ROW($S$1) &lt;= FILLME!$G$10, TRUE, FALSE)</f>
        <v>0</v>
      </c>
      <c r="T51" t="b">
        <f>IF(ROW()-ROW($T$1) &lt;= FILLME!$G$11, TRUE, FALSE)</f>
        <v>0</v>
      </c>
    </row>
    <row r="52" spans="1:20" x14ac:dyDescent="0.25">
      <c r="A52" s="7" t="str">
        <f>FILLME!$B$7</f>
        <v>ISCO</v>
      </c>
      <c r="B52" t="str">
        <f>IF(FILLME!$B$3 = "", "", FILLME!$B$3)</f>
        <v>WWS</v>
      </c>
      <c r="C52" t="str">
        <f>IF(FILLME!$B$4 = "", "", FILLME!$B$4)</f>
        <v>SSFLAT</v>
      </c>
      <c r="D52" s="7" t="str">
        <f ca="1">TEXT(FILLME!$B$6,"yyyymmdd")</f>
        <v>20260323</v>
      </c>
      <c r="E52" s="8"/>
      <c r="F52" s="7">
        <f ca="1">IF(FILLME!$B$7="ISCO",FILLME!$B$6+FILLME!$B$11+(FILLME!$B$13*(G52-FILLME!$B$14)),FILLME!$B$6)</f>
        <v>46104.25</v>
      </c>
      <c r="G52" s="8"/>
      <c r="H52" s="8"/>
      <c r="I52" s="2"/>
      <c r="J52" s="9" t="str">
        <f t="shared" si="0"/>
        <v>_00</v>
      </c>
      <c r="K52" s="10" t="str">
        <f t="shared" ca="1" si="1"/>
        <v>SSFLAT__20260323_00</v>
      </c>
      <c r="L52" s="10" t="str">
        <f t="shared" ca="1" si="2"/>
        <v>SSFLAT__20260323_0000</v>
      </c>
      <c r="M52" t="b">
        <f>IF(ROW()-ROW($M$1) &lt;= FILLME!$G$4, TRUE, FALSE)</f>
        <v>0</v>
      </c>
      <c r="N52" t="b">
        <f>IF(ROW()-ROW($N$1) &lt;= FILLME!$G$5, TRUE, FALSE)</f>
        <v>0</v>
      </c>
      <c r="O52" t="b">
        <f>IF(ROW()-ROW($O$1) &lt;= FILLME!$G$7, TRUE, FALSE)</f>
        <v>0</v>
      </c>
      <c r="P52" t="b">
        <f>IF(ROW()-ROW($P$1) &lt;= FILLME!$G$6, TRUE, FALSE)</f>
        <v>0</v>
      </c>
      <c r="Q52" t="b">
        <f>IF(ROW()-ROW($Q$1) &lt;= FILLME!$G$8, TRUE, FALSE)</f>
        <v>0</v>
      </c>
      <c r="R52" t="b">
        <f>IF(ROW()-ROW($R$1) &lt;= FILLME!$G$9, TRUE, FALSE)</f>
        <v>0</v>
      </c>
      <c r="S52" t="b">
        <f>IF(ROW()-ROW($S$1) &lt;= FILLME!$G$10, TRUE, FALSE)</f>
        <v>0</v>
      </c>
      <c r="T52" t="b">
        <f>IF(ROW()-ROW($T$1) &lt;= FILLME!$G$11, TRUE, FALSE)</f>
        <v>0</v>
      </c>
    </row>
    <row r="53" spans="1:20" x14ac:dyDescent="0.25">
      <c r="A53" s="7" t="str">
        <f>FILLME!$B$7</f>
        <v>ISCO</v>
      </c>
      <c r="B53" t="str">
        <f>IF(FILLME!$B$3 = "", "", FILLME!$B$3)</f>
        <v>WWS</v>
      </c>
      <c r="C53" t="str">
        <f>IF(FILLME!$B$4 = "", "", FILLME!$B$4)</f>
        <v>SSFLAT</v>
      </c>
      <c r="D53" s="7" t="str">
        <f ca="1">TEXT(FILLME!$B$6,"yyyymmdd")</f>
        <v>20260323</v>
      </c>
      <c r="E53" s="8"/>
      <c r="F53" s="7">
        <f ca="1">IF(FILLME!$B$7="ISCO",FILLME!$B$6+FILLME!$B$11+(FILLME!$B$13*(G53-FILLME!$B$14)),FILLME!$B$6)</f>
        <v>46104.25</v>
      </c>
      <c r="G53" s="8"/>
      <c r="H53" s="8"/>
      <c r="I53" s="2"/>
      <c r="J53" s="9" t="str">
        <f t="shared" si="0"/>
        <v>_00</v>
      </c>
      <c r="K53" s="10" t="str">
        <f t="shared" ca="1" si="1"/>
        <v>SSFLAT__20260323_00</v>
      </c>
      <c r="L53" s="10" t="str">
        <f t="shared" ca="1" si="2"/>
        <v>SSFLAT__20260323_0000</v>
      </c>
      <c r="M53" t="b">
        <f>IF(ROW()-ROW($M$1) &lt;= FILLME!$G$4, TRUE, FALSE)</f>
        <v>0</v>
      </c>
      <c r="N53" t="b">
        <f>IF(ROW()-ROW($N$1) &lt;= FILLME!$G$5, TRUE, FALSE)</f>
        <v>0</v>
      </c>
      <c r="O53" t="b">
        <f>IF(ROW()-ROW($O$1) &lt;= FILLME!$G$7, TRUE, FALSE)</f>
        <v>0</v>
      </c>
      <c r="P53" t="b">
        <f>IF(ROW()-ROW($P$1) &lt;= FILLME!$G$6, TRUE, FALSE)</f>
        <v>0</v>
      </c>
      <c r="Q53" t="b">
        <f>IF(ROW()-ROW($Q$1) &lt;= FILLME!$G$8, TRUE, FALSE)</f>
        <v>0</v>
      </c>
      <c r="R53" t="b">
        <f>IF(ROW()-ROW($R$1) &lt;= FILLME!$G$9, TRUE, FALSE)</f>
        <v>0</v>
      </c>
      <c r="S53" t="b">
        <f>IF(ROW()-ROW($S$1) &lt;= FILLME!$G$10, TRUE, FALSE)</f>
        <v>0</v>
      </c>
      <c r="T53" t="b">
        <f>IF(ROW()-ROW($T$1) &lt;= FILLME!$G$11, TRUE, FALSE)</f>
        <v>0</v>
      </c>
    </row>
    <row r="54" spans="1:20" x14ac:dyDescent="0.25">
      <c r="A54" s="7" t="str">
        <f>FILLME!$B$7</f>
        <v>ISCO</v>
      </c>
      <c r="B54" t="str">
        <f>IF(FILLME!$B$3 = "", "", FILLME!$B$3)</f>
        <v>WWS</v>
      </c>
      <c r="C54" t="str">
        <f>IF(FILLME!$B$4 = "", "", FILLME!$B$4)</f>
        <v>SSFLAT</v>
      </c>
      <c r="D54" s="7" t="str">
        <f ca="1">TEXT(FILLME!$B$6,"yyyymmdd")</f>
        <v>20260323</v>
      </c>
      <c r="E54" s="8"/>
      <c r="F54" s="7">
        <f ca="1">IF(FILLME!$B$7="ISCO",FILLME!$B$6+FILLME!$B$11+(FILLME!$B$13*(G54-FILLME!$B$14)),FILLME!$B$6)</f>
        <v>46104.25</v>
      </c>
      <c r="G54" s="8"/>
      <c r="H54" s="8"/>
      <c r="I54" s="2"/>
      <c r="J54" s="9" t="str">
        <f t="shared" si="0"/>
        <v>_00</v>
      </c>
      <c r="K54" s="10" t="str">
        <f t="shared" ca="1" si="1"/>
        <v>SSFLAT__20260323_00</v>
      </c>
      <c r="L54" s="10" t="str">
        <f t="shared" ca="1" si="2"/>
        <v>SSFLAT__20260323_0000</v>
      </c>
      <c r="M54" t="b">
        <f>IF(ROW()-ROW($M$1) &lt;= FILLME!$G$4, TRUE, FALSE)</f>
        <v>0</v>
      </c>
      <c r="N54" t="b">
        <f>IF(ROW()-ROW($N$1) &lt;= FILLME!$G$5, TRUE, FALSE)</f>
        <v>0</v>
      </c>
      <c r="O54" t="b">
        <f>IF(ROW()-ROW($O$1) &lt;= FILLME!$G$7, TRUE, FALSE)</f>
        <v>0</v>
      </c>
      <c r="P54" t="b">
        <f>IF(ROW()-ROW($P$1) &lt;= FILLME!$G$6, TRUE, FALSE)</f>
        <v>0</v>
      </c>
      <c r="Q54" t="b">
        <f>IF(ROW()-ROW($Q$1) &lt;= FILLME!$G$8, TRUE, FALSE)</f>
        <v>0</v>
      </c>
      <c r="R54" t="b">
        <f>IF(ROW()-ROW($R$1) &lt;= FILLME!$G$9, TRUE, FALSE)</f>
        <v>0</v>
      </c>
      <c r="S54" t="b">
        <f>IF(ROW()-ROW($S$1) &lt;= FILLME!$G$10, TRUE, FALSE)</f>
        <v>0</v>
      </c>
      <c r="T54" t="b">
        <f>IF(ROW()-ROW($T$1) &lt;= FILLME!$G$11, TRUE, FALSE)</f>
        <v>0</v>
      </c>
    </row>
    <row r="55" spans="1:20" x14ac:dyDescent="0.25">
      <c r="A55" s="7" t="str">
        <f>FILLME!$B$7</f>
        <v>ISCO</v>
      </c>
      <c r="B55" t="str">
        <f>IF(FILLME!$B$3 = "", "", FILLME!$B$3)</f>
        <v>WWS</v>
      </c>
      <c r="C55" t="str">
        <f>IF(FILLME!$B$4 = "", "", FILLME!$B$4)</f>
        <v>SSFLAT</v>
      </c>
      <c r="D55" s="7" t="str">
        <f ca="1">TEXT(FILLME!$B$6,"yyyymmdd")</f>
        <v>20260323</v>
      </c>
      <c r="E55" s="8"/>
      <c r="F55" s="7">
        <f ca="1">IF(FILLME!$B$7="ISCO",FILLME!$B$6+FILLME!$B$11+(FILLME!$B$13*(G55-FILLME!$B$14)),FILLME!$B$6)</f>
        <v>46104.25</v>
      </c>
      <c r="G55" s="8"/>
      <c r="H55" s="8"/>
      <c r="I55" s="2"/>
      <c r="J55" s="9" t="str">
        <f t="shared" si="0"/>
        <v>_00</v>
      </c>
      <c r="K55" s="10" t="str">
        <f t="shared" ca="1" si="1"/>
        <v>SSFLAT__20260323_00</v>
      </c>
      <c r="L55" s="10" t="str">
        <f t="shared" ca="1" si="2"/>
        <v>SSFLAT__20260323_0000</v>
      </c>
      <c r="M55" t="b">
        <f>IF(ROW()-ROW($M$1) &lt;= FILLME!$G$4, TRUE, FALSE)</f>
        <v>0</v>
      </c>
      <c r="N55" t="b">
        <f>IF(ROW()-ROW($N$1) &lt;= FILLME!$G$5, TRUE, FALSE)</f>
        <v>0</v>
      </c>
      <c r="O55" t="b">
        <f>IF(ROW()-ROW($O$1) &lt;= FILLME!$G$7, TRUE, FALSE)</f>
        <v>0</v>
      </c>
      <c r="P55" t="b">
        <f>IF(ROW()-ROW($P$1) &lt;= FILLME!$G$6, TRUE, FALSE)</f>
        <v>0</v>
      </c>
      <c r="Q55" t="b">
        <f>IF(ROW()-ROW($Q$1) &lt;= FILLME!$G$8, TRUE, FALSE)</f>
        <v>0</v>
      </c>
      <c r="R55" t="b">
        <f>IF(ROW()-ROW($R$1) &lt;= FILLME!$G$9, TRUE, FALSE)</f>
        <v>0</v>
      </c>
      <c r="S55" t="b">
        <f>IF(ROW()-ROW($S$1) &lt;= FILLME!$G$10, TRUE, FALSE)</f>
        <v>0</v>
      </c>
      <c r="T55" t="b">
        <f>IF(ROW()-ROW($T$1) &lt;= FILLME!$G$11, TRUE, FALSE)</f>
        <v>0</v>
      </c>
    </row>
    <row r="56" spans="1:20" x14ac:dyDescent="0.25">
      <c r="A56" s="7" t="str">
        <f>FILLME!$B$7</f>
        <v>ISCO</v>
      </c>
      <c r="B56" t="str">
        <f>IF(FILLME!$B$3 = "", "", FILLME!$B$3)</f>
        <v>WWS</v>
      </c>
      <c r="C56" t="str">
        <f>IF(FILLME!$B$4 = "", "", FILLME!$B$4)</f>
        <v>SSFLAT</v>
      </c>
      <c r="D56" s="7" t="str">
        <f ca="1">TEXT(FILLME!$B$6,"yyyymmdd")</f>
        <v>20260323</v>
      </c>
      <c r="E56" s="8"/>
      <c r="F56" s="7">
        <f ca="1">IF(FILLME!$B$7="ISCO",FILLME!$B$6+FILLME!$B$11+(FILLME!$B$13*(G56-FILLME!$B$14)),FILLME!$B$6)</f>
        <v>46104.25</v>
      </c>
      <c r="G56" s="8"/>
      <c r="H56" s="8"/>
      <c r="I56" s="2"/>
      <c r="J56" s="9" t="str">
        <f t="shared" si="0"/>
        <v>_00</v>
      </c>
      <c r="K56" s="10" t="str">
        <f t="shared" ca="1" si="1"/>
        <v>SSFLAT__20260323_00</v>
      </c>
      <c r="L56" s="10" t="str">
        <f t="shared" ca="1" si="2"/>
        <v>SSFLAT__20260323_0000</v>
      </c>
      <c r="M56" t="b">
        <f>IF(ROW()-ROW($M$1) &lt;= FILLME!$G$4, TRUE, FALSE)</f>
        <v>0</v>
      </c>
      <c r="N56" t="b">
        <f>IF(ROW()-ROW($N$1) &lt;= FILLME!$G$5, TRUE, FALSE)</f>
        <v>0</v>
      </c>
      <c r="O56" t="b">
        <f>IF(ROW()-ROW($O$1) &lt;= FILLME!$G$7, TRUE, FALSE)</f>
        <v>0</v>
      </c>
      <c r="P56" t="b">
        <f>IF(ROW()-ROW($P$1) &lt;= FILLME!$G$6, TRUE, FALSE)</f>
        <v>0</v>
      </c>
      <c r="Q56" t="b">
        <f>IF(ROW()-ROW($Q$1) &lt;= FILLME!$G$8, TRUE, FALSE)</f>
        <v>0</v>
      </c>
      <c r="R56" t="b">
        <f>IF(ROW()-ROW($R$1) &lt;= FILLME!$G$9, TRUE, FALSE)</f>
        <v>0</v>
      </c>
      <c r="S56" t="b">
        <f>IF(ROW()-ROW($S$1) &lt;= FILLME!$G$10, TRUE, FALSE)</f>
        <v>0</v>
      </c>
      <c r="T56" t="b">
        <f>IF(ROW()-ROW($T$1) &lt;= FILLME!$G$11, TRUE, FALSE)</f>
        <v>0</v>
      </c>
    </row>
    <row r="57" spans="1:20" x14ac:dyDescent="0.25">
      <c r="A57" s="7" t="str">
        <f>FILLME!$B$7</f>
        <v>ISCO</v>
      </c>
      <c r="B57" t="str">
        <f>IF(FILLME!$B$3 = "", "", FILLME!$B$3)</f>
        <v>WWS</v>
      </c>
      <c r="C57" t="str">
        <f>IF(FILLME!$B$4 = "", "", FILLME!$B$4)</f>
        <v>SSFLAT</v>
      </c>
      <c r="D57" s="7" t="str">
        <f ca="1">TEXT(FILLME!$B$6,"yyyymmdd")</f>
        <v>20260323</v>
      </c>
      <c r="E57" s="8"/>
      <c r="F57" s="7">
        <f ca="1">IF(FILLME!$B$7="ISCO",FILLME!$B$6+FILLME!$B$11+(FILLME!$B$13*(G57-FILLME!$B$14)),FILLME!$B$6)</f>
        <v>46104.25</v>
      </c>
      <c r="G57" s="8"/>
      <c r="H57" s="8"/>
      <c r="I57" s="2"/>
      <c r="J57" s="9" t="str">
        <f t="shared" si="0"/>
        <v>_00</v>
      </c>
      <c r="K57" s="10" t="str">
        <f t="shared" ca="1" si="1"/>
        <v>SSFLAT__20260323_00</v>
      </c>
      <c r="L57" s="10" t="str">
        <f t="shared" ca="1" si="2"/>
        <v>SSFLAT__20260323_0000</v>
      </c>
      <c r="M57" t="b">
        <f>IF(ROW()-ROW($M$1) &lt;= FILLME!$G$4, TRUE, FALSE)</f>
        <v>0</v>
      </c>
      <c r="N57" t="b">
        <f>IF(ROW()-ROW($N$1) &lt;= FILLME!$G$5, TRUE, FALSE)</f>
        <v>0</v>
      </c>
      <c r="O57" t="b">
        <f>IF(ROW()-ROW($O$1) &lt;= FILLME!$G$7, TRUE, FALSE)</f>
        <v>0</v>
      </c>
      <c r="P57" t="b">
        <f>IF(ROW()-ROW($P$1) &lt;= FILLME!$G$6, TRUE, FALSE)</f>
        <v>0</v>
      </c>
      <c r="Q57" t="b">
        <f>IF(ROW()-ROW($Q$1) &lt;= FILLME!$G$8, TRUE, FALSE)</f>
        <v>0</v>
      </c>
      <c r="R57" t="b">
        <f>IF(ROW()-ROW($R$1) &lt;= FILLME!$G$9, TRUE, FALSE)</f>
        <v>0</v>
      </c>
      <c r="S57" t="b">
        <f>IF(ROW()-ROW($S$1) &lt;= FILLME!$G$10, TRUE, FALSE)</f>
        <v>0</v>
      </c>
      <c r="T57" t="b">
        <f>IF(ROW()-ROW($T$1) &lt;= FILLME!$G$11, TRUE, FALSE)</f>
        <v>0</v>
      </c>
    </row>
    <row r="58" spans="1:20" x14ac:dyDescent="0.25">
      <c r="A58" s="7" t="str">
        <f>FILLME!$B$7</f>
        <v>ISCO</v>
      </c>
      <c r="B58" t="str">
        <f>IF(FILLME!$B$3 = "", "", FILLME!$B$3)</f>
        <v>WWS</v>
      </c>
      <c r="C58" t="str">
        <f>IF(FILLME!$B$4 = "", "", FILLME!$B$4)</f>
        <v>SSFLAT</v>
      </c>
      <c r="D58" s="7" t="str">
        <f ca="1">TEXT(FILLME!$B$6,"yyyymmdd")</f>
        <v>20260323</v>
      </c>
      <c r="E58" s="8"/>
      <c r="F58" s="7">
        <f ca="1">IF(FILLME!$B$7="ISCO",FILLME!$B$6+FILLME!$B$11+(FILLME!$B$13*(G58-FILLME!$B$14)),FILLME!$B$6)</f>
        <v>46104.25</v>
      </c>
      <c r="G58" s="8"/>
      <c r="H58" s="8"/>
      <c r="I58" s="2"/>
      <c r="J58" s="9" t="str">
        <f t="shared" si="0"/>
        <v>_00</v>
      </c>
      <c r="K58" s="10" t="str">
        <f t="shared" ca="1" si="1"/>
        <v>SSFLAT__20260323_00</v>
      </c>
      <c r="L58" s="10" t="str">
        <f t="shared" ca="1" si="2"/>
        <v>SSFLAT__20260323_0000</v>
      </c>
      <c r="M58" t="b">
        <f>IF(ROW()-ROW($M$1) &lt;= FILLME!$G$4, TRUE, FALSE)</f>
        <v>0</v>
      </c>
      <c r="N58" t="b">
        <f>IF(ROW()-ROW($N$1) &lt;= FILLME!$G$5, TRUE, FALSE)</f>
        <v>0</v>
      </c>
      <c r="O58" t="b">
        <f>IF(ROW()-ROW($O$1) &lt;= FILLME!$G$7, TRUE, FALSE)</f>
        <v>0</v>
      </c>
      <c r="P58" t="b">
        <f>IF(ROW()-ROW($P$1) &lt;= FILLME!$G$6, TRUE, FALSE)</f>
        <v>0</v>
      </c>
      <c r="Q58" t="b">
        <f>IF(ROW()-ROW($Q$1) &lt;= FILLME!$G$8, TRUE, FALSE)</f>
        <v>0</v>
      </c>
      <c r="R58" t="b">
        <f>IF(ROW()-ROW($R$1) &lt;= FILLME!$G$9, TRUE, FALSE)</f>
        <v>0</v>
      </c>
      <c r="S58" t="b">
        <f>IF(ROW()-ROW($S$1) &lt;= FILLME!$G$10, TRUE, FALSE)</f>
        <v>0</v>
      </c>
      <c r="T58" t="b">
        <f>IF(ROW()-ROW($T$1) &lt;= FILLME!$G$11, TRUE, FALSE)</f>
        <v>0</v>
      </c>
    </row>
    <row r="59" spans="1:20" x14ac:dyDescent="0.25">
      <c r="A59" s="7" t="str">
        <f>FILLME!$B$7</f>
        <v>ISCO</v>
      </c>
      <c r="B59" t="str">
        <f>IF(FILLME!$B$3 = "", "", FILLME!$B$3)</f>
        <v>WWS</v>
      </c>
      <c r="C59" t="str">
        <f>IF(FILLME!$B$4 = "", "", FILLME!$B$4)</f>
        <v>SSFLAT</v>
      </c>
      <c r="D59" s="7" t="str">
        <f ca="1">TEXT(FILLME!$B$6,"yyyymmdd")</f>
        <v>20260323</v>
      </c>
      <c r="E59" s="8"/>
      <c r="F59" s="7">
        <f ca="1">IF(FILLME!$B$7="ISCO",FILLME!$B$6+FILLME!$B$11+(FILLME!$B$13*(G59-FILLME!$B$14)),FILLME!$B$6)</f>
        <v>46104.25</v>
      </c>
      <c r="G59" s="8"/>
      <c r="H59" s="8"/>
      <c r="I59" s="2"/>
      <c r="J59" s="9" t="str">
        <f t="shared" si="0"/>
        <v>_00</v>
      </c>
      <c r="K59" s="10" t="str">
        <f t="shared" ca="1" si="1"/>
        <v>SSFLAT__20260323_00</v>
      </c>
      <c r="L59" s="10" t="str">
        <f t="shared" ca="1" si="2"/>
        <v>SSFLAT__20260323_0000</v>
      </c>
      <c r="M59" t="b">
        <f>IF(ROW()-ROW($M$1) &lt;= FILLME!$G$4, TRUE, FALSE)</f>
        <v>0</v>
      </c>
      <c r="N59" t="b">
        <f>IF(ROW()-ROW($N$1) &lt;= FILLME!$G$5, TRUE, FALSE)</f>
        <v>0</v>
      </c>
      <c r="O59" t="b">
        <f>IF(ROW()-ROW($O$1) &lt;= FILLME!$G$7, TRUE, FALSE)</f>
        <v>0</v>
      </c>
      <c r="P59" t="b">
        <f>IF(ROW()-ROW($P$1) &lt;= FILLME!$G$6, TRUE, FALSE)</f>
        <v>0</v>
      </c>
      <c r="Q59" t="b">
        <f>IF(ROW()-ROW($Q$1) &lt;= FILLME!$G$8, TRUE, FALSE)</f>
        <v>0</v>
      </c>
      <c r="R59" t="b">
        <f>IF(ROW()-ROW($R$1) &lt;= FILLME!$G$9, TRUE, FALSE)</f>
        <v>0</v>
      </c>
      <c r="S59" t="b">
        <f>IF(ROW()-ROW($S$1) &lt;= FILLME!$G$10, TRUE, FALSE)</f>
        <v>0</v>
      </c>
      <c r="T59" t="b">
        <f>IF(ROW()-ROW($T$1) &lt;= FILLME!$G$11, TRUE, FALSE)</f>
        <v>0</v>
      </c>
    </row>
    <row r="60" spans="1:20" x14ac:dyDescent="0.25">
      <c r="A60" s="7" t="str">
        <f>FILLME!$B$7</f>
        <v>ISCO</v>
      </c>
      <c r="B60" t="str">
        <f>IF(FILLME!$B$3 = "", "", FILLME!$B$3)</f>
        <v>WWS</v>
      </c>
      <c r="C60" t="str">
        <f>IF(FILLME!$B$4 = "", "", FILLME!$B$4)</f>
        <v>SSFLAT</v>
      </c>
      <c r="D60" s="7" t="str">
        <f ca="1">TEXT(FILLME!$B$6,"yyyymmdd")</f>
        <v>20260323</v>
      </c>
      <c r="E60" s="8"/>
      <c r="F60" s="7">
        <f ca="1">IF(FILLME!$B$7="ISCO",FILLME!$B$6+FILLME!$B$11+(FILLME!$B$13*(G60-FILLME!$B$14)),FILLME!$B$6)</f>
        <v>46104.25</v>
      </c>
      <c r="G60" s="8"/>
      <c r="H60" s="8"/>
      <c r="I60" s="2"/>
      <c r="J60" s="9" t="str">
        <f t="shared" si="0"/>
        <v>_00</v>
      </c>
      <c r="K60" s="10" t="str">
        <f t="shared" ca="1" si="1"/>
        <v>SSFLAT__20260323_00</v>
      </c>
      <c r="L60" s="10" t="str">
        <f t="shared" ca="1" si="2"/>
        <v>SSFLAT__20260323_0000</v>
      </c>
      <c r="M60" t="b">
        <f>IF(ROW()-ROW($M$1) &lt;= FILLME!$G$4, TRUE, FALSE)</f>
        <v>0</v>
      </c>
      <c r="N60" t="b">
        <f>IF(ROW()-ROW($N$1) &lt;= FILLME!$G$5, TRUE, FALSE)</f>
        <v>0</v>
      </c>
      <c r="O60" t="b">
        <f>IF(ROW()-ROW($O$1) &lt;= FILLME!$G$7, TRUE, FALSE)</f>
        <v>0</v>
      </c>
      <c r="P60" t="b">
        <f>IF(ROW()-ROW($P$1) &lt;= FILLME!$G$6, TRUE, FALSE)</f>
        <v>0</v>
      </c>
      <c r="Q60" t="b">
        <f>IF(ROW()-ROW($Q$1) &lt;= FILLME!$G$8, TRUE, FALSE)</f>
        <v>0</v>
      </c>
      <c r="R60" t="b">
        <f>IF(ROW()-ROW($R$1) &lt;= FILLME!$G$9, TRUE, FALSE)</f>
        <v>0</v>
      </c>
      <c r="S60" t="b">
        <f>IF(ROW()-ROW($S$1) &lt;= FILLME!$G$10, TRUE, FALSE)</f>
        <v>0</v>
      </c>
      <c r="T60" t="b">
        <f>IF(ROW()-ROW($T$1) &lt;= FILLME!$G$11, TRUE, FALSE)</f>
        <v>0</v>
      </c>
    </row>
    <row r="61" spans="1:20" x14ac:dyDescent="0.25">
      <c r="A61" s="7" t="str">
        <f>FILLME!$B$7</f>
        <v>ISCO</v>
      </c>
      <c r="B61" t="str">
        <f>IF(FILLME!$B$3 = "", "", FILLME!$B$3)</f>
        <v>WWS</v>
      </c>
      <c r="C61" t="str">
        <f>IF(FILLME!$B$4 = "", "", FILLME!$B$4)</f>
        <v>SSFLAT</v>
      </c>
      <c r="D61" s="7" t="str">
        <f ca="1">TEXT(FILLME!$B$6,"yyyymmdd")</f>
        <v>20260323</v>
      </c>
      <c r="E61" s="8"/>
      <c r="F61" s="7">
        <f ca="1">IF(FILLME!$B$7="ISCO",FILLME!$B$6+FILLME!$B$11+(FILLME!$B$13*(G61-FILLME!$B$14)),FILLME!$B$6)</f>
        <v>46104.25</v>
      </c>
      <c r="G61" s="8"/>
      <c r="H61" s="8"/>
      <c r="I61" s="2"/>
      <c r="J61" s="9" t="str">
        <f t="shared" si="0"/>
        <v>_00</v>
      </c>
      <c r="K61" s="10" t="str">
        <f t="shared" ca="1" si="1"/>
        <v>SSFLAT__20260323_00</v>
      </c>
      <c r="L61" s="10" t="str">
        <f t="shared" ca="1" si="2"/>
        <v>SSFLAT__20260323_0000</v>
      </c>
      <c r="M61" t="b">
        <f>IF(ROW()-ROW($M$1) &lt;= FILLME!$G$4, TRUE, FALSE)</f>
        <v>0</v>
      </c>
      <c r="N61" t="b">
        <f>IF(ROW()-ROW($N$1) &lt;= FILLME!$G$5, TRUE, FALSE)</f>
        <v>0</v>
      </c>
      <c r="O61" t="b">
        <f>IF(ROW()-ROW($O$1) &lt;= FILLME!$G$7, TRUE, FALSE)</f>
        <v>0</v>
      </c>
      <c r="P61" t="b">
        <f>IF(ROW()-ROW($P$1) &lt;= FILLME!$G$6, TRUE, FALSE)</f>
        <v>0</v>
      </c>
      <c r="Q61" t="b">
        <f>IF(ROW()-ROW($Q$1) &lt;= FILLME!$G$8, TRUE, FALSE)</f>
        <v>0</v>
      </c>
      <c r="R61" t="b">
        <f>IF(ROW()-ROW($R$1) &lt;= FILLME!$G$9, TRUE, FALSE)</f>
        <v>0</v>
      </c>
      <c r="S61" t="b">
        <f>IF(ROW()-ROW($S$1) &lt;= FILLME!$G$10, TRUE, FALSE)</f>
        <v>0</v>
      </c>
      <c r="T61" t="b">
        <f>IF(ROW()-ROW($T$1) &lt;= FILLME!$G$11, TRUE, FALSE)</f>
        <v>0</v>
      </c>
    </row>
    <row r="62" spans="1:20" x14ac:dyDescent="0.25">
      <c r="A62" s="7" t="str">
        <f>FILLME!$B$7</f>
        <v>ISCO</v>
      </c>
      <c r="B62" t="str">
        <f>IF(FILLME!$B$3 = "", "", FILLME!$B$3)</f>
        <v>WWS</v>
      </c>
      <c r="C62" t="str">
        <f>IF(FILLME!$B$4 = "", "", FILLME!$B$4)</f>
        <v>SSFLAT</v>
      </c>
      <c r="D62" s="7" t="str">
        <f ca="1">TEXT(FILLME!$B$6,"yyyymmdd")</f>
        <v>20260323</v>
      </c>
      <c r="E62" s="8"/>
      <c r="F62" s="7">
        <f ca="1">IF(FILLME!$B$7="ISCO",FILLME!$B$6+FILLME!$B$11+(FILLME!$B$13*(G62-FILLME!$B$14)),FILLME!$B$6)</f>
        <v>46104.25</v>
      </c>
      <c r="G62" s="8"/>
      <c r="H62" s="8"/>
      <c r="I62" s="2"/>
      <c r="J62" s="9" t="str">
        <f t="shared" si="0"/>
        <v>_00</v>
      </c>
      <c r="K62" s="10" t="str">
        <f t="shared" ca="1" si="1"/>
        <v>SSFLAT__20260323_00</v>
      </c>
      <c r="L62" s="10" t="str">
        <f t="shared" ca="1" si="2"/>
        <v>SSFLAT__20260323_0000</v>
      </c>
      <c r="M62" t="b">
        <f>IF(ROW()-ROW($M$1) &lt;= FILLME!$G$4, TRUE, FALSE)</f>
        <v>0</v>
      </c>
      <c r="N62" t="b">
        <f>IF(ROW()-ROW($N$1) &lt;= FILLME!$G$5, TRUE, FALSE)</f>
        <v>0</v>
      </c>
      <c r="O62" t="b">
        <f>IF(ROW()-ROW($O$1) &lt;= FILLME!$G$7, TRUE, FALSE)</f>
        <v>0</v>
      </c>
      <c r="P62" t="b">
        <f>IF(ROW()-ROW($P$1) &lt;= FILLME!$G$6, TRUE, FALSE)</f>
        <v>0</v>
      </c>
      <c r="Q62" t="b">
        <f>IF(ROW()-ROW($Q$1) &lt;= FILLME!$G$8, TRUE, FALSE)</f>
        <v>0</v>
      </c>
      <c r="R62" t="b">
        <f>IF(ROW()-ROW($R$1) &lt;= FILLME!$G$9, TRUE, FALSE)</f>
        <v>0</v>
      </c>
      <c r="S62" t="b">
        <f>IF(ROW()-ROW($S$1) &lt;= FILLME!$G$10, TRUE, FALSE)</f>
        <v>0</v>
      </c>
      <c r="T62" t="b">
        <f>IF(ROW()-ROW($T$1) &lt;= FILLME!$G$11, TRUE, FALSE)</f>
        <v>0</v>
      </c>
    </row>
    <row r="63" spans="1:20" x14ac:dyDescent="0.25">
      <c r="A63" s="7" t="str">
        <f>FILLME!$B$7</f>
        <v>ISCO</v>
      </c>
      <c r="B63" t="str">
        <f>IF(FILLME!$B$3 = "", "", FILLME!$B$3)</f>
        <v>WWS</v>
      </c>
      <c r="C63" t="str">
        <f>IF(FILLME!$B$4 = "", "", FILLME!$B$4)</f>
        <v>SSFLAT</v>
      </c>
      <c r="D63" s="7" t="str">
        <f ca="1">TEXT(FILLME!$B$6,"yyyymmdd")</f>
        <v>20260323</v>
      </c>
      <c r="E63" s="8"/>
      <c r="F63" s="7">
        <f ca="1">IF(FILLME!$B$7="ISCO",FILLME!$B$6+FILLME!$B$11+(FILLME!$B$13*(G63-FILLME!$B$14)),FILLME!$B$6)</f>
        <v>46104.25</v>
      </c>
      <c r="G63" s="8"/>
      <c r="H63" s="8"/>
      <c r="I63" s="2"/>
      <c r="J63" s="9" t="str">
        <f t="shared" si="0"/>
        <v>_00</v>
      </c>
      <c r="K63" s="10" t="str">
        <f t="shared" ca="1" si="1"/>
        <v>SSFLAT__20260323_00</v>
      </c>
      <c r="L63" s="10" t="str">
        <f t="shared" ca="1" si="2"/>
        <v>SSFLAT__20260323_0000</v>
      </c>
      <c r="M63" t="b">
        <f>IF(ROW()-ROW($M$1) &lt;= FILLME!$G$4, TRUE, FALSE)</f>
        <v>0</v>
      </c>
      <c r="N63" t="b">
        <f>IF(ROW()-ROW($N$1) &lt;= FILLME!$G$5, TRUE, FALSE)</f>
        <v>0</v>
      </c>
      <c r="O63" t="b">
        <f>IF(ROW()-ROW($O$1) &lt;= FILLME!$G$7, TRUE, FALSE)</f>
        <v>0</v>
      </c>
      <c r="P63" t="b">
        <f>IF(ROW()-ROW($P$1) &lt;= FILLME!$G$6, TRUE, FALSE)</f>
        <v>0</v>
      </c>
      <c r="Q63" t="b">
        <f>IF(ROW()-ROW($Q$1) &lt;= FILLME!$G$8, TRUE, FALSE)</f>
        <v>0</v>
      </c>
      <c r="R63" t="b">
        <f>IF(ROW()-ROW($R$1) &lt;= FILLME!$G$9, TRUE, FALSE)</f>
        <v>0</v>
      </c>
      <c r="S63" t="b">
        <f>IF(ROW()-ROW($S$1) &lt;= FILLME!$G$10, TRUE, FALSE)</f>
        <v>0</v>
      </c>
      <c r="T63" t="b">
        <f>IF(ROW()-ROW($T$1) &lt;= FILLME!$G$11, TRUE, FALSE)</f>
        <v>0</v>
      </c>
    </row>
    <row r="64" spans="1:20" x14ac:dyDescent="0.25">
      <c r="A64" s="7" t="str">
        <f>FILLME!$B$7</f>
        <v>ISCO</v>
      </c>
      <c r="B64" t="str">
        <f>IF(FILLME!$B$3 = "", "", FILLME!$B$3)</f>
        <v>WWS</v>
      </c>
      <c r="C64" t="str">
        <f>IF(FILLME!$B$4 = "", "", FILLME!$B$4)</f>
        <v>SSFLAT</v>
      </c>
      <c r="D64" s="7" t="str">
        <f ca="1">TEXT(FILLME!$B$6,"yyyymmdd")</f>
        <v>20260323</v>
      </c>
      <c r="E64" s="8"/>
      <c r="F64" s="7">
        <f ca="1">IF(FILLME!$B$7="ISCO",FILLME!$B$6+FILLME!$B$11+(FILLME!$B$13*(G64-FILLME!$B$14)),FILLME!$B$6)</f>
        <v>46104.25</v>
      </c>
      <c r="G64" s="8"/>
      <c r="H64" s="8"/>
      <c r="I64" s="2"/>
      <c r="J64" s="9" t="str">
        <f t="shared" si="0"/>
        <v>_00</v>
      </c>
      <c r="K64" s="10" t="str">
        <f t="shared" ca="1" si="1"/>
        <v>SSFLAT__20260323_00</v>
      </c>
      <c r="L64" s="10" t="str">
        <f t="shared" ca="1" si="2"/>
        <v>SSFLAT__20260323_0000</v>
      </c>
      <c r="M64" t="b">
        <f>IF(ROW()-ROW($M$1) &lt;= FILLME!$G$4, TRUE, FALSE)</f>
        <v>0</v>
      </c>
      <c r="N64" t="b">
        <f>IF(ROW()-ROW($N$1) &lt;= FILLME!$G$5, TRUE, FALSE)</f>
        <v>0</v>
      </c>
      <c r="O64" t="b">
        <f>IF(ROW()-ROW($O$1) &lt;= FILLME!$G$7, TRUE, FALSE)</f>
        <v>0</v>
      </c>
      <c r="P64" t="b">
        <f>IF(ROW()-ROW($P$1) &lt;= FILLME!$G$6, TRUE, FALSE)</f>
        <v>0</v>
      </c>
      <c r="Q64" t="b">
        <f>IF(ROW()-ROW($Q$1) &lt;= FILLME!$G$8, TRUE, FALSE)</f>
        <v>0</v>
      </c>
      <c r="R64" t="b">
        <f>IF(ROW()-ROW($R$1) &lt;= FILLME!$G$9, TRUE, FALSE)</f>
        <v>0</v>
      </c>
      <c r="S64" t="b">
        <f>IF(ROW()-ROW($S$1) &lt;= FILLME!$G$10, TRUE, FALSE)</f>
        <v>0</v>
      </c>
      <c r="T64" t="b">
        <f>IF(ROW()-ROW($T$1) &lt;= FILLME!$G$11, TRUE, FALSE)</f>
        <v>0</v>
      </c>
    </row>
    <row r="65" spans="1:20" x14ac:dyDescent="0.25">
      <c r="A65" s="7" t="str">
        <f>FILLME!$B$7</f>
        <v>ISCO</v>
      </c>
      <c r="B65" t="str">
        <f>IF(FILLME!$B$3 = "", "", FILLME!$B$3)</f>
        <v>WWS</v>
      </c>
      <c r="C65" t="str">
        <f>IF(FILLME!$B$4 = "", "", FILLME!$B$4)</f>
        <v>SSFLAT</v>
      </c>
      <c r="D65" s="7" t="str">
        <f ca="1">TEXT(FILLME!$B$6,"yyyymmdd")</f>
        <v>20260323</v>
      </c>
      <c r="E65" s="8"/>
      <c r="F65" s="7">
        <f ca="1">IF(FILLME!$B$7="ISCO",FILLME!$B$6+FILLME!$B$11+(FILLME!$B$13*(G65-FILLME!$B$14)),FILLME!$B$6)</f>
        <v>46104.25</v>
      </c>
      <c r="G65" s="8"/>
      <c r="H65" s="8"/>
      <c r="I65" s="2"/>
      <c r="J65" s="9" t="str">
        <f t="shared" si="0"/>
        <v>_00</v>
      </c>
      <c r="K65" s="10" t="str">
        <f t="shared" ca="1" si="1"/>
        <v>SSFLAT__20260323_00</v>
      </c>
      <c r="L65" s="10" t="str">
        <f t="shared" ca="1" si="2"/>
        <v>SSFLAT__20260323_0000</v>
      </c>
      <c r="M65" t="b">
        <f>IF(ROW()-ROW($M$1) &lt;= FILLME!$G$4, TRUE, FALSE)</f>
        <v>0</v>
      </c>
      <c r="N65" t="b">
        <f>IF(ROW()-ROW($N$1) &lt;= FILLME!$G$5, TRUE, FALSE)</f>
        <v>0</v>
      </c>
      <c r="O65" t="b">
        <f>IF(ROW()-ROW($O$1) &lt;= FILLME!$G$7, TRUE, FALSE)</f>
        <v>0</v>
      </c>
      <c r="P65" t="b">
        <f>IF(ROW()-ROW($P$1) &lt;= FILLME!$G$6, TRUE, FALSE)</f>
        <v>0</v>
      </c>
      <c r="Q65" t="b">
        <f>IF(ROW()-ROW($Q$1) &lt;= FILLME!$G$8, TRUE, FALSE)</f>
        <v>0</v>
      </c>
      <c r="R65" t="b">
        <f>IF(ROW()-ROW($R$1) &lt;= FILLME!$G$9, TRUE, FALSE)</f>
        <v>0</v>
      </c>
      <c r="S65" t="b">
        <f>IF(ROW()-ROW($S$1) &lt;= FILLME!$G$10, TRUE, FALSE)</f>
        <v>0</v>
      </c>
      <c r="T65" t="b">
        <f>IF(ROW()-ROW($T$1) &lt;= FILLME!$G$11, TRUE, FALSE)</f>
        <v>0</v>
      </c>
    </row>
    <row r="66" spans="1:20" x14ac:dyDescent="0.25">
      <c r="A66" s="7" t="str">
        <f>FILLME!$B$7</f>
        <v>ISCO</v>
      </c>
      <c r="B66" t="str">
        <f>IF(FILLME!$B$3 = "", "", FILLME!$B$3)</f>
        <v>WWS</v>
      </c>
      <c r="C66" t="str">
        <f>IF(FILLME!$B$4 = "", "", FILLME!$B$4)</f>
        <v>SSFLAT</v>
      </c>
      <c r="D66" s="7" t="str">
        <f ca="1">TEXT(FILLME!$B$6,"yyyymmdd")</f>
        <v>20260323</v>
      </c>
      <c r="E66" s="8"/>
      <c r="F66" s="7">
        <f ca="1">IF(FILLME!$B$7="ISCO",FILLME!$B$6+FILLME!$B$11+(FILLME!$B$13*(G66-FILLME!$B$14)),FILLME!$B$6)</f>
        <v>46104.25</v>
      </c>
      <c r="G66" s="8"/>
      <c r="H66" s="8"/>
      <c r="I66" s="2"/>
      <c r="J66" s="9" t="str">
        <f t="shared" si="0"/>
        <v>_00</v>
      </c>
      <c r="K66" s="10" t="str">
        <f t="shared" ca="1" si="1"/>
        <v>SSFLAT__20260323_00</v>
      </c>
      <c r="L66" s="10" t="str">
        <f t="shared" ca="1" si="2"/>
        <v>SSFLAT__20260323_0000</v>
      </c>
      <c r="M66" t="b">
        <f>IF(ROW()-ROW($M$1) &lt;= FILLME!$G$4, TRUE, FALSE)</f>
        <v>0</v>
      </c>
      <c r="N66" t="b">
        <f>IF(ROW()-ROW($N$1) &lt;= FILLME!$G$5, TRUE, FALSE)</f>
        <v>0</v>
      </c>
      <c r="O66" t="b">
        <f>IF(ROW()-ROW($O$1) &lt;= FILLME!$G$7, TRUE, FALSE)</f>
        <v>0</v>
      </c>
      <c r="P66" t="b">
        <f>IF(ROW()-ROW($P$1) &lt;= FILLME!$G$6, TRUE, FALSE)</f>
        <v>0</v>
      </c>
      <c r="Q66" t="b">
        <f>IF(ROW()-ROW($Q$1) &lt;= FILLME!$G$8, TRUE, FALSE)</f>
        <v>0</v>
      </c>
      <c r="R66" t="b">
        <f>IF(ROW()-ROW($R$1) &lt;= FILLME!$G$9, TRUE, FALSE)</f>
        <v>0</v>
      </c>
      <c r="S66" t="b">
        <f>IF(ROW()-ROW($S$1) &lt;= FILLME!$G$10, TRUE, FALSE)</f>
        <v>0</v>
      </c>
      <c r="T66" t="b">
        <f>IF(ROW()-ROW($T$1) &lt;= FILLME!$G$11, TRUE, FALSE)</f>
        <v>0</v>
      </c>
    </row>
    <row r="67" spans="1:20" x14ac:dyDescent="0.25">
      <c r="A67" s="7" t="str">
        <f>FILLME!$B$7</f>
        <v>ISCO</v>
      </c>
      <c r="B67" t="str">
        <f>IF(FILLME!$B$3 = "", "", FILLME!$B$3)</f>
        <v>WWS</v>
      </c>
      <c r="C67" t="str">
        <f>IF(FILLME!$B$4 = "", "", FILLME!$B$4)</f>
        <v>SSFLAT</v>
      </c>
      <c r="D67" s="7" t="str">
        <f ca="1">TEXT(FILLME!$B$6,"yyyymmdd")</f>
        <v>20260323</v>
      </c>
      <c r="E67" s="8"/>
      <c r="F67" s="7">
        <f ca="1">IF(FILLME!$B$7="ISCO",FILLME!$B$6+FILLME!$B$11+(FILLME!$B$13*(G67-FILLME!$B$14)),FILLME!$B$6)</f>
        <v>46104.25</v>
      </c>
      <c r="G67" s="8"/>
      <c r="H67" s="8"/>
      <c r="I67" s="2"/>
      <c r="J67" s="9" t="str">
        <f t="shared" ref="J67:J130" si="3">CONCATENATE(I67,"_",TEXT(G67,"00"))</f>
        <v>_00</v>
      </c>
      <c r="K67" s="10" t="str">
        <f t="shared" ref="K67:K130" ca="1" si="4">CONCATENATE(C67,"_", I67,"_",D67,"_",TEXT(G67,"00"))</f>
        <v>SSFLAT__20260323_00</v>
      </c>
      <c r="L67" s="10" t="str">
        <f t="shared" ref="L67:L130" ca="1" si="5">CONCATENATE(C67,"_", I67,"_",TEXT(F67, "yyyymmdd"),"_",TEXT(E67, "hhmm"))</f>
        <v>SSFLAT__20260323_0000</v>
      </c>
      <c r="M67" t="b">
        <f>IF(ROW()-ROW($M$1) &lt;= FILLME!$G$4, TRUE, FALSE)</f>
        <v>0</v>
      </c>
      <c r="N67" t="b">
        <f>IF(ROW()-ROW($N$1) &lt;= FILLME!$G$5, TRUE, FALSE)</f>
        <v>0</v>
      </c>
      <c r="O67" t="b">
        <f>IF(ROW()-ROW($O$1) &lt;= FILLME!$G$7, TRUE, FALSE)</f>
        <v>0</v>
      </c>
      <c r="P67" t="b">
        <f>IF(ROW()-ROW($P$1) &lt;= FILLME!$G$6, TRUE, FALSE)</f>
        <v>0</v>
      </c>
      <c r="Q67" t="b">
        <f>IF(ROW()-ROW($Q$1) &lt;= FILLME!$G$8, TRUE, FALSE)</f>
        <v>0</v>
      </c>
      <c r="R67" t="b">
        <f>IF(ROW()-ROW($R$1) &lt;= FILLME!$G$9, TRUE, FALSE)</f>
        <v>0</v>
      </c>
      <c r="S67" t="b">
        <f>IF(ROW()-ROW($S$1) &lt;= FILLME!$G$10, TRUE, FALSE)</f>
        <v>0</v>
      </c>
      <c r="T67" t="b">
        <f>IF(ROW()-ROW($T$1) &lt;= FILLME!$G$11, TRUE, FALSE)</f>
        <v>0</v>
      </c>
    </row>
    <row r="68" spans="1:20" x14ac:dyDescent="0.25">
      <c r="A68" s="7" t="str">
        <f>FILLME!$B$7</f>
        <v>ISCO</v>
      </c>
      <c r="B68" t="str">
        <f>IF(FILLME!$B$3 = "", "", FILLME!$B$3)</f>
        <v>WWS</v>
      </c>
      <c r="C68" t="str">
        <f>IF(FILLME!$B$4 = "", "", FILLME!$B$4)</f>
        <v>SSFLAT</v>
      </c>
      <c r="D68" s="7" t="str">
        <f ca="1">TEXT(FILLME!$B$6,"yyyymmdd")</f>
        <v>20260323</v>
      </c>
      <c r="E68" s="8"/>
      <c r="F68" s="7">
        <f ca="1">IF(FILLME!$B$7="ISCO",FILLME!$B$6+FILLME!$B$11+(FILLME!$B$13*(G68-FILLME!$B$14)),FILLME!$B$6)</f>
        <v>46104.25</v>
      </c>
      <c r="G68" s="8"/>
      <c r="H68" s="8"/>
      <c r="I68" s="2"/>
      <c r="J68" s="9" t="str">
        <f t="shared" si="3"/>
        <v>_00</v>
      </c>
      <c r="K68" s="10" t="str">
        <f t="shared" ca="1" si="4"/>
        <v>SSFLAT__20260323_00</v>
      </c>
      <c r="L68" s="10" t="str">
        <f t="shared" ca="1" si="5"/>
        <v>SSFLAT__20260323_0000</v>
      </c>
      <c r="M68" t="b">
        <f>IF(ROW()-ROW($M$1) &lt;= FILLME!$G$4, TRUE, FALSE)</f>
        <v>0</v>
      </c>
      <c r="N68" t="b">
        <f>IF(ROW()-ROW($N$1) &lt;= FILLME!$G$5, TRUE, FALSE)</f>
        <v>0</v>
      </c>
      <c r="O68" t="b">
        <f>IF(ROW()-ROW($O$1) &lt;= FILLME!$G$7, TRUE, FALSE)</f>
        <v>0</v>
      </c>
      <c r="P68" t="b">
        <f>IF(ROW()-ROW($P$1) &lt;= FILLME!$G$6, TRUE, FALSE)</f>
        <v>0</v>
      </c>
      <c r="Q68" t="b">
        <f>IF(ROW()-ROW($Q$1) &lt;= FILLME!$G$8, TRUE, FALSE)</f>
        <v>0</v>
      </c>
      <c r="R68" t="b">
        <f>IF(ROW()-ROW($R$1) &lt;= FILLME!$G$9, TRUE, FALSE)</f>
        <v>0</v>
      </c>
      <c r="S68" t="b">
        <f>IF(ROW()-ROW($S$1) &lt;= FILLME!$G$10, TRUE, FALSE)</f>
        <v>0</v>
      </c>
      <c r="T68" t="b">
        <f>IF(ROW()-ROW($T$1) &lt;= FILLME!$G$11, TRUE, FALSE)</f>
        <v>0</v>
      </c>
    </row>
    <row r="69" spans="1:20" x14ac:dyDescent="0.25">
      <c r="A69" s="7" t="str">
        <f>FILLME!$B$7</f>
        <v>ISCO</v>
      </c>
      <c r="B69" t="str">
        <f>IF(FILLME!$B$3 = "", "", FILLME!$B$3)</f>
        <v>WWS</v>
      </c>
      <c r="C69" t="str">
        <f>IF(FILLME!$B$4 = "", "", FILLME!$B$4)</f>
        <v>SSFLAT</v>
      </c>
      <c r="D69" s="7" t="str">
        <f ca="1">TEXT(FILLME!$B$6,"yyyymmdd")</f>
        <v>20260323</v>
      </c>
      <c r="E69" s="8"/>
      <c r="F69" s="7">
        <f ca="1">IF(FILLME!$B$7="ISCO",FILLME!$B$6+FILLME!$B$11+(FILLME!$B$13*(G69-FILLME!$B$14)),FILLME!$B$6)</f>
        <v>46104.25</v>
      </c>
      <c r="G69" s="8"/>
      <c r="H69" s="8"/>
      <c r="I69" s="2"/>
      <c r="J69" s="9" t="str">
        <f t="shared" si="3"/>
        <v>_00</v>
      </c>
      <c r="K69" s="10" t="str">
        <f t="shared" ca="1" si="4"/>
        <v>SSFLAT__20260323_00</v>
      </c>
      <c r="L69" s="10" t="str">
        <f t="shared" ca="1" si="5"/>
        <v>SSFLAT__20260323_0000</v>
      </c>
      <c r="M69" t="b">
        <f>IF(ROW()-ROW($M$1) &lt;= FILLME!$G$4, TRUE, FALSE)</f>
        <v>0</v>
      </c>
      <c r="N69" t="b">
        <f>IF(ROW()-ROW($N$1) &lt;= FILLME!$G$5, TRUE, FALSE)</f>
        <v>0</v>
      </c>
      <c r="O69" t="b">
        <f>IF(ROW()-ROW($O$1) &lt;= FILLME!$G$7, TRUE, FALSE)</f>
        <v>0</v>
      </c>
      <c r="P69" t="b">
        <f>IF(ROW()-ROW($P$1) &lt;= FILLME!$G$6, TRUE, FALSE)</f>
        <v>0</v>
      </c>
      <c r="Q69" t="b">
        <f>IF(ROW()-ROW($Q$1) &lt;= FILLME!$G$8, TRUE, FALSE)</f>
        <v>0</v>
      </c>
      <c r="R69" t="b">
        <f>IF(ROW()-ROW($R$1) &lt;= FILLME!$G$9, TRUE, FALSE)</f>
        <v>0</v>
      </c>
      <c r="S69" t="b">
        <f>IF(ROW()-ROW($S$1) &lt;= FILLME!$G$10, TRUE, FALSE)</f>
        <v>0</v>
      </c>
      <c r="T69" t="b">
        <f>IF(ROW()-ROW($T$1) &lt;= FILLME!$G$11, TRUE, FALSE)</f>
        <v>0</v>
      </c>
    </row>
    <row r="70" spans="1:20" x14ac:dyDescent="0.25">
      <c r="A70" s="7" t="str">
        <f>FILLME!$B$7</f>
        <v>ISCO</v>
      </c>
      <c r="B70" t="str">
        <f>IF(FILLME!$B$3 = "", "", FILLME!$B$3)</f>
        <v>WWS</v>
      </c>
      <c r="C70" t="str">
        <f>IF(FILLME!$B$4 = "", "", FILLME!$B$4)</f>
        <v>SSFLAT</v>
      </c>
      <c r="D70" s="7" t="str">
        <f ca="1">TEXT(FILLME!$B$6,"yyyymmdd")</f>
        <v>20260323</v>
      </c>
      <c r="E70" s="8"/>
      <c r="F70" s="7">
        <f ca="1">IF(FILLME!$B$7="ISCO",FILLME!$B$6+FILLME!$B$11+(FILLME!$B$13*(G70-FILLME!$B$14)),FILLME!$B$6)</f>
        <v>46104.25</v>
      </c>
      <c r="G70" s="8"/>
      <c r="H70" s="8"/>
      <c r="I70" s="2"/>
      <c r="J70" s="9" t="str">
        <f t="shared" si="3"/>
        <v>_00</v>
      </c>
      <c r="K70" s="10" t="str">
        <f t="shared" ca="1" si="4"/>
        <v>SSFLAT__20260323_00</v>
      </c>
      <c r="L70" s="10" t="str">
        <f t="shared" ca="1" si="5"/>
        <v>SSFLAT__20260323_0000</v>
      </c>
      <c r="M70" t="b">
        <f>IF(ROW()-ROW($M$1) &lt;= FILLME!$G$4, TRUE, FALSE)</f>
        <v>0</v>
      </c>
      <c r="N70" t="b">
        <f>IF(ROW()-ROW($N$1) &lt;= FILLME!$G$5, TRUE, FALSE)</f>
        <v>0</v>
      </c>
      <c r="O70" t="b">
        <f>IF(ROW()-ROW($O$1) &lt;= FILLME!$G$7, TRUE, FALSE)</f>
        <v>0</v>
      </c>
      <c r="P70" t="b">
        <f>IF(ROW()-ROW($P$1) &lt;= FILLME!$G$6, TRUE, FALSE)</f>
        <v>0</v>
      </c>
      <c r="Q70" t="b">
        <f>IF(ROW()-ROW($Q$1) &lt;= FILLME!$G$8, TRUE, FALSE)</f>
        <v>0</v>
      </c>
      <c r="R70" t="b">
        <f>IF(ROW()-ROW($R$1) &lt;= FILLME!$G$9, TRUE, FALSE)</f>
        <v>0</v>
      </c>
      <c r="S70" t="b">
        <f>IF(ROW()-ROW($S$1) &lt;= FILLME!$G$10, TRUE, FALSE)</f>
        <v>0</v>
      </c>
      <c r="T70" t="b">
        <f>IF(ROW()-ROW($T$1) &lt;= FILLME!$G$11, TRUE, FALSE)</f>
        <v>0</v>
      </c>
    </row>
    <row r="71" spans="1:20" x14ac:dyDescent="0.25">
      <c r="A71" s="7" t="str">
        <f>FILLME!$B$7</f>
        <v>ISCO</v>
      </c>
      <c r="B71" t="str">
        <f>IF(FILLME!$B$3 = "", "", FILLME!$B$3)</f>
        <v>WWS</v>
      </c>
      <c r="C71" t="str">
        <f>IF(FILLME!$B$4 = "", "", FILLME!$B$4)</f>
        <v>SSFLAT</v>
      </c>
      <c r="D71" s="7" t="str">
        <f ca="1">TEXT(FILLME!$B$6,"yyyymmdd")</f>
        <v>20260323</v>
      </c>
      <c r="E71" s="8"/>
      <c r="F71" s="7">
        <f ca="1">IF(FILLME!$B$7="ISCO",FILLME!$B$6+FILLME!$B$11+(FILLME!$B$13*(G71-FILLME!$B$14)),FILLME!$B$6)</f>
        <v>46104.25</v>
      </c>
      <c r="G71" s="8"/>
      <c r="H71" s="8"/>
      <c r="I71" s="2"/>
      <c r="J71" s="9" t="str">
        <f t="shared" si="3"/>
        <v>_00</v>
      </c>
      <c r="K71" s="10" t="str">
        <f t="shared" ca="1" si="4"/>
        <v>SSFLAT__20260323_00</v>
      </c>
      <c r="L71" s="10" t="str">
        <f t="shared" ca="1" si="5"/>
        <v>SSFLAT__20260323_0000</v>
      </c>
      <c r="M71" t="b">
        <f>IF(ROW()-ROW($M$1) &lt;= FILLME!$G$4, TRUE, FALSE)</f>
        <v>0</v>
      </c>
      <c r="N71" t="b">
        <f>IF(ROW()-ROW($N$1) &lt;= FILLME!$G$5, TRUE, FALSE)</f>
        <v>0</v>
      </c>
      <c r="O71" t="b">
        <f>IF(ROW()-ROW($O$1) &lt;= FILLME!$G$7, TRUE, FALSE)</f>
        <v>0</v>
      </c>
      <c r="P71" t="b">
        <f>IF(ROW()-ROW($P$1) &lt;= FILLME!$G$6, TRUE, FALSE)</f>
        <v>0</v>
      </c>
      <c r="Q71" t="b">
        <f>IF(ROW()-ROW($Q$1) &lt;= FILLME!$G$8, TRUE, FALSE)</f>
        <v>0</v>
      </c>
      <c r="R71" t="b">
        <f>IF(ROW()-ROW($R$1) &lt;= FILLME!$G$9, TRUE, FALSE)</f>
        <v>0</v>
      </c>
      <c r="S71" t="b">
        <f>IF(ROW()-ROW($S$1) &lt;= FILLME!$G$10, TRUE, FALSE)</f>
        <v>0</v>
      </c>
      <c r="T71" t="b">
        <f>IF(ROW()-ROW($T$1) &lt;= FILLME!$G$11, TRUE, FALSE)</f>
        <v>0</v>
      </c>
    </row>
    <row r="72" spans="1:20" x14ac:dyDescent="0.25">
      <c r="A72" s="7" t="str">
        <f>FILLME!$B$7</f>
        <v>ISCO</v>
      </c>
      <c r="B72" t="str">
        <f>IF(FILLME!$B$3 = "", "", FILLME!$B$3)</f>
        <v>WWS</v>
      </c>
      <c r="C72" t="str">
        <f>IF(FILLME!$B$4 = "", "", FILLME!$B$4)</f>
        <v>SSFLAT</v>
      </c>
      <c r="D72" s="7" t="str">
        <f ca="1">TEXT(FILLME!$B$6,"yyyymmdd")</f>
        <v>20260323</v>
      </c>
      <c r="E72" s="8"/>
      <c r="F72" s="7">
        <f ca="1">IF(FILLME!$B$7="ISCO",FILLME!$B$6+FILLME!$B$11+(FILLME!$B$13*(G72-FILLME!$B$14)),FILLME!$B$6)</f>
        <v>46104.25</v>
      </c>
      <c r="G72" s="8"/>
      <c r="H72" s="8"/>
      <c r="I72" s="2"/>
      <c r="J72" s="9" t="str">
        <f t="shared" si="3"/>
        <v>_00</v>
      </c>
      <c r="K72" s="10" t="str">
        <f t="shared" ca="1" si="4"/>
        <v>SSFLAT__20260323_00</v>
      </c>
      <c r="L72" s="10" t="str">
        <f t="shared" ca="1" si="5"/>
        <v>SSFLAT__20260323_0000</v>
      </c>
      <c r="M72" t="b">
        <f>IF(ROW()-ROW($M$1) &lt;= FILLME!$G$4, TRUE, FALSE)</f>
        <v>0</v>
      </c>
      <c r="N72" t="b">
        <f>IF(ROW()-ROW($N$1) &lt;= FILLME!$G$5, TRUE, FALSE)</f>
        <v>0</v>
      </c>
      <c r="O72" t="b">
        <f>IF(ROW()-ROW($O$1) &lt;= FILLME!$G$7, TRUE, FALSE)</f>
        <v>0</v>
      </c>
      <c r="P72" t="b">
        <f>IF(ROW()-ROW($P$1) &lt;= FILLME!$G$6, TRUE, FALSE)</f>
        <v>0</v>
      </c>
      <c r="Q72" t="b">
        <f>IF(ROW()-ROW($Q$1) &lt;= FILLME!$G$8, TRUE, FALSE)</f>
        <v>0</v>
      </c>
      <c r="R72" t="b">
        <f>IF(ROW()-ROW($R$1) &lt;= FILLME!$G$9, TRUE, FALSE)</f>
        <v>0</v>
      </c>
      <c r="S72" t="b">
        <f>IF(ROW()-ROW($S$1) &lt;= FILLME!$G$10, TRUE, FALSE)</f>
        <v>0</v>
      </c>
      <c r="T72" t="b">
        <f>IF(ROW()-ROW($T$1) &lt;= FILLME!$G$11, TRUE, FALSE)</f>
        <v>0</v>
      </c>
    </row>
    <row r="73" spans="1:20" x14ac:dyDescent="0.25">
      <c r="A73" s="7" t="str">
        <f>FILLME!$B$7</f>
        <v>ISCO</v>
      </c>
      <c r="B73" t="str">
        <f>IF(FILLME!$B$3 = "", "", FILLME!$B$3)</f>
        <v>WWS</v>
      </c>
      <c r="C73" t="str">
        <f>IF(FILLME!$B$4 = "", "", FILLME!$B$4)</f>
        <v>SSFLAT</v>
      </c>
      <c r="D73" s="7" t="str">
        <f ca="1">TEXT(FILLME!$B$6,"yyyymmdd")</f>
        <v>20260323</v>
      </c>
      <c r="E73" s="8"/>
      <c r="F73" s="7">
        <f ca="1">IF(FILLME!$B$7="ISCO",FILLME!$B$6+FILLME!$B$11+(FILLME!$B$13*(G73-FILLME!$B$14)),FILLME!$B$6)</f>
        <v>46104.25</v>
      </c>
      <c r="G73" s="8"/>
      <c r="H73" s="8"/>
      <c r="I73" s="2"/>
      <c r="J73" s="9" t="str">
        <f t="shared" si="3"/>
        <v>_00</v>
      </c>
      <c r="K73" s="10" t="str">
        <f t="shared" ca="1" si="4"/>
        <v>SSFLAT__20260323_00</v>
      </c>
      <c r="L73" s="10" t="str">
        <f t="shared" ca="1" si="5"/>
        <v>SSFLAT__20260323_0000</v>
      </c>
      <c r="M73" t="b">
        <f>IF(ROW()-ROW($M$1) &lt;= FILLME!$G$4, TRUE, FALSE)</f>
        <v>0</v>
      </c>
      <c r="N73" t="b">
        <f>IF(ROW()-ROW($N$1) &lt;= FILLME!$G$5, TRUE, FALSE)</f>
        <v>0</v>
      </c>
      <c r="O73" t="b">
        <f>IF(ROW()-ROW($O$1) &lt;= FILLME!$G$7, TRUE, FALSE)</f>
        <v>0</v>
      </c>
      <c r="P73" t="b">
        <f>IF(ROW()-ROW($P$1) &lt;= FILLME!$G$6, TRUE, FALSE)</f>
        <v>0</v>
      </c>
      <c r="Q73" t="b">
        <f>IF(ROW()-ROW($Q$1) &lt;= FILLME!$G$8, TRUE, FALSE)</f>
        <v>0</v>
      </c>
      <c r="R73" t="b">
        <f>IF(ROW()-ROW($R$1) &lt;= FILLME!$G$9, TRUE, FALSE)</f>
        <v>0</v>
      </c>
      <c r="S73" t="b">
        <f>IF(ROW()-ROW($S$1) &lt;= FILLME!$G$10, TRUE, FALSE)</f>
        <v>0</v>
      </c>
      <c r="T73" t="b">
        <f>IF(ROW()-ROW($T$1) &lt;= FILLME!$G$11, TRUE, FALSE)</f>
        <v>0</v>
      </c>
    </row>
    <row r="74" spans="1:20" x14ac:dyDescent="0.25">
      <c r="A74" s="7" t="str">
        <f>FILLME!$B$7</f>
        <v>ISCO</v>
      </c>
      <c r="B74" t="str">
        <f>IF(FILLME!$B$3 = "", "", FILLME!$B$3)</f>
        <v>WWS</v>
      </c>
      <c r="C74" t="str">
        <f>IF(FILLME!$B$4 = "", "", FILLME!$B$4)</f>
        <v>SSFLAT</v>
      </c>
      <c r="D74" s="7" t="str">
        <f ca="1">TEXT(FILLME!$B$6,"yyyymmdd")</f>
        <v>20260323</v>
      </c>
      <c r="E74" s="8"/>
      <c r="F74" s="7">
        <f ca="1">IF(FILLME!$B$7="ISCO",FILLME!$B$6+FILLME!$B$11+(FILLME!$B$13*(G74-FILLME!$B$14)),FILLME!$B$6)</f>
        <v>46104.25</v>
      </c>
      <c r="G74" s="8"/>
      <c r="H74" s="8"/>
      <c r="I74" s="2"/>
      <c r="J74" s="9" t="str">
        <f t="shared" si="3"/>
        <v>_00</v>
      </c>
      <c r="K74" s="10" t="str">
        <f t="shared" ca="1" si="4"/>
        <v>SSFLAT__20260323_00</v>
      </c>
      <c r="L74" s="10" t="str">
        <f t="shared" ca="1" si="5"/>
        <v>SSFLAT__20260323_0000</v>
      </c>
      <c r="M74" t="b">
        <f>IF(ROW()-ROW($M$1) &lt;= FILLME!$G$4, TRUE, FALSE)</f>
        <v>0</v>
      </c>
      <c r="N74" t="b">
        <f>IF(ROW()-ROW($N$1) &lt;= FILLME!$G$5, TRUE, FALSE)</f>
        <v>0</v>
      </c>
      <c r="O74" t="b">
        <f>IF(ROW()-ROW($O$1) &lt;= FILLME!$G$7, TRUE, FALSE)</f>
        <v>0</v>
      </c>
      <c r="P74" t="b">
        <f>IF(ROW()-ROW($P$1) &lt;= FILLME!$G$6, TRUE, FALSE)</f>
        <v>0</v>
      </c>
      <c r="Q74" t="b">
        <f>IF(ROW()-ROW($Q$1) &lt;= FILLME!$G$8, TRUE, FALSE)</f>
        <v>0</v>
      </c>
      <c r="R74" t="b">
        <f>IF(ROW()-ROW($R$1) &lt;= FILLME!$G$9, TRUE, FALSE)</f>
        <v>0</v>
      </c>
      <c r="S74" t="b">
        <f>IF(ROW()-ROW($S$1) &lt;= FILLME!$G$10, TRUE, FALSE)</f>
        <v>0</v>
      </c>
      <c r="T74" t="b">
        <f>IF(ROW()-ROW($T$1) &lt;= FILLME!$G$11, TRUE, FALSE)</f>
        <v>0</v>
      </c>
    </row>
    <row r="75" spans="1:20" x14ac:dyDescent="0.25">
      <c r="A75" s="7" t="str">
        <f>FILLME!$B$7</f>
        <v>ISCO</v>
      </c>
      <c r="B75" t="str">
        <f>IF(FILLME!$B$3 = "", "", FILLME!$B$3)</f>
        <v>WWS</v>
      </c>
      <c r="C75" t="str">
        <f>IF(FILLME!$B$4 = "", "", FILLME!$B$4)</f>
        <v>SSFLAT</v>
      </c>
      <c r="D75" s="7" t="str">
        <f ca="1">TEXT(FILLME!$B$6,"yyyymmdd")</f>
        <v>20260323</v>
      </c>
      <c r="E75" s="8"/>
      <c r="F75" s="7">
        <f ca="1">IF(FILLME!$B$7="ISCO",FILLME!$B$6+FILLME!$B$11+(FILLME!$B$13*(G75-FILLME!$B$14)),FILLME!$B$6)</f>
        <v>46104.25</v>
      </c>
      <c r="G75" s="8"/>
      <c r="H75" s="8"/>
      <c r="I75" s="2"/>
      <c r="J75" s="9" t="str">
        <f t="shared" si="3"/>
        <v>_00</v>
      </c>
      <c r="K75" s="10" t="str">
        <f t="shared" ca="1" si="4"/>
        <v>SSFLAT__20260323_00</v>
      </c>
      <c r="L75" s="10" t="str">
        <f t="shared" ca="1" si="5"/>
        <v>SSFLAT__20260323_0000</v>
      </c>
      <c r="M75" t="b">
        <f>IF(ROW()-ROW($M$1) &lt;= FILLME!$G$4, TRUE, FALSE)</f>
        <v>0</v>
      </c>
      <c r="N75" t="b">
        <f>IF(ROW()-ROW($N$1) &lt;= FILLME!$G$5, TRUE, FALSE)</f>
        <v>0</v>
      </c>
      <c r="O75" t="b">
        <f>IF(ROW()-ROW($O$1) &lt;= FILLME!$G$7, TRUE, FALSE)</f>
        <v>0</v>
      </c>
      <c r="P75" t="b">
        <f>IF(ROW()-ROW($P$1) &lt;= FILLME!$G$6, TRUE, FALSE)</f>
        <v>0</v>
      </c>
      <c r="Q75" t="b">
        <f>IF(ROW()-ROW($Q$1) &lt;= FILLME!$G$8, TRUE, FALSE)</f>
        <v>0</v>
      </c>
      <c r="R75" t="b">
        <f>IF(ROW()-ROW($R$1) &lt;= FILLME!$G$9, TRUE, FALSE)</f>
        <v>0</v>
      </c>
      <c r="S75" t="b">
        <f>IF(ROW()-ROW($S$1) &lt;= FILLME!$G$10, TRUE, FALSE)</f>
        <v>0</v>
      </c>
      <c r="T75" t="b">
        <f>IF(ROW()-ROW($T$1) &lt;= FILLME!$G$11, TRUE, FALSE)</f>
        <v>0</v>
      </c>
    </row>
    <row r="76" spans="1:20" x14ac:dyDescent="0.25">
      <c r="A76" s="7" t="str">
        <f>FILLME!$B$7</f>
        <v>ISCO</v>
      </c>
      <c r="B76" t="str">
        <f>IF(FILLME!$B$3 = "", "", FILLME!$B$3)</f>
        <v>WWS</v>
      </c>
      <c r="C76" t="str">
        <f>IF(FILLME!$B$4 = "", "", FILLME!$B$4)</f>
        <v>SSFLAT</v>
      </c>
      <c r="D76" s="7" t="str">
        <f ca="1">TEXT(FILLME!$B$6,"yyyymmdd")</f>
        <v>20260323</v>
      </c>
      <c r="E76" s="8"/>
      <c r="F76" s="7">
        <f ca="1">IF(FILLME!$B$7="ISCO",FILLME!$B$6+FILLME!$B$11+(FILLME!$B$13*(G76-FILLME!$B$14)),FILLME!$B$6)</f>
        <v>46104.25</v>
      </c>
      <c r="G76" s="8"/>
      <c r="H76" s="8"/>
      <c r="I76" s="2"/>
      <c r="J76" s="9" t="str">
        <f t="shared" si="3"/>
        <v>_00</v>
      </c>
      <c r="K76" s="10" t="str">
        <f t="shared" ca="1" si="4"/>
        <v>SSFLAT__20260323_00</v>
      </c>
      <c r="L76" s="10" t="str">
        <f t="shared" ca="1" si="5"/>
        <v>SSFLAT__20260323_0000</v>
      </c>
      <c r="M76" t="b">
        <f>IF(ROW()-ROW($M$1) &lt;= FILLME!$G$4, TRUE, FALSE)</f>
        <v>0</v>
      </c>
      <c r="N76" t="b">
        <f>IF(ROW()-ROW($N$1) &lt;= FILLME!$G$5, TRUE, FALSE)</f>
        <v>0</v>
      </c>
      <c r="O76" t="b">
        <f>IF(ROW()-ROW($O$1) &lt;= FILLME!$G$7, TRUE, FALSE)</f>
        <v>0</v>
      </c>
      <c r="P76" t="b">
        <f>IF(ROW()-ROW($P$1) &lt;= FILLME!$G$6, TRUE, FALSE)</f>
        <v>0</v>
      </c>
      <c r="Q76" t="b">
        <f>IF(ROW()-ROW($Q$1) &lt;= FILLME!$G$8, TRUE, FALSE)</f>
        <v>0</v>
      </c>
      <c r="R76" t="b">
        <f>IF(ROW()-ROW($R$1) &lt;= FILLME!$G$9, TRUE, FALSE)</f>
        <v>0</v>
      </c>
      <c r="S76" t="b">
        <f>IF(ROW()-ROW($S$1) &lt;= FILLME!$G$10, TRUE, FALSE)</f>
        <v>0</v>
      </c>
      <c r="T76" t="b">
        <f>IF(ROW()-ROW($T$1) &lt;= FILLME!$G$11, TRUE, FALSE)</f>
        <v>0</v>
      </c>
    </row>
    <row r="77" spans="1:20" x14ac:dyDescent="0.25">
      <c r="A77" s="7" t="str">
        <f>FILLME!$B$7</f>
        <v>ISCO</v>
      </c>
      <c r="B77" t="str">
        <f>IF(FILLME!$B$3 = "", "", FILLME!$B$3)</f>
        <v>WWS</v>
      </c>
      <c r="C77" t="str">
        <f>IF(FILLME!$B$4 = "", "", FILLME!$B$4)</f>
        <v>SSFLAT</v>
      </c>
      <c r="D77" s="7" t="str">
        <f ca="1">TEXT(FILLME!$B$6,"yyyymmdd")</f>
        <v>20260323</v>
      </c>
      <c r="E77" s="8"/>
      <c r="F77" s="7">
        <f ca="1">IF(FILLME!$B$7="ISCO",FILLME!$B$6+FILLME!$B$11+(FILLME!$B$13*(G77-FILLME!$B$14)),FILLME!$B$6)</f>
        <v>46104.25</v>
      </c>
      <c r="G77" s="8"/>
      <c r="H77" s="8"/>
      <c r="I77" s="2"/>
      <c r="J77" s="9" t="str">
        <f t="shared" si="3"/>
        <v>_00</v>
      </c>
      <c r="K77" s="10" t="str">
        <f t="shared" ca="1" si="4"/>
        <v>SSFLAT__20260323_00</v>
      </c>
      <c r="L77" s="10" t="str">
        <f t="shared" ca="1" si="5"/>
        <v>SSFLAT__20260323_0000</v>
      </c>
      <c r="M77" t="b">
        <f>IF(ROW()-ROW($M$1) &lt;= FILLME!$G$4, TRUE, FALSE)</f>
        <v>0</v>
      </c>
      <c r="N77" t="b">
        <f>IF(ROW()-ROW($N$1) &lt;= FILLME!$G$5, TRUE, FALSE)</f>
        <v>0</v>
      </c>
      <c r="O77" t="b">
        <f>IF(ROW()-ROW($O$1) &lt;= FILLME!$G$7, TRUE, FALSE)</f>
        <v>0</v>
      </c>
      <c r="P77" t="b">
        <f>IF(ROW()-ROW($P$1) &lt;= FILLME!$G$6, TRUE, FALSE)</f>
        <v>0</v>
      </c>
      <c r="Q77" t="b">
        <f>IF(ROW()-ROW($Q$1) &lt;= FILLME!$G$8, TRUE, FALSE)</f>
        <v>0</v>
      </c>
      <c r="R77" t="b">
        <f>IF(ROW()-ROW($R$1) &lt;= FILLME!$G$9, TRUE, FALSE)</f>
        <v>0</v>
      </c>
      <c r="S77" t="b">
        <f>IF(ROW()-ROW($S$1) &lt;= FILLME!$G$10, TRUE, FALSE)</f>
        <v>0</v>
      </c>
      <c r="T77" t="b">
        <f>IF(ROW()-ROW($T$1) &lt;= FILLME!$G$11, TRUE, FALSE)</f>
        <v>0</v>
      </c>
    </row>
    <row r="78" spans="1:20" x14ac:dyDescent="0.25">
      <c r="A78" s="7" t="str">
        <f>FILLME!$B$7</f>
        <v>ISCO</v>
      </c>
      <c r="B78" t="str">
        <f>IF(FILLME!$B$3 = "", "", FILLME!$B$3)</f>
        <v>WWS</v>
      </c>
      <c r="C78" t="str">
        <f>IF(FILLME!$B$4 = "", "", FILLME!$B$4)</f>
        <v>SSFLAT</v>
      </c>
      <c r="D78" s="7" t="str">
        <f ca="1">TEXT(FILLME!$B$6,"yyyymmdd")</f>
        <v>20260323</v>
      </c>
      <c r="E78" s="8"/>
      <c r="F78" s="7">
        <f ca="1">IF(FILLME!$B$7="ISCO",FILLME!$B$6+FILLME!$B$11+(FILLME!$B$13*(G78-FILLME!$B$14)),FILLME!$B$6)</f>
        <v>46104.25</v>
      </c>
      <c r="G78" s="8"/>
      <c r="H78" s="8"/>
      <c r="I78" s="2"/>
      <c r="J78" s="9" t="str">
        <f t="shared" si="3"/>
        <v>_00</v>
      </c>
      <c r="K78" s="10" t="str">
        <f t="shared" ca="1" si="4"/>
        <v>SSFLAT__20260323_00</v>
      </c>
      <c r="L78" s="10" t="str">
        <f t="shared" ca="1" si="5"/>
        <v>SSFLAT__20260323_0000</v>
      </c>
      <c r="M78" t="b">
        <f>IF(ROW()-ROW($M$1) &lt;= FILLME!$G$4, TRUE, FALSE)</f>
        <v>0</v>
      </c>
      <c r="N78" t="b">
        <f>IF(ROW()-ROW($N$1) &lt;= FILLME!$G$5, TRUE, FALSE)</f>
        <v>0</v>
      </c>
      <c r="O78" t="b">
        <f>IF(ROW()-ROW($O$1) &lt;= FILLME!$G$7, TRUE, FALSE)</f>
        <v>0</v>
      </c>
      <c r="P78" t="b">
        <f>IF(ROW()-ROW($P$1) &lt;= FILLME!$G$6, TRUE, FALSE)</f>
        <v>0</v>
      </c>
      <c r="Q78" t="b">
        <f>IF(ROW()-ROW($Q$1) &lt;= FILLME!$G$8, TRUE, FALSE)</f>
        <v>0</v>
      </c>
      <c r="R78" t="b">
        <f>IF(ROW()-ROW($R$1) &lt;= FILLME!$G$9, TRUE, FALSE)</f>
        <v>0</v>
      </c>
      <c r="S78" t="b">
        <f>IF(ROW()-ROW($S$1) &lt;= FILLME!$G$10, TRUE, FALSE)</f>
        <v>0</v>
      </c>
      <c r="T78" t="b">
        <f>IF(ROW()-ROW($T$1) &lt;= FILLME!$G$11, TRUE, FALSE)</f>
        <v>0</v>
      </c>
    </row>
    <row r="79" spans="1:20" x14ac:dyDescent="0.25">
      <c r="A79" s="7" t="str">
        <f>FILLME!$B$7</f>
        <v>ISCO</v>
      </c>
      <c r="B79" t="str">
        <f>IF(FILLME!$B$3 = "", "", FILLME!$B$3)</f>
        <v>WWS</v>
      </c>
      <c r="C79" t="str">
        <f>IF(FILLME!$B$4 = "", "", FILLME!$B$4)</f>
        <v>SSFLAT</v>
      </c>
      <c r="D79" s="7" t="str">
        <f ca="1">TEXT(FILLME!$B$6,"yyyymmdd")</f>
        <v>20260323</v>
      </c>
      <c r="E79" s="8"/>
      <c r="F79" s="7">
        <f ca="1">IF(FILLME!$B$7="ISCO",FILLME!$B$6+FILLME!$B$11+(FILLME!$B$13*(G79-FILLME!$B$14)),FILLME!$B$6)</f>
        <v>46104.25</v>
      </c>
      <c r="G79" s="8"/>
      <c r="H79" s="8"/>
      <c r="I79" s="2"/>
      <c r="J79" s="9" t="str">
        <f t="shared" si="3"/>
        <v>_00</v>
      </c>
      <c r="K79" s="10" t="str">
        <f t="shared" ca="1" si="4"/>
        <v>SSFLAT__20260323_00</v>
      </c>
      <c r="L79" s="10" t="str">
        <f t="shared" ca="1" si="5"/>
        <v>SSFLAT__20260323_0000</v>
      </c>
      <c r="M79" t="b">
        <f>IF(ROW()-ROW($M$1) &lt;= FILLME!$G$4, TRUE, FALSE)</f>
        <v>0</v>
      </c>
      <c r="N79" t="b">
        <f>IF(ROW()-ROW($N$1) &lt;= FILLME!$G$5, TRUE, FALSE)</f>
        <v>0</v>
      </c>
      <c r="O79" t="b">
        <f>IF(ROW()-ROW($O$1) &lt;= FILLME!$G$7, TRUE, FALSE)</f>
        <v>0</v>
      </c>
      <c r="P79" t="b">
        <f>IF(ROW()-ROW($P$1) &lt;= FILLME!$G$6, TRUE, FALSE)</f>
        <v>0</v>
      </c>
      <c r="Q79" t="b">
        <f>IF(ROW()-ROW($Q$1) &lt;= FILLME!$G$8, TRUE, FALSE)</f>
        <v>0</v>
      </c>
      <c r="R79" t="b">
        <f>IF(ROW()-ROW($R$1) &lt;= FILLME!$G$9, TRUE, FALSE)</f>
        <v>0</v>
      </c>
      <c r="S79" t="b">
        <f>IF(ROW()-ROW($S$1) &lt;= FILLME!$G$10, TRUE, FALSE)</f>
        <v>0</v>
      </c>
      <c r="T79" t="b">
        <f>IF(ROW()-ROW($T$1) &lt;= FILLME!$G$11, TRUE, FALSE)</f>
        <v>0</v>
      </c>
    </row>
    <row r="80" spans="1:20" x14ac:dyDescent="0.25">
      <c r="A80" s="7" t="str">
        <f>FILLME!$B$7</f>
        <v>ISCO</v>
      </c>
      <c r="B80" t="str">
        <f>IF(FILLME!$B$3 = "", "", FILLME!$B$3)</f>
        <v>WWS</v>
      </c>
      <c r="C80" t="str">
        <f>IF(FILLME!$B$4 = "", "", FILLME!$B$4)</f>
        <v>SSFLAT</v>
      </c>
      <c r="D80" s="7" t="str">
        <f ca="1">TEXT(FILLME!$B$6,"yyyymmdd")</f>
        <v>20260323</v>
      </c>
      <c r="E80" s="8"/>
      <c r="F80" s="7">
        <f ca="1">IF(FILLME!$B$7="ISCO",FILLME!$B$6+FILLME!$B$11+(FILLME!$B$13*(G80-FILLME!$B$14)),FILLME!$B$6)</f>
        <v>46104.25</v>
      </c>
      <c r="G80" s="8"/>
      <c r="H80" s="8"/>
      <c r="I80" s="2"/>
      <c r="J80" s="9" t="str">
        <f t="shared" si="3"/>
        <v>_00</v>
      </c>
      <c r="K80" s="10" t="str">
        <f t="shared" ca="1" si="4"/>
        <v>SSFLAT__20260323_00</v>
      </c>
      <c r="L80" s="10" t="str">
        <f t="shared" ca="1" si="5"/>
        <v>SSFLAT__20260323_0000</v>
      </c>
      <c r="M80" t="b">
        <f>IF(ROW()-ROW($M$1) &lt;= FILLME!$G$4, TRUE, FALSE)</f>
        <v>0</v>
      </c>
      <c r="N80" t="b">
        <f>IF(ROW()-ROW($N$1) &lt;= FILLME!$G$5, TRUE, FALSE)</f>
        <v>0</v>
      </c>
      <c r="O80" t="b">
        <f>IF(ROW()-ROW($O$1) &lt;= FILLME!$G$7, TRUE, FALSE)</f>
        <v>0</v>
      </c>
      <c r="P80" t="b">
        <f>IF(ROW()-ROW($P$1) &lt;= FILLME!$G$6, TRUE, FALSE)</f>
        <v>0</v>
      </c>
      <c r="Q80" t="b">
        <f>IF(ROW()-ROW($Q$1) &lt;= FILLME!$G$8, TRUE, FALSE)</f>
        <v>0</v>
      </c>
      <c r="R80" t="b">
        <f>IF(ROW()-ROW($R$1) &lt;= FILLME!$G$9, TRUE, FALSE)</f>
        <v>0</v>
      </c>
      <c r="S80" t="b">
        <f>IF(ROW()-ROW($S$1) &lt;= FILLME!$G$10, TRUE, FALSE)</f>
        <v>0</v>
      </c>
      <c r="T80" t="b">
        <f>IF(ROW()-ROW($T$1) &lt;= FILLME!$G$11, TRUE, FALSE)</f>
        <v>0</v>
      </c>
    </row>
    <row r="81" spans="1:20" x14ac:dyDescent="0.25">
      <c r="A81" s="7" t="str">
        <f>FILLME!$B$7</f>
        <v>ISCO</v>
      </c>
      <c r="B81" t="str">
        <f>IF(FILLME!$B$3 = "", "", FILLME!$B$3)</f>
        <v>WWS</v>
      </c>
      <c r="C81" t="str">
        <f>IF(FILLME!$B$4 = "", "", FILLME!$B$4)</f>
        <v>SSFLAT</v>
      </c>
      <c r="D81" s="7" t="str">
        <f ca="1">TEXT(FILLME!$B$6,"yyyymmdd")</f>
        <v>20260323</v>
      </c>
      <c r="E81" s="8"/>
      <c r="F81" s="7">
        <f ca="1">IF(FILLME!$B$7="ISCO",FILLME!$B$6+FILLME!$B$11+(FILLME!$B$13*(G81-FILLME!$B$14)),FILLME!$B$6)</f>
        <v>46104.25</v>
      </c>
      <c r="G81" s="8"/>
      <c r="H81" s="8"/>
      <c r="I81" s="2"/>
      <c r="J81" s="9" t="str">
        <f t="shared" si="3"/>
        <v>_00</v>
      </c>
      <c r="K81" s="10" t="str">
        <f t="shared" ca="1" si="4"/>
        <v>SSFLAT__20260323_00</v>
      </c>
      <c r="L81" s="10" t="str">
        <f t="shared" ca="1" si="5"/>
        <v>SSFLAT__20260323_0000</v>
      </c>
      <c r="M81" t="b">
        <f>IF(ROW()-ROW($M$1) &lt;= FILLME!$G$4, TRUE, FALSE)</f>
        <v>0</v>
      </c>
      <c r="N81" t="b">
        <f>IF(ROW()-ROW($N$1) &lt;= FILLME!$G$5, TRUE, FALSE)</f>
        <v>0</v>
      </c>
      <c r="O81" t="b">
        <f>IF(ROW()-ROW($O$1) &lt;= FILLME!$G$7, TRUE, FALSE)</f>
        <v>0</v>
      </c>
      <c r="P81" t="b">
        <f>IF(ROW()-ROW($P$1) &lt;= FILLME!$G$6, TRUE, FALSE)</f>
        <v>0</v>
      </c>
      <c r="Q81" t="b">
        <f>IF(ROW()-ROW($Q$1) &lt;= FILLME!$G$8, TRUE, FALSE)</f>
        <v>0</v>
      </c>
      <c r="R81" t="b">
        <f>IF(ROW()-ROW($R$1) &lt;= FILLME!$G$9, TRUE, FALSE)</f>
        <v>0</v>
      </c>
      <c r="S81" t="b">
        <f>IF(ROW()-ROW($S$1) &lt;= FILLME!$G$10, TRUE, FALSE)</f>
        <v>0</v>
      </c>
      <c r="T81" t="b">
        <f>IF(ROW()-ROW($T$1) &lt;= FILLME!$G$11, TRUE, FALSE)</f>
        <v>0</v>
      </c>
    </row>
    <row r="82" spans="1:20" x14ac:dyDescent="0.25">
      <c r="A82" s="7" t="str">
        <f>FILLME!$B$7</f>
        <v>ISCO</v>
      </c>
      <c r="B82" t="str">
        <f>IF(FILLME!$B$3 = "", "", FILLME!$B$3)</f>
        <v>WWS</v>
      </c>
      <c r="C82" t="str">
        <f>IF(FILLME!$B$4 = "", "", FILLME!$B$4)</f>
        <v>SSFLAT</v>
      </c>
      <c r="D82" s="7" t="str">
        <f ca="1">TEXT(FILLME!$B$6,"yyyymmdd")</f>
        <v>20260323</v>
      </c>
      <c r="E82" s="8"/>
      <c r="F82" s="7">
        <f ca="1">IF(FILLME!$B$7="ISCO",FILLME!$B$6+FILLME!$B$11+(FILLME!$B$13*(G82-FILLME!$B$14)),FILLME!$B$6)</f>
        <v>46104.25</v>
      </c>
      <c r="G82" s="8"/>
      <c r="H82" s="8"/>
      <c r="I82" s="2"/>
      <c r="J82" s="9" t="str">
        <f t="shared" si="3"/>
        <v>_00</v>
      </c>
      <c r="K82" s="10" t="str">
        <f t="shared" ca="1" si="4"/>
        <v>SSFLAT__20260323_00</v>
      </c>
      <c r="L82" s="10" t="str">
        <f t="shared" ca="1" si="5"/>
        <v>SSFLAT__20260323_0000</v>
      </c>
      <c r="M82" t="b">
        <f>IF(ROW()-ROW($M$1) &lt;= FILLME!$G$4, TRUE, FALSE)</f>
        <v>0</v>
      </c>
      <c r="N82" t="b">
        <f>IF(ROW()-ROW($N$1) &lt;= FILLME!$G$5, TRUE, FALSE)</f>
        <v>0</v>
      </c>
      <c r="O82" t="b">
        <f>IF(ROW()-ROW($O$1) &lt;= FILLME!$G$7, TRUE, FALSE)</f>
        <v>0</v>
      </c>
      <c r="P82" t="b">
        <f>IF(ROW()-ROW($P$1) &lt;= FILLME!$G$6, TRUE, FALSE)</f>
        <v>0</v>
      </c>
      <c r="Q82" t="b">
        <f>IF(ROW()-ROW($Q$1) &lt;= FILLME!$G$8, TRUE, FALSE)</f>
        <v>0</v>
      </c>
      <c r="R82" t="b">
        <f>IF(ROW()-ROW($R$1) &lt;= FILLME!$G$9, TRUE, FALSE)</f>
        <v>0</v>
      </c>
      <c r="S82" t="b">
        <f>IF(ROW()-ROW($S$1) &lt;= FILLME!$G$10, TRUE, FALSE)</f>
        <v>0</v>
      </c>
      <c r="T82" t="b">
        <f>IF(ROW()-ROW($T$1) &lt;= FILLME!$G$11, TRUE, FALSE)</f>
        <v>0</v>
      </c>
    </row>
    <row r="83" spans="1:20" x14ac:dyDescent="0.25">
      <c r="A83" s="7" t="str">
        <f>FILLME!$B$7</f>
        <v>ISCO</v>
      </c>
      <c r="B83" t="str">
        <f>IF(FILLME!$B$3 = "", "", FILLME!$B$3)</f>
        <v>WWS</v>
      </c>
      <c r="C83" t="str">
        <f>IF(FILLME!$B$4 = "", "", FILLME!$B$4)</f>
        <v>SSFLAT</v>
      </c>
      <c r="D83" s="7" t="str">
        <f ca="1">TEXT(FILLME!$B$6,"yyyymmdd")</f>
        <v>20260323</v>
      </c>
      <c r="E83" s="8"/>
      <c r="F83" s="7">
        <f ca="1">IF(FILLME!$B$7="ISCO",FILLME!$B$6+FILLME!$B$11+(FILLME!$B$13*(G83-FILLME!$B$14)),FILLME!$B$6)</f>
        <v>46104.25</v>
      </c>
      <c r="G83" s="8"/>
      <c r="H83" s="8"/>
      <c r="I83" s="2"/>
      <c r="J83" s="9" t="str">
        <f t="shared" si="3"/>
        <v>_00</v>
      </c>
      <c r="K83" s="10" t="str">
        <f t="shared" ca="1" si="4"/>
        <v>SSFLAT__20260323_00</v>
      </c>
      <c r="L83" s="10" t="str">
        <f t="shared" ca="1" si="5"/>
        <v>SSFLAT__20260323_0000</v>
      </c>
      <c r="M83" t="b">
        <f>IF(ROW()-ROW($M$1) &lt;= FILLME!$G$4, TRUE, FALSE)</f>
        <v>0</v>
      </c>
      <c r="N83" t="b">
        <f>IF(ROW()-ROW($N$1) &lt;= FILLME!$G$5, TRUE, FALSE)</f>
        <v>0</v>
      </c>
      <c r="O83" t="b">
        <f>IF(ROW()-ROW($O$1) &lt;= FILLME!$G$7, TRUE, FALSE)</f>
        <v>0</v>
      </c>
      <c r="P83" t="b">
        <f>IF(ROW()-ROW($P$1) &lt;= FILLME!$G$6, TRUE, FALSE)</f>
        <v>0</v>
      </c>
      <c r="Q83" t="b">
        <f>IF(ROW()-ROW($Q$1) &lt;= FILLME!$G$8, TRUE, FALSE)</f>
        <v>0</v>
      </c>
      <c r="R83" t="b">
        <f>IF(ROW()-ROW($R$1) &lt;= FILLME!$G$9, TRUE, FALSE)</f>
        <v>0</v>
      </c>
      <c r="S83" t="b">
        <f>IF(ROW()-ROW($S$1) &lt;= FILLME!$G$10, TRUE, FALSE)</f>
        <v>0</v>
      </c>
      <c r="T83" t="b">
        <f>IF(ROW()-ROW($T$1) &lt;= FILLME!$G$11, TRUE, FALSE)</f>
        <v>0</v>
      </c>
    </row>
    <row r="84" spans="1:20" x14ac:dyDescent="0.25">
      <c r="A84" s="7" t="str">
        <f>FILLME!$B$7</f>
        <v>ISCO</v>
      </c>
      <c r="B84" t="str">
        <f>IF(FILLME!$B$3 = "", "", FILLME!$B$3)</f>
        <v>WWS</v>
      </c>
      <c r="C84" t="str">
        <f>IF(FILLME!$B$4 = "", "", FILLME!$B$4)</f>
        <v>SSFLAT</v>
      </c>
      <c r="D84" s="7" t="str">
        <f ca="1">TEXT(FILLME!$B$6,"yyyymmdd")</f>
        <v>20260323</v>
      </c>
      <c r="E84" s="8"/>
      <c r="F84" s="7">
        <f ca="1">IF(FILLME!$B$7="ISCO",FILLME!$B$6+FILLME!$B$11+(FILLME!$B$13*(G84-FILLME!$B$14)),FILLME!$B$6)</f>
        <v>46104.25</v>
      </c>
      <c r="G84" s="8"/>
      <c r="H84" s="8"/>
      <c r="I84" s="2"/>
      <c r="J84" s="9" t="str">
        <f t="shared" si="3"/>
        <v>_00</v>
      </c>
      <c r="K84" s="10" t="str">
        <f t="shared" ca="1" si="4"/>
        <v>SSFLAT__20260323_00</v>
      </c>
      <c r="L84" s="10" t="str">
        <f t="shared" ca="1" si="5"/>
        <v>SSFLAT__20260323_0000</v>
      </c>
      <c r="M84" t="b">
        <f>IF(ROW()-ROW($M$1) &lt;= FILLME!$G$4, TRUE, FALSE)</f>
        <v>0</v>
      </c>
      <c r="N84" t="b">
        <f>IF(ROW()-ROW($N$1) &lt;= FILLME!$G$5, TRUE, FALSE)</f>
        <v>0</v>
      </c>
      <c r="O84" t="b">
        <f>IF(ROW()-ROW($O$1) &lt;= FILLME!$G$7, TRUE, FALSE)</f>
        <v>0</v>
      </c>
      <c r="P84" t="b">
        <f>IF(ROW()-ROW($P$1) &lt;= FILLME!$G$6, TRUE, FALSE)</f>
        <v>0</v>
      </c>
      <c r="Q84" t="b">
        <f>IF(ROW()-ROW($Q$1) &lt;= FILLME!$G$8, TRUE, FALSE)</f>
        <v>0</v>
      </c>
      <c r="R84" t="b">
        <f>IF(ROW()-ROW($R$1) &lt;= FILLME!$G$9, TRUE, FALSE)</f>
        <v>0</v>
      </c>
      <c r="S84" t="b">
        <f>IF(ROW()-ROW($S$1) &lt;= FILLME!$G$10, TRUE, FALSE)</f>
        <v>0</v>
      </c>
      <c r="T84" t="b">
        <f>IF(ROW()-ROW($T$1) &lt;= FILLME!$G$11, TRUE, FALSE)</f>
        <v>0</v>
      </c>
    </row>
    <row r="85" spans="1:20" x14ac:dyDescent="0.25">
      <c r="A85" s="7" t="str">
        <f>FILLME!$B$7</f>
        <v>ISCO</v>
      </c>
      <c r="B85" t="str">
        <f>IF(FILLME!$B$3 = "", "", FILLME!$B$3)</f>
        <v>WWS</v>
      </c>
      <c r="C85" t="str">
        <f>IF(FILLME!$B$4 = "", "", FILLME!$B$4)</f>
        <v>SSFLAT</v>
      </c>
      <c r="D85" s="7" t="str">
        <f ca="1">TEXT(FILLME!$B$6,"yyyymmdd")</f>
        <v>20260323</v>
      </c>
      <c r="E85" s="8"/>
      <c r="F85" s="7">
        <f ca="1">IF(FILLME!$B$7="ISCO",FILLME!$B$6+FILLME!$B$11+(FILLME!$B$13*(G85-FILLME!$B$14)),FILLME!$B$6)</f>
        <v>46104.25</v>
      </c>
      <c r="G85" s="8"/>
      <c r="H85" s="8"/>
      <c r="I85" s="2"/>
      <c r="J85" s="9" t="str">
        <f t="shared" si="3"/>
        <v>_00</v>
      </c>
      <c r="K85" s="10" t="str">
        <f t="shared" ca="1" si="4"/>
        <v>SSFLAT__20260323_00</v>
      </c>
      <c r="L85" s="10" t="str">
        <f t="shared" ca="1" si="5"/>
        <v>SSFLAT__20260323_0000</v>
      </c>
      <c r="M85" t="b">
        <f>IF(ROW()-ROW($M$1) &lt;= FILLME!$G$4, TRUE, FALSE)</f>
        <v>0</v>
      </c>
      <c r="N85" t="b">
        <f>IF(ROW()-ROW($N$1) &lt;= FILLME!$G$5, TRUE, FALSE)</f>
        <v>0</v>
      </c>
      <c r="O85" t="b">
        <f>IF(ROW()-ROW($O$1) &lt;= FILLME!$G$7, TRUE, FALSE)</f>
        <v>0</v>
      </c>
      <c r="P85" t="b">
        <f>IF(ROW()-ROW($P$1) &lt;= FILLME!$G$6, TRUE, FALSE)</f>
        <v>0</v>
      </c>
      <c r="Q85" t="b">
        <f>IF(ROW()-ROW($Q$1) &lt;= FILLME!$G$8, TRUE, FALSE)</f>
        <v>0</v>
      </c>
      <c r="R85" t="b">
        <f>IF(ROW()-ROW($R$1) &lt;= FILLME!$G$9, TRUE, FALSE)</f>
        <v>0</v>
      </c>
      <c r="S85" t="b">
        <f>IF(ROW()-ROW($S$1) &lt;= FILLME!$G$10, TRUE, FALSE)</f>
        <v>0</v>
      </c>
      <c r="T85" t="b">
        <f>IF(ROW()-ROW($T$1) &lt;= FILLME!$G$11, TRUE, FALSE)</f>
        <v>0</v>
      </c>
    </row>
    <row r="86" spans="1:20" x14ac:dyDescent="0.25">
      <c r="A86" s="7" t="str">
        <f>FILLME!$B$7</f>
        <v>ISCO</v>
      </c>
      <c r="B86" t="str">
        <f>IF(FILLME!$B$3 = "", "", FILLME!$B$3)</f>
        <v>WWS</v>
      </c>
      <c r="C86" t="str">
        <f>IF(FILLME!$B$4 = "", "", FILLME!$B$4)</f>
        <v>SSFLAT</v>
      </c>
      <c r="D86" s="7" t="str">
        <f ca="1">TEXT(FILLME!$B$6,"yyyymmdd")</f>
        <v>20260323</v>
      </c>
      <c r="E86" s="8"/>
      <c r="F86" s="7">
        <f ca="1">IF(FILLME!$B$7="ISCO",FILLME!$B$6+FILLME!$B$11+(FILLME!$B$13*(G86-FILLME!$B$14)),FILLME!$B$6)</f>
        <v>46104.25</v>
      </c>
      <c r="G86" s="8"/>
      <c r="H86" s="8"/>
      <c r="I86" s="2"/>
      <c r="J86" s="9" t="str">
        <f t="shared" si="3"/>
        <v>_00</v>
      </c>
      <c r="K86" s="10" t="str">
        <f t="shared" ca="1" si="4"/>
        <v>SSFLAT__20260323_00</v>
      </c>
      <c r="L86" s="10" t="str">
        <f t="shared" ca="1" si="5"/>
        <v>SSFLAT__20260323_0000</v>
      </c>
      <c r="M86" t="b">
        <f>IF(ROW()-ROW($M$1) &lt;= FILLME!$G$4, TRUE, FALSE)</f>
        <v>0</v>
      </c>
      <c r="N86" t="b">
        <f>IF(ROW()-ROW($N$1) &lt;= FILLME!$G$5, TRUE, FALSE)</f>
        <v>0</v>
      </c>
      <c r="O86" t="b">
        <f>IF(ROW()-ROW($O$1) &lt;= FILLME!$G$7, TRUE, FALSE)</f>
        <v>0</v>
      </c>
      <c r="P86" t="b">
        <f>IF(ROW()-ROW($P$1) &lt;= FILLME!$G$6, TRUE, FALSE)</f>
        <v>0</v>
      </c>
      <c r="Q86" t="b">
        <f>IF(ROW()-ROW($Q$1) &lt;= FILLME!$G$8, TRUE, FALSE)</f>
        <v>0</v>
      </c>
      <c r="R86" t="b">
        <f>IF(ROW()-ROW($R$1) &lt;= FILLME!$G$9, TRUE, FALSE)</f>
        <v>0</v>
      </c>
      <c r="S86" t="b">
        <f>IF(ROW()-ROW($S$1) &lt;= FILLME!$G$10, TRUE, FALSE)</f>
        <v>0</v>
      </c>
      <c r="T86" t="b">
        <f>IF(ROW()-ROW($T$1) &lt;= FILLME!$G$11, TRUE, FALSE)</f>
        <v>0</v>
      </c>
    </row>
    <row r="87" spans="1:20" x14ac:dyDescent="0.25">
      <c r="A87" s="7" t="str">
        <f>FILLME!$B$7</f>
        <v>ISCO</v>
      </c>
      <c r="B87" t="str">
        <f>IF(FILLME!$B$3 = "", "", FILLME!$B$3)</f>
        <v>WWS</v>
      </c>
      <c r="C87" t="str">
        <f>IF(FILLME!$B$4 = "", "", FILLME!$B$4)</f>
        <v>SSFLAT</v>
      </c>
      <c r="D87" s="7" t="str">
        <f ca="1">TEXT(FILLME!$B$6,"yyyymmdd")</f>
        <v>20260323</v>
      </c>
      <c r="E87" s="8"/>
      <c r="F87" s="7">
        <f ca="1">IF(FILLME!$B$7="ISCO",FILLME!$B$6+FILLME!$B$11+(FILLME!$B$13*(G87-FILLME!$B$14)),FILLME!$B$6)</f>
        <v>46104.25</v>
      </c>
      <c r="G87" s="8"/>
      <c r="H87" s="8"/>
      <c r="I87" s="2"/>
      <c r="J87" s="9" t="str">
        <f t="shared" si="3"/>
        <v>_00</v>
      </c>
      <c r="K87" s="10" t="str">
        <f t="shared" ca="1" si="4"/>
        <v>SSFLAT__20260323_00</v>
      </c>
      <c r="L87" s="10" t="str">
        <f t="shared" ca="1" si="5"/>
        <v>SSFLAT__20260323_0000</v>
      </c>
      <c r="M87" t="b">
        <f>IF(ROW()-ROW($M$1) &lt;= FILLME!$G$4, TRUE, FALSE)</f>
        <v>0</v>
      </c>
      <c r="N87" t="b">
        <f>IF(ROW()-ROW($N$1) &lt;= FILLME!$G$5, TRUE, FALSE)</f>
        <v>0</v>
      </c>
      <c r="O87" t="b">
        <f>IF(ROW()-ROW($O$1) &lt;= FILLME!$G$7, TRUE, FALSE)</f>
        <v>0</v>
      </c>
      <c r="P87" t="b">
        <f>IF(ROW()-ROW($P$1) &lt;= FILLME!$G$6, TRUE, FALSE)</f>
        <v>0</v>
      </c>
      <c r="Q87" t="b">
        <f>IF(ROW()-ROW($Q$1) &lt;= FILLME!$G$8, TRUE, FALSE)</f>
        <v>0</v>
      </c>
      <c r="R87" t="b">
        <f>IF(ROW()-ROW($R$1) &lt;= FILLME!$G$9, TRUE, FALSE)</f>
        <v>0</v>
      </c>
      <c r="S87" t="b">
        <f>IF(ROW()-ROW($S$1) &lt;= FILLME!$G$10, TRUE, FALSE)</f>
        <v>0</v>
      </c>
      <c r="T87" t="b">
        <f>IF(ROW()-ROW($T$1) &lt;= FILLME!$G$11, TRUE, FALSE)</f>
        <v>0</v>
      </c>
    </row>
    <row r="88" spans="1:20" x14ac:dyDescent="0.25">
      <c r="A88" s="7" t="str">
        <f>FILLME!$B$7</f>
        <v>ISCO</v>
      </c>
      <c r="B88" t="str">
        <f>IF(FILLME!$B$3 = "", "", FILLME!$B$3)</f>
        <v>WWS</v>
      </c>
      <c r="C88" t="str">
        <f>IF(FILLME!$B$4 = "", "", FILLME!$B$4)</f>
        <v>SSFLAT</v>
      </c>
      <c r="D88" s="7" t="str">
        <f ca="1">TEXT(FILLME!$B$6,"yyyymmdd")</f>
        <v>20260323</v>
      </c>
      <c r="E88" s="8"/>
      <c r="F88" s="7">
        <f ca="1">IF(FILLME!$B$7="ISCO",FILLME!$B$6+FILLME!$B$11+(FILLME!$B$13*(G88-FILLME!$B$14)),FILLME!$B$6)</f>
        <v>46104.25</v>
      </c>
      <c r="G88" s="8"/>
      <c r="H88" s="8"/>
      <c r="I88" s="2"/>
      <c r="J88" s="9" t="str">
        <f t="shared" si="3"/>
        <v>_00</v>
      </c>
      <c r="K88" s="10" t="str">
        <f t="shared" ca="1" si="4"/>
        <v>SSFLAT__20260323_00</v>
      </c>
      <c r="L88" s="10" t="str">
        <f t="shared" ca="1" si="5"/>
        <v>SSFLAT__20260323_0000</v>
      </c>
      <c r="M88" t="b">
        <f>IF(ROW()-ROW($M$1) &lt;= FILLME!$G$4, TRUE, FALSE)</f>
        <v>0</v>
      </c>
      <c r="N88" t="b">
        <f>IF(ROW()-ROW($N$1) &lt;= FILLME!$G$5, TRUE, FALSE)</f>
        <v>0</v>
      </c>
      <c r="O88" t="b">
        <f>IF(ROW()-ROW($O$1) &lt;= FILLME!$G$7, TRUE, FALSE)</f>
        <v>0</v>
      </c>
      <c r="P88" t="b">
        <f>IF(ROW()-ROW($P$1) &lt;= FILLME!$G$6, TRUE, FALSE)</f>
        <v>0</v>
      </c>
      <c r="Q88" t="b">
        <f>IF(ROW()-ROW($Q$1) &lt;= FILLME!$G$8, TRUE, FALSE)</f>
        <v>0</v>
      </c>
      <c r="R88" t="b">
        <f>IF(ROW()-ROW($R$1) &lt;= FILLME!$G$9, TRUE, FALSE)</f>
        <v>0</v>
      </c>
      <c r="S88" t="b">
        <f>IF(ROW()-ROW($S$1) &lt;= FILLME!$G$10, TRUE, FALSE)</f>
        <v>0</v>
      </c>
      <c r="T88" t="b">
        <f>IF(ROW()-ROW($T$1) &lt;= FILLME!$G$11, TRUE, FALSE)</f>
        <v>0</v>
      </c>
    </row>
    <row r="89" spans="1:20" x14ac:dyDescent="0.25">
      <c r="A89" s="7" t="str">
        <f>FILLME!$B$7</f>
        <v>ISCO</v>
      </c>
      <c r="B89" t="str">
        <f>IF(FILLME!$B$3 = "", "", FILLME!$B$3)</f>
        <v>WWS</v>
      </c>
      <c r="C89" t="str">
        <f>IF(FILLME!$B$4 = "", "", FILLME!$B$4)</f>
        <v>SSFLAT</v>
      </c>
      <c r="D89" s="7" t="str">
        <f ca="1">TEXT(FILLME!$B$6,"yyyymmdd")</f>
        <v>20260323</v>
      </c>
      <c r="E89" s="8"/>
      <c r="F89" s="7">
        <f ca="1">IF(FILLME!$B$7="ISCO",FILLME!$B$6+FILLME!$B$11+(FILLME!$B$13*(G89-FILLME!$B$14)),FILLME!$B$6)</f>
        <v>46104.25</v>
      </c>
      <c r="G89" s="8"/>
      <c r="H89" s="8"/>
      <c r="I89" s="2"/>
      <c r="J89" s="9" t="str">
        <f t="shared" si="3"/>
        <v>_00</v>
      </c>
      <c r="K89" s="10" t="str">
        <f t="shared" ca="1" si="4"/>
        <v>SSFLAT__20260323_00</v>
      </c>
      <c r="L89" s="10" t="str">
        <f t="shared" ca="1" si="5"/>
        <v>SSFLAT__20260323_0000</v>
      </c>
      <c r="M89" t="b">
        <f>IF(ROW()-ROW($M$1) &lt;= FILLME!$G$4, TRUE, FALSE)</f>
        <v>0</v>
      </c>
      <c r="N89" t="b">
        <f>IF(ROW()-ROW($N$1) &lt;= FILLME!$G$5, TRUE, FALSE)</f>
        <v>0</v>
      </c>
      <c r="O89" t="b">
        <f>IF(ROW()-ROW($O$1) &lt;= FILLME!$G$7, TRUE, FALSE)</f>
        <v>0</v>
      </c>
      <c r="P89" t="b">
        <f>IF(ROW()-ROW($P$1) &lt;= FILLME!$G$6, TRUE, FALSE)</f>
        <v>0</v>
      </c>
      <c r="Q89" t="b">
        <f>IF(ROW()-ROW($Q$1) &lt;= FILLME!$G$8, TRUE, FALSE)</f>
        <v>0</v>
      </c>
      <c r="R89" t="b">
        <f>IF(ROW()-ROW($R$1) &lt;= FILLME!$G$9, TRUE, FALSE)</f>
        <v>0</v>
      </c>
      <c r="S89" t="b">
        <f>IF(ROW()-ROW($S$1) &lt;= FILLME!$G$10, TRUE, FALSE)</f>
        <v>0</v>
      </c>
      <c r="T89" t="b">
        <f>IF(ROW()-ROW($T$1) &lt;= FILLME!$G$11, TRUE, FALSE)</f>
        <v>0</v>
      </c>
    </row>
    <row r="90" spans="1:20" x14ac:dyDescent="0.25">
      <c r="A90" s="7" t="str">
        <f>FILLME!$B$7</f>
        <v>ISCO</v>
      </c>
      <c r="B90" t="str">
        <f>IF(FILLME!$B$3 = "", "", FILLME!$B$3)</f>
        <v>WWS</v>
      </c>
      <c r="C90" t="str">
        <f>IF(FILLME!$B$4 = "", "", FILLME!$B$4)</f>
        <v>SSFLAT</v>
      </c>
      <c r="D90" s="7" t="str">
        <f ca="1">TEXT(FILLME!$B$6,"yyyymmdd")</f>
        <v>20260323</v>
      </c>
      <c r="E90" s="8"/>
      <c r="F90" s="7">
        <f ca="1">IF(FILLME!$B$7="ISCO",FILLME!$B$6+FILLME!$B$11+(FILLME!$B$13*(G90-FILLME!$B$14)),FILLME!$B$6)</f>
        <v>46104.25</v>
      </c>
      <c r="G90" s="8"/>
      <c r="H90" s="8"/>
      <c r="I90" s="2"/>
      <c r="J90" s="9" t="str">
        <f t="shared" si="3"/>
        <v>_00</v>
      </c>
      <c r="K90" s="10" t="str">
        <f t="shared" ca="1" si="4"/>
        <v>SSFLAT__20260323_00</v>
      </c>
      <c r="L90" s="10" t="str">
        <f t="shared" ca="1" si="5"/>
        <v>SSFLAT__20260323_0000</v>
      </c>
      <c r="M90" t="b">
        <f>IF(ROW()-ROW($M$1) &lt;= FILLME!$G$4, TRUE, FALSE)</f>
        <v>0</v>
      </c>
      <c r="N90" t="b">
        <f>IF(ROW()-ROW($N$1) &lt;= FILLME!$G$5, TRUE, FALSE)</f>
        <v>0</v>
      </c>
      <c r="O90" t="b">
        <f>IF(ROW()-ROW($O$1) &lt;= FILLME!$G$7, TRUE, FALSE)</f>
        <v>0</v>
      </c>
      <c r="P90" t="b">
        <f>IF(ROW()-ROW($P$1) &lt;= FILLME!$G$6, TRUE, FALSE)</f>
        <v>0</v>
      </c>
      <c r="Q90" t="b">
        <f>IF(ROW()-ROW($Q$1) &lt;= FILLME!$G$8, TRUE, FALSE)</f>
        <v>0</v>
      </c>
      <c r="R90" t="b">
        <f>IF(ROW()-ROW($R$1) &lt;= FILLME!$G$9, TRUE, FALSE)</f>
        <v>0</v>
      </c>
      <c r="S90" t="b">
        <f>IF(ROW()-ROW($S$1) &lt;= FILLME!$G$10, TRUE, FALSE)</f>
        <v>0</v>
      </c>
      <c r="T90" t="b">
        <f>IF(ROW()-ROW($T$1) &lt;= FILLME!$G$11, TRUE, FALSE)</f>
        <v>0</v>
      </c>
    </row>
    <row r="91" spans="1:20" x14ac:dyDescent="0.25">
      <c r="A91" s="7" t="str">
        <f>FILLME!$B$7</f>
        <v>ISCO</v>
      </c>
      <c r="B91" t="str">
        <f>IF(FILLME!$B$3 = "", "", FILLME!$B$3)</f>
        <v>WWS</v>
      </c>
      <c r="C91" t="str">
        <f>IF(FILLME!$B$4 = "", "", FILLME!$B$4)</f>
        <v>SSFLAT</v>
      </c>
      <c r="D91" s="7" t="str">
        <f ca="1">TEXT(FILLME!$B$6,"yyyymmdd")</f>
        <v>20260323</v>
      </c>
      <c r="E91" s="8"/>
      <c r="F91" s="7">
        <f ca="1">IF(FILLME!$B$7="ISCO",FILLME!$B$6+FILLME!$B$11+(FILLME!$B$13*(G91-FILLME!$B$14)),FILLME!$B$6)</f>
        <v>46104.25</v>
      </c>
      <c r="G91" s="8"/>
      <c r="H91" s="8"/>
      <c r="I91" s="2"/>
      <c r="J91" s="9" t="str">
        <f t="shared" si="3"/>
        <v>_00</v>
      </c>
      <c r="K91" s="10" t="str">
        <f t="shared" ca="1" si="4"/>
        <v>SSFLAT__20260323_00</v>
      </c>
      <c r="L91" s="10" t="str">
        <f t="shared" ca="1" si="5"/>
        <v>SSFLAT__20260323_0000</v>
      </c>
      <c r="M91" t="b">
        <f>IF(ROW()-ROW($M$1) &lt;= FILLME!$G$4, TRUE, FALSE)</f>
        <v>0</v>
      </c>
      <c r="N91" t="b">
        <f>IF(ROW()-ROW($N$1) &lt;= FILLME!$G$5, TRUE, FALSE)</f>
        <v>0</v>
      </c>
      <c r="O91" t="b">
        <f>IF(ROW()-ROW($O$1) &lt;= FILLME!$G$7, TRUE, FALSE)</f>
        <v>0</v>
      </c>
      <c r="P91" t="b">
        <f>IF(ROW()-ROW($P$1) &lt;= FILLME!$G$6, TRUE, FALSE)</f>
        <v>0</v>
      </c>
      <c r="Q91" t="b">
        <f>IF(ROW()-ROW($Q$1) &lt;= FILLME!$G$8, TRUE, FALSE)</f>
        <v>0</v>
      </c>
      <c r="R91" t="b">
        <f>IF(ROW()-ROW($R$1) &lt;= FILLME!$G$9, TRUE, FALSE)</f>
        <v>0</v>
      </c>
      <c r="S91" t="b">
        <f>IF(ROW()-ROW($S$1) &lt;= FILLME!$G$10, TRUE, FALSE)</f>
        <v>0</v>
      </c>
      <c r="T91" t="b">
        <f>IF(ROW()-ROW($T$1) &lt;= FILLME!$G$11, TRUE, FALSE)</f>
        <v>0</v>
      </c>
    </row>
    <row r="92" spans="1:20" x14ac:dyDescent="0.25">
      <c r="A92" s="7" t="str">
        <f>FILLME!$B$7</f>
        <v>ISCO</v>
      </c>
      <c r="B92" t="str">
        <f>IF(FILLME!$B$3 = "", "", FILLME!$B$3)</f>
        <v>WWS</v>
      </c>
      <c r="C92" t="str">
        <f>IF(FILLME!$B$4 = "", "", FILLME!$B$4)</f>
        <v>SSFLAT</v>
      </c>
      <c r="D92" s="7" t="str">
        <f ca="1">TEXT(FILLME!$B$6,"yyyymmdd")</f>
        <v>20260323</v>
      </c>
      <c r="E92" s="8"/>
      <c r="F92" s="7">
        <f ca="1">IF(FILLME!$B$7="ISCO",FILLME!$B$6+FILLME!$B$11+(FILLME!$B$13*(G92-FILLME!$B$14)),FILLME!$B$6)</f>
        <v>46104.25</v>
      </c>
      <c r="G92" s="8"/>
      <c r="H92" s="8"/>
      <c r="I92" s="2"/>
      <c r="J92" s="9" t="str">
        <f t="shared" si="3"/>
        <v>_00</v>
      </c>
      <c r="K92" s="10" t="str">
        <f t="shared" ca="1" si="4"/>
        <v>SSFLAT__20260323_00</v>
      </c>
      <c r="L92" s="10" t="str">
        <f t="shared" ca="1" si="5"/>
        <v>SSFLAT__20260323_0000</v>
      </c>
      <c r="M92" t="b">
        <f>IF(ROW()-ROW($M$1) &lt;= FILLME!$G$4, TRUE, FALSE)</f>
        <v>0</v>
      </c>
      <c r="N92" t="b">
        <f>IF(ROW()-ROW($N$1) &lt;= FILLME!$G$5, TRUE, FALSE)</f>
        <v>0</v>
      </c>
      <c r="O92" t="b">
        <f>IF(ROW()-ROW($O$1) &lt;= FILLME!$G$7, TRUE, FALSE)</f>
        <v>0</v>
      </c>
      <c r="P92" t="b">
        <f>IF(ROW()-ROW($P$1) &lt;= FILLME!$G$6, TRUE, FALSE)</f>
        <v>0</v>
      </c>
      <c r="Q92" t="b">
        <f>IF(ROW()-ROW($Q$1) &lt;= FILLME!$G$8, TRUE, FALSE)</f>
        <v>0</v>
      </c>
      <c r="R92" t="b">
        <f>IF(ROW()-ROW($R$1) &lt;= FILLME!$G$9, TRUE, FALSE)</f>
        <v>0</v>
      </c>
      <c r="S92" t="b">
        <f>IF(ROW()-ROW($S$1) &lt;= FILLME!$G$10, TRUE, FALSE)</f>
        <v>0</v>
      </c>
      <c r="T92" t="b">
        <f>IF(ROW()-ROW($T$1) &lt;= FILLME!$G$11, TRUE, FALSE)</f>
        <v>0</v>
      </c>
    </row>
    <row r="93" spans="1:20" x14ac:dyDescent="0.25">
      <c r="A93" s="7" t="str">
        <f>FILLME!$B$7</f>
        <v>ISCO</v>
      </c>
      <c r="B93" t="str">
        <f>IF(FILLME!$B$3 = "", "", FILLME!$B$3)</f>
        <v>WWS</v>
      </c>
      <c r="C93" t="str">
        <f>IF(FILLME!$B$4 = "", "", FILLME!$B$4)</f>
        <v>SSFLAT</v>
      </c>
      <c r="D93" s="7" t="str">
        <f ca="1">TEXT(FILLME!$B$6,"yyyymmdd")</f>
        <v>20260323</v>
      </c>
      <c r="E93" s="8"/>
      <c r="F93" s="7">
        <f ca="1">IF(FILLME!$B$7="ISCO",FILLME!$B$6+FILLME!$B$11+(FILLME!$B$13*(G93-FILLME!$B$14)),FILLME!$B$6)</f>
        <v>46104.25</v>
      </c>
      <c r="G93" s="8"/>
      <c r="H93" s="8"/>
      <c r="I93" s="2"/>
      <c r="J93" s="9" t="str">
        <f t="shared" si="3"/>
        <v>_00</v>
      </c>
      <c r="K93" s="10" t="str">
        <f t="shared" ca="1" si="4"/>
        <v>SSFLAT__20260323_00</v>
      </c>
      <c r="L93" s="10" t="str">
        <f t="shared" ca="1" si="5"/>
        <v>SSFLAT__20260323_0000</v>
      </c>
      <c r="M93" t="b">
        <f>IF(ROW()-ROW($M$1) &lt;= FILLME!$G$4, TRUE, FALSE)</f>
        <v>0</v>
      </c>
      <c r="N93" t="b">
        <f>IF(ROW()-ROW($N$1) &lt;= FILLME!$G$5, TRUE, FALSE)</f>
        <v>0</v>
      </c>
      <c r="O93" t="b">
        <f>IF(ROW()-ROW($O$1) &lt;= FILLME!$G$7, TRUE, FALSE)</f>
        <v>0</v>
      </c>
      <c r="P93" t="b">
        <f>IF(ROW()-ROW($P$1) &lt;= FILLME!$G$6, TRUE, FALSE)</f>
        <v>0</v>
      </c>
      <c r="Q93" t="b">
        <f>IF(ROW()-ROW($Q$1) &lt;= FILLME!$G$8, TRUE, FALSE)</f>
        <v>0</v>
      </c>
      <c r="R93" t="b">
        <f>IF(ROW()-ROW($R$1) &lt;= FILLME!$G$9, TRUE, FALSE)</f>
        <v>0</v>
      </c>
      <c r="S93" t="b">
        <f>IF(ROW()-ROW($S$1) &lt;= FILLME!$G$10, TRUE, FALSE)</f>
        <v>0</v>
      </c>
      <c r="T93" t="b">
        <f>IF(ROW()-ROW($T$1) &lt;= FILLME!$G$11, TRUE, FALSE)</f>
        <v>0</v>
      </c>
    </row>
    <row r="94" spans="1:20" x14ac:dyDescent="0.25">
      <c r="A94" s="7" t="str">
        <f>FILLME!$B$7</f>
        <v>ISCO</v>
      </c>
      <c r="B94" t="str">
        <f>IF(FILLME!$B$3 = "", "", FILLME!$B$3)</f>
        <v>WWS</v>
      </c>
      <c r="C94" t="str">
        <f>IF(FILLME!$B$4 = "", "", FILLME!$B$4)</f>
        <v>SSFLAT</v>
      </c>
      <c r="D94" s="7" t="str">
        <f ca="1">TEXT(FILLME!$B$6,"yyyymmdd")</f>
        <v>20260323</v>
      </c>
      <c r="E94" s="8"/>
      <c r="F94" s="7">
        <f ca="1">IF(FILLME!$B$7="ISCO",FILLME!$B$6+FILLME!$B$11+(FILLME!$B$13*(G94-FILLME!$B$14)),FILLME!$B$6)</f>
        <v>46104.25</v>
      </c>
      <c r="G94" s="8"/>
      <c r="H94" s="8"/>
      <c r="I94" s="2"/>
      <c r="J94" s="9" t="str">
        <f t="shared" si="3"/>
        <v>_00</v>
      </c>
      <c r="K94" s="10" t="str">
        <f t="shared" ca="1" si="4"/>
        <v>SSFLAT__20260323_00</v>
      </c>
      <c r="L94" s="10" t="str">
        <f t="shared" ca="1" si="5"/>
        <v>SSFLAT__20260323_0000</v>
      </c>
      <c r="M94" t="b">
        <f>IF(ROW()-ROW($M$1) &lt;= FILLME!$G$4, TRUE, FALSE)</f>
        <v>0</v>
      </c>
      <c r="N94" t="b">
        <f>IF(ROW()-ROW($N$1) &lt;= FILLME!$G$5, TRUE, FALSE)</f>
        <v>0</v>
      </c>
      <c r="O94" t="b">
        <f>IF(ROW()-ROW($O$1) &lt;= FILLME!$G$7, TRUE, FALSE)</f>
        <v>0</v>
      </c>
      <c r="P94" t="b">
        <f>IF(ROW()-ROW($P$1) &lt;= FILLME!$G$6, TRUE, FALSE)</f>
        <v>0</v>
      </c>
      <c r="Q94" t="b">
        <f>IF(ROW()-ROW($Q$1) &lt;= FILLME!$G$8, TRUE, FALSE)</f>
        <v>0</v>
      </c>
      <c r="R94" t="b">
        <f>IF(ROW()-ROW($R$1) &lt;= FILLME!$G$9, TRUE, FALSE)</f>
        <v>0</v>
      </c>
      <c r="S94" t="b">
        <f>IF(ROW()-ROW($S$1) &lt;= FILLME!$G$10, TRUE, FALSE)</f>
        <v>0</v>
      </c>
      <c r="T94" t="b">
        <f>IF(ROW()-ROW($T$1) &lt;= FILLME!$G$11, TRUE, FALSE)</f>
        <v>0</v>
      </c>
    </row>
    <row r="95" spans="1:20" x14ac:dyDescent="0.25">
      <c r="A95" s="7" t="str">
        <f>FILLME!$B$7</f>
        <v>ISCO</v>
      </c>
      <c r="B95" t="str">
        <f>IF(FILLME!$B$3 = "", "", FILLME!$B$3)</f>
        <v>WWS</v>
      </c>
      <c r="C95" t="str">
        <f>IF(FILLME!$B$4 = "", "", FILLME!$B$4)</f>
        <v>SSFLAT</v>
      </c>
      <c r="D95" s="7" t="str">
        <f ca="1">TEXT(FILLME!$B$6,"yyyymmdd")</f>
        <v>20260323</v>
      </c>
      <c r="E95" s="8"/>
      <c r="F95" s="7">
        <f ca="1">IF(FILLME!$B$7="ISCO",FILLME!$B$6+FILLME!$B$11+(FILLME!$B$13*(G95-FILLME!$B$14)),FILLME!$B$6)</f>
        <v>46104.25</v>
      </c>
      <c r="G95" s="8"/>
      <c r="H95" s="8"/>
      <c r="I95" s="2"/>
      <c r="J95" s="9" t="str">
        <f t="shared" si="3"/>
        <v>_00</v>
      </c>
      <c r="K95" s="10" t="str">
        <f t="shared" ca="1" si="4"/>
        <v>SSFLAT__20260323_00</v>
      </c>
      <c r="L95" s="10" t="str">
        <f t="shared" ca="1" si="5"/>
        <v>SSFLAT__20260323_0000</v>
      </c>
      <c r="M95" t="b">
        <f>IF(ROW()-ROW($M$1) &lt;= FILLME!$G$4, TRUE, FALSE)</f>
        <v>0</v>
      </c>
      <c r="N95" t="b">
        <f>IF(ROW()-ROW($N$1) &lt;= FILLME!$G$5, TRUE, FALSE)</f>
        <v>0</v>
      </c>
      <c r="O95" t="b">
        <f>IF(ROW()-ROW($O$1) &lt;= FILLME!$G$7, TRUE, FALSE)</f>
        <v>0</v>
      </c>
      <c r="P95" t="b">
        <f>IF(ROW()-ROW($P$1) &lt;= FILLME!$G$6, TRUE, FALSE)</f>
        <v>0</v>
      </c>
      <c r="Q95" t="b">
        <f>IF(ROW()-ROW($Q$1) &lt;= FILLME!$G$8, TRUE, FALSE)</f>
        <v>0</v>
      </c>
      <c r="R95" t="b">
        <f>IF(ROW()-ROW($R$1) &lt;= FILLME!$G$9, TRUE, FALSE)</f>
        <v>0</v>
      </c>
      <c r="S95" t="b">
        <f>IF(ROW()-ROW($S$1) &lt;= FILLME!$G$10, TRUE, FALSE)</f>
        <v>0</v>
      </c>
      <c r="T95" t="b">
        <f>IF(ROW()-ROW($T$1) &lt;= FILLME!$G$11, TRUE, FALSE)</f>
        <v>0</v>
      </c>
    </row>
    <row r="96" spans="1:20" x14ac:dyDescent="0.25">
      <c r="A96" s="7" t="str">
        <f>FILLME!$B$7</f>
        <v>ISCO</v>
      </c>
      <c r="B96" t="str">
        <f>IF(FILLME!$B$3 = "", "", FILLME!$B$3)</f>
        <v>WWS</v>
      </c>
      <c r="C96" t="str">
        <f>IF(FILLME!$B$4 = "", "", FILLME!$B$4)</f>
        <v>SSFLAT</v>
      </c>
      <c r="D96" s="7" t="str">
        <f ca="1">TEXT(FILLME!$B$6,"yyyymmdd")</f>
        <v>20260323</v>
      </c>
      <c r="E96" s="8"/>
      <c r="F96" s="7">
        <f ca="1">IF(FILLME!$B$7="ISCO",FILLME!$B$6+FILLME!$B$11+(FILLME!$B$13*(G96-FILLME!$B$14)),FILLME!$B$6)</f>
        <v>46104.25</v>
      </c>
      <c r="G96" s="8"/>
      <c r="H96" s="8"/>
      <c r="I96" s="2"/>
      <c r="J96" s="9" t="str">
        <f t="shared" si="3"/>
        <v>_00</v>
      </c>
      <c r="K96" s="10" t="str">
        <f t="shared" ca="1" si="4"/>
        <v>SSFLAT__20260323_00</v>
      </c>
      <c r="L96" s="10" t="str">
        <f t="shared" ca="1" si="5"/>
        <v>SSFLAT__20260323_0000</v>
      </c>
      <c r="M96" t="b">
        <f>IF(ROW()-ROW($M$1) &lt;= FILLME!$G$4, TRUE, FALSE)</f>
        <v>0</v>
      </c>
      <c r="N96" t="b">
        <f>IF(ROW()-ROW($N$1) &lt;= FILLME!$G$5, TRUE, FALSE)</f>
        <v>0</v>
      </c>
      <c r="O96" t="b">
        <f>IF(ROW()-ROW($O$1) &lt;= FILLME!$G$7, TRUE, FALSE)</f>
        <v>0</v>
      </c>
      <c r="P96" t="b">
        <f>IF(ROW()-ROW($P$1) &lt;= FILLME!$G$6, TRUE, FALSE)</f>
        <v>0</v>
      </c>
      <c r="Q96" t="b">
        <f>IF(ROW()-ROW($Q$1) &lt;= FILLME!$G$8, TRUE, FALSE)</f>
        <v>0</v>
      </c>
      <c r="R96" t="b">
        <f>IF(ROW()-ROW($R$1) &lt;= FILLME!$G$9, TRUE, FALSE)</f>
        <v>0</v>
      </c>
      <c r="S96" t="b">
        <f>IF(ROW()-ROW($S$1) &lt;= FILLME!$G$10, TRUE, FALSE)</f>
        <v>0</v>
      </c>
      <c r="T96" t="b">
        <f>IF(ROW()-ROW($T$1) &lt;= FILLME!$G$11, TRUE, FALSE)</f>
        <v>0</v>
      </c>
    </row>
    <row r="97" spans="1:20" x14ac:dyDescent="0.25">
      <c r="A97" s="7" t="str">
        <f>FILLME!$B$7</f>
        <v>ISCO</v>
      </c>
      <c r="B97" t="str">
        <f>IF(FILLME!$B$3 = "", "", FILLME!$B$3)</f>
        <v>WWS</v>
      </c>
      <c r="C97" t="str">
        <f>IF(FILLME!$B$4 = "", "", FILLME!$B$4)</f>
        <v>SSFLAT</v>
      </c>
      <c r="D97" s="7" t="str">
        <f ca="1">TEXT(FILLME!$B$6,"yyyymmdd")</f>
        <v>20260323</v>
      </c>
      <c r="E97" s="8"/>
      <c r="F97" s="7">
        <f ca="1">IF(FILLME!$B$7="ISCO",FILLME!$B$6+FILLME!$B$11+(FILLME!$B$13*(G97-FILLME!$B$14)),FILLME!$B$6)</f>
        <v>46104.25</v>
      </c>
      <c r="G97" s="8"/>
      <c r="H97" s="8"/>
      <c r="I97" s="2"/>
      <c r="J97" s="9" t="str">
        <f t="shared" si="3"/>
        <v>_00</v>
      </c>
      <c r="K97" s="10" t="str">
        <f t="shared" ca="1" si="4"/>
        <v>SSFLAT__20260323_00</v>
      </c>
      <c r="L97" s="10" t="str">
        <f t="shared" ca="1" si="5"/>
        <v>SSFLAT__20260323_0000</v>
      </c>
      <c r="M97" t="b">
        <f>IF(ROW()-ROW($M$1) &lt;= FILLME!$G$4, TRUE, FALSE)</f>
        <v>0</v>
      </c>
      <c r="N97" t="b">
        <f>IF(ROW()-ROW($N$1) &lt;= FILLME!$G$5, TRUE, FALSE)</f>
        <v>0</v>
      </c>
      <c r="O97" t="b">
        <f>IF(ROW()-ROW($O$1) &lt;= FILLME!$G$7, TRUE, FALSE)</f>
        <v>0</v>
      </c>
      <c r="P97" t="b">
        <f>IF(ROW()-ROW($P$1) &lt;= FILLME!$G$6, TRUE, FALSE)</f>
        <v>0</v>
      </c>
      <c r="Q97" t="b">
        <f>IF(ROW()-ROW($Q$1) &lt;= FILLME!$G$8, TRUE, FALSE)</f>
        <v>0</v>
      </c>
      <c r="R97" t="b">
        <f>IF(ROW()-ROW($R$1) &lt;= FILLME!$G$9, TRUE, FALSE)</f>
        <v>0</v>
      </c>
      <c r="S97" t="b">
        <f>IF(ROW()-ROW($S$1) &lt;= FILLME!$G$10, TRUE, FALSE)</f>
        <v>0</v>
      </c>
      <c r="T97" t="b">
        <f>IF(ROW()-ROW($T$1) &lt;= FILLME!$G$11, TRUE, FALSE)</f>
        <v>0</v>
      </c>
    </row>
    <row r="98" spans="1:20" x14ac:dyDescent="0.25">
      <c r="A98" s="7" t="str">
        <f>FILLME!$B$7</f>
        <v>ISCO</v>
      </c>
      <c r="B98" t="str">
        <f>IF(FILLME!$B$3 = "", "", FILLME!$B$3)</f>
        <v>WWS</v>
      </c>
      <c r="C98" t="str">
        <f>IF(FILLME!$B$4 = "", "", FILLME!$B$4)</f>
        <v>SSFLAT</v>
      </c>
      <c r="D98" s="7" t="str">
        <f ca="1">TEXT(FILLME!$B$6,"yyyymmdd")</f>
        <v>20260323</v>
      </c>
      <c r="E98" s="8"/>
      <c r="F98" s="7">
        <f ca="1">IF(FILLME!$B$7="ISCO",FILLME!$B$6+FILLME!$B$11+(FILLME!$B$13*(G98-FILLME!$B$14)),FILLME!$B$6)</f>
        <v>46104.25</v>
      </c>
      <c r="G98" s="8"/>
      <c r="H98" s="8"/>
      <c r="I98" s="2"/>
      <c r="J98" s="9" t="str">
        <f t="shared" si="3"/>
        <v>_00</v>
      </c>
      <c r="K98" s="10" t="str">
        <f t="shared" ca="1" si="4"/>
        <v>SSFLAT__20260323_00</v>
      </c>
      <c r="L98" s="10" t="str">
        <f t="shared" ca="1" si="5"/>
        <v>SSFLAT__20260323_0000</v>
      </c>
      <c r="M98" t="b">
        <f>IF(ROW()-ROW($M$1) &lt;= FILLME!$G$4, TRUE, FALSE)</f>
        <v>0</v>
      </c>
      <c r="N98" t="b">
        <f>IF(ROW()-ROW($N$1) &lt;= FILLME!$G$5, TRUE, FALSE)</f>
        <v>0</v>
      </c>
      <c r="O98" t="b">
        <f>IF(ROW()-ROW($O$1) &lt;= FILLME!$G$7, TRUE, FALSE)</f>
        <v>0</v>
      </c>
      <c r="P98" t="b">
        <f>IF(ROW()-ROW($P$1) &lt;= FILLME!$G$6, TRUE, FALSE)</f>
        <v>0</v>
      </c>
      <c r="Q98" t="b">
        <f>IF(ROW()-ROW($Q$1) &lt;= FILLME!$G$8, TRUE, FALSE)</f>
        <v>0</v>
      </c>
      <c r="R98" t="b">
        <f>IF(ROW()-ROW($R$1) &lt;= FILLME!$G$9, TRUE, FALSE)</f>
        <v>0</v>
      </c>
      <c r="S98" t="b">
        <f>IF(ROW()-ROW($S$1) &lt;= FILLME!$G$10, TRUE, FALSE)</f>
        <v>0</v>
      </c>
      <c r="T98" t="b">
        <f>IF(ROW()-ROW($T$1) &lt;= FILLME!$G$11, TRUE, FALSE)</f>
        <v>0</v>
      </c>
    </row>
    <row r="99" spans="1:20" x14ac:dyDescent="0.25">
      <c r="A99" s="7" t="str">
        <f>FILLME!$B$7</f>
        <v>ISCO</v>
      </c>
      <c r="B99" t="str">
        <f>IF(FILLME!$B$3 = "", "", FILLME!$B$3)</f>
        <v>WWS</v>
      </c>
      <c r="C99" t="str">
        <f>IF(FILLME!$B$4 = "", "", FILLME!$B$4)</f>
        <v>SSFLAT</v>
      </c>
      <c r="D99" s="7" t="str">
        <f ca="1">TEXT(FILLME!$B$6,"yyyymmdd")</f>
        <v>20260323</v>
      </c>
      <c r="E99" s="8"/>
      <c r="F99" s="7">
        <f ca="1">IF(FILLME!$B$7="ISCO",FILLME!$B$6+FILLME!$B$11+(FILLME!$B$13*(G99-FILLME!$B$14)),FILLME!$B$6)</f>
        <v>46104.25</v>
      </c>
      <c r="G99" s="8"/>
      <c r="H99" s="8"/>
      <c r="I99" s="2"/>
      <c r="J99" s="9" t="str">
        <f t="shared" si="3"/>
        <v>_00</v>
      </c>
      <c r="K99" s="10" t="str">
        <f t="shared" ca="1" si="4"/>
        <v>SSFLAT__20260323_00</v>
      </c>
      <c r="L99" s="10" t="str">
        <f t="shared" ca="1" si="5"/>
        <v>SSFLAT__20260323_0000</v>
      </c>
      <c r="M99" t="b">
        <f>IF(ROW()-ROW($M$1) &lt;= FILLME!$G$4, TRUE, FALSE)</f>
        <v>0</v>
      </c>
      <c r="N99" t="b">
        <f>IF(ROW()-ROW($N$1) &lt;= FILLME!$G$5, TRUE, FALSE)</f>
        <v>0</v>
      </c>
      <c r="O99" t="b">
        <f>IF(ROW()-ROW($O$1) &lt;= FILLME!$G$7, TRUE, FALSE)</f>
        <v>0</v>
      </c>
      <c r="P99" t="b">
        <f>IF(ROW()-ROW($P$1) &lt;= FILLME!$G$6, TRUE, FALSE)</f>
        <v>0</v>
      </c>
      <c r="Q99" t="b">
        <f>IF(ROW()-ROW($Q$1) &lt;= FILLME!$G$8, TRUE, FALSE)</f>
        <v>0</v>
      </c>
      <c r="R99" t="b">
        <f>IF(ROW()-ROW($R$1) &lt;= FILLME!$G$9, TRUE, FALSE)</f>
        <v>0</v>
      </c>
      <c r="S99" t="b">
        <f>IF(ROW()-ROW($S$1) &lt;= FILLME!$G$10, TRUE, FALSE)</f>
        <v>0</v>
      </c>
      <c r="T99" t="b">
        <f>IF(ROW()-ROW($T$1) &lt;= FILLME!$G$11, TRUE, FALSE)</f>
        <v>0</v>
      </c>
    </row>
    <row r="100" spans="1:20" x14ac:dyDescent="0.25">
      <c r="A100" s="7" t="str">
        <f>FILLME!$B$7</f>
        <v>ISCO</v>
      </c>
      <c r="B100" t="str">
        <f>IF(FILLME!$B$3 = "", "", FILLME!$B$3)</f>
        <v>WWS</v>
      </c>
      <c r="C100" t="str">
        <f>IF(FILLME!$B$4 = "", "", FILLME!$B$4)</f>
        <v>SSFLAT</v>
      </c>
      <c r="D100" s="7" t="str">
        <f ca="1">TEXT(FILLME!$B$6,"yyyymmdd")</f>
        <v>20260323</v>
      </c>
      <c r="E100" s="8"/>
      <c r="F100" s="7">
        <f ca="1">IF(FILLME!$B$7="ISCO",FILLME!$B$6+FILLME!$B$11+(FILLME!$B$13*(G100-FILLME!$B$14)),FILLME!$B$6)</f>
        <v>46104.25</v>
      </c>
      <c r="G100" s="8"/>
      <c r="H100" s="8"/>
      <c r="I100" s="2"/>
      <c r="J100" s="9" t="str">
        <f t="shared" si="3"/>
        <v>_00</v>
      </c>
      <c r="K100" s="10" t="str">
        <f t="shared" ca="1" si="4"/>
        <v>SSFLAT__20260323_00</v>
      </c>
      <c r="L100" s="10" t="str">
        <f t="shared" ca="1" si="5"/>
        <v>SSFLAT__20260323_0000</v>
      </c>
      <c r="M100" t="b">
        <f>IF(ROW()-ROW($M$1) &lt;= FILLME!$G$4, TRUE, FALSE)</f>
        <v>0</v>
      </c>
      <c r="N100" t="b">
        <f>IF(ROW()-ROW($N$1) &lt;= FILLME!$G$5, TRUE, FALSE)</f>
        <v>0</v>
      </c>
      <c r="O100" t="b">
        <f>IF(ROW()-ROW($O$1) &lt;= FILLME!$G$7, TRUE, FALSE)</f>
        <v>0</v>
      </c>
      <c r="P100" t="b">
        <f>IF(ROW()-ROW($P$1) &lt;= FILLME!$G$6, TRUE, FALSE)</f>
        <v>0</v>
      </c>
      <c r="Q100" t="b">
        <f>IF(ROW()-ROW($Q$1) &lt;= FILLME!$G$8, TRUE, FALSE)</f>
        <v>0</v>
      </c>
      <c r="R100" t="b">
        <f>IF(ROW()-ROW($R$1) &lt;= FILLME!$G$9, TRUE, FALSE)</f>
        <v>0</v>
      </c>
      <c r="S100" t="b">
        <f>IF(ROW()-ROW($S$1) &lt;= FILLME!$G$10, TRUE, FALSE)</f>
        <v>0</v>
      </c>
      <c r="T100" t="b">
        <f>IF(ROW()-ROW($T$1) &lt;= FILLME!$G$11, TRUE, FALSE)</f>
        <v>0</v>
      </c>
    </row>
    <row r="101" spans="1:20" x14ac:dyDescent="0.25">
      <c r="A101" s="7" t="str">
        <f>FILLME!$B$7</f>
        <v>ISCO</v>
      </c>
      <c r="B101" t="str">
        <f>IF(FILLME!$B$3 = "", "", FILLME!$B$3)</f>
        <v>WWS</v>
      </c>
      <c r="C101" t="str">
        <f>IF(FILLME!$B$4 = "", "", FILLME!$B$4)</f>
        <v>SSFLAT</v>
      </c>
      <c r="D101" s="7" t="str">
        <f ca="1">TEXT(FILLME!$B$6,"yyyymmdd")</f>
        <v>20260323</v>
      </c>
      <c r="E101" s="8"/>
      <c r="F101" s="7">
        <f ca="1">IF(FILLME!$B$7="ISCO",FILLME!$B$6+FILLME!$B$11+(FILLME!$B$13*(G101-FILLME!$B$14)),FILLME!$B$6)</f>
        <v>46104.25</v>
      </c>
      <c r="G101" s="8"/>
      <c r="H101" s="8"/>
      <c r="I101" s="2"/>
      <c r="J101" s="9" t="str">
        <f t="shared" si="3"/>
        <v>_00</v>
      </c>
      <c r="K101" s="10" t="str">
        <f t="shared" ca="1" si="4"/>
        <v>SSFLAT__20260323_00</v>
      </c>
      <c r="L101" s="10" t="str">
        <f t="shared" ca="1" si="5"/>
        <v>SSFLAT__20260323_0000</v>
      </c>
      <c r="M101" t="b">
        <f>IF(ROW()-ROW($M$1) &lt;= FILLME!$G$4, TRUE, FALSE)</f>
        <v>0</v>
      </c>
      <c r="N101" t="b">
        <f>IF(ROW()-ROW($N$1) &lt;= FILLME!$G$5, TRUE, FALSE)</f>
        <v>0</v>
      </c>
      <c r="O101" t="b">
        <f>IF(ROW()-ROW($O$1) &lt;= FILLME!$G$7, TRUE, FALSE)</f>
        <v>0</v>
      </c>
      <c r="P101" t="b">
        <f>IF(ROW()-ROW($P$1) &lt;= FILLME!$G$6, TRUE, FALSE)</f>
        <v>0</v>
      </c>
      <c r="Q101" t="b">
        <f>IF(ROW()-ROW($Q$1) &lt;= FILLME!$G$8, TRUE, FALSE)</f>
        <v>0</v>
      </c>
      <c r="R101" t="b">
        <f>IF(ROW()-ROW($R$1) &lt;= FILLME!$G$9, TRUE, FALSE)</f>
        <v>0</v>
      </c>
      <c r="S101" t="b">
        <f>IF(ROW()-ROW($S$1) &lt;= FILLME!$G$10, TRUE, FALSE)</f>
        <v>0</v>
      </c>
      <c r="T101" t="b">
        <f>IF(ROW()-ROW($T$1) &lt;= FILLME!$G$11, TRUE, FALSE)</f>
        <v>0</v>
      </c>
    </row>
    <row r="102" spans="1:20" x14ac:dyDescent="0.25">
      <c r="A102" s="7" t="str">
        <f>FILLME!$B$7</f>
        <v>ISCO</v>
      </c>
      <c r="B102" t="str">
        <f>IF(FILLME!$B$3 = "", "", FILLME!$B$3)</f>
        <v>WWS</v>
      </c>
      <c r="C102" t="str">
        <f>IF(FILLME!$B$4 = "", "", FILLME!$B$4)</f>
        <v>SSFLAT</v>
      </c>
      <c r="D102" s="7" t="str">
        <f ca="1">TEXT(FILLME!$B$6,"yyyymmdd")</f>
        <v>20260323</v>
      </c>
      <c r="E102" s="8"/>
      <c r="F102" s="7">
        <f ca="1">IF(FILLME!$B$7="ISCO",FILLME!$B$6+FILLME!$B$11+(FILLME!$B$13*(G102-FILLME!$B$14)),FILLME!$B$6)</f>
        <v>46104.25</v>
      </c>
      <c r="G102" s="8"/>
      <c r="H102" s="8"/>
      <c r="I102" s="2"/>
      <c r="J102" s="9" t="str">
        <f t="shared" si="3"/>
        <v>_00</v>
      </c>
      <c r="K102" s="10" t="str">
        <f t="shared" ca="1" si="4"/>
        <v>SSFLAT__20260323_00</v>
      </c>
      <c r="L102" s="10" t="str">
        <f t="shared" ca="1" si="5"/>
        <v>SSFLAT__20260323_0000</v>
      </c>
      <c r="M102" t="b">
        <f>IF(ROW()-ROW($M$1) &lt;= FILLME!$G$4, TRUE, FALSE)</f>
        <v>0</v>
      </c>
      <c r="N102" t="b">
        <f>IF(ROW()-ROW($N$1) &lt;= FILLME!$G$5, TRUE, FALSE)</f>
        <v>0</v>
      </c>
      <c r="O102" t="b">
        <f>IF(ROW()-ROW($O$1) &lt;= FILLME!$G$7, TRUE, FALSE)</f>
        <v>0</v>
      </c>
      <c r="P102" t="b">
        <f>IF(ROW()-ROW($P$1) &lt;= FILLME!$G$6, TRUE, FALSE)</f>
        <v>0</v>
      </c>
      <c r="Q102" t="b">
        <f>IF(ROW()-ROW($Q$1) &lt;= FILLME!$G$8, TRUE, FALSE)</f>
        <v>0</v>
      </c>
      <c r="R102" t="b">
        <f>IF(ROW()-ROW($R$1) &lt;= FILLME!$G$9, TRUE, FALSE)</f>
        <v>0</v>
      </c>
      <c r="S102" t="b">
        <f>IF(ROW()-ROW($S$1) &lt;= FILLME!$G$10, TRUE, FALSE)</f>
        <v>0</v>
      </c>
      <c r="T102" t="b">
        <f>IF(ROW()-ROW($T$1) &lt;= FILLME!$G$11, TRUE, FALSE)</f>
        <v>0</v>
      </c>
    </row>
    <row r="103" spans="1:20" x14ac:dyDescent="0.25">
      <c r="A103" s="7" t="str">
        <f>FILLME!$B$7</f>
        <v>ISCO</v>
      </c>
      <c r="B103" t="str">
        <f>IF(FILLME!$B$3 = "", "", FILLME!$B$3)</f>
        <v>WWS</v>
      </c>
      <c r="C103" t="str">
        <f>IF(FILLME!$B$4 = "", "", FILLME!$B$4)</f>
        <v>SSFLAT</v>
      </c>
      <c r="D103" s="7" t="str">
        <f ca="1">TEXT(FILLME!$B$6,"yyyymmdd")</f>
        <v>20260323</v>
      </c>
      <c r="E103" s="8"/>
      <c r="F103" s="7">
        <f ca="1">IF(FILLME!$B$7="ISCO",FILLME!$B$6+FILLME!$B$11+(FILLME!$B$13*(G103-FILLME!$B$14)),FILLME!$B$6)</f>
        <v>46104.25</v>
      </c>
      <c r="G103" s="8"/>
      <c r="H103" s="8"/>
      <c r="I103" s="2"/>
      <c r="J103" s="9" t="str">
        <f t="shared" si="3"/>
        <v>_00</v>
      </c>
      <c r="K103" s="10" t="str">
        <f t="shared" ca="1" si="4"/>
        <v>SSFLAT__20260323_00</v>
      </c>
      <c r="L103" s="10" t="str">
        <f t="shared" ca="1" si="5"/>
        <v>SSFLAT__20260323_0000</v>
      </c>
      <c r="M103" t="b">
        <f>IF(ROW()-ROW($M$1) &lt;= FILLME!$G$4, TRUE, FALSE)</f>
        <v>0</v>
      </c>
      <c r="N103" t="b">
        <f>IF(ROW()-ROW($N$1) &lt;= FILLME!$G$5, TRUE, FALSE)</f>
        <v>0</v>
      </c>
      <c r="O103" t="b">
        <f>IF(ROW()-ROW($O$1) &lt;= FILLME!$G$7, TRUE, FALSE)</f>
        <v>0</v>
      </c>
      <c r="P103" t="b">
        <f>IF(ROW()-ROW($P$1) &lt;= FILLME!$G$6, TRUE, FALSE)</f>
        <v>0</v>
      </c>
      <c r="Q103" t="b">
        <f>IF(ROW()-ROW($Q$1) &lt;= FILLME!$G$8, TRUE, FALSE)</f>
        <v>0</v>
      </c>
      <c r="R103" t="b">
        <f>IF(ROW()-ROW($R$1) &lt;= FILLME!$G$9, TRUE, FALSE)</f>
        <v>0</v>
      </c>
      <c r="S103" t="b">
        <f>IF(ROW()-ROW($S$1) &lt;= FILLME!$G$10, TRUE, FALSE)</f>
        <v>0</v>
      </c>
      <c r="T103" t="b">
        <f>IF(ROW()-ROW($T$1) &lt;= FILLME!$G$11, TRUE, FALSE)</f>
        <v>0</v>
      </c>
    </row>
    <row r="104" spans="1:20" x14ac:dyDescent="0.25">
      <c r="A104" s="7" t="str">
        <f>FILLME!$B$7</f>
        <v>ISCO</v>
      </c>
      <c r="B104" t="str">
        <f>IF(FILLME!$B$3 = "", "", FILLME!$B$3)</f>
        <v>WWS</v>
      </c>
      <c r="C104" t="str">
        <f>IF(FILLME!$B$4 = "", "", FILLME!$B$4)</f>
        <v>SSFLAT</v>
      </c>
      <c r="D104" s="7" t="str">
        <f ca="1">TEXT(FILLME!$B$6,"yyyymmdd")</f>
        <v>20260323</v>
      </c>
      <c r="E104" s="8"/>
      <c r="F104" s="7">
        <f ca="1">IF(FILLME!$B$7="ISCO",FILLME!$B$6+FILLME!$B$11+(FILLME!$B$13*(G104-FILLME!$B$14)),FILLME!$B$6)</f>
        <v>46104.25</v>
      </c>
      <c r="G104" s="8"/>
      <c r="H104" s="8"/>
      <c r="I104" s="2"/>
      <c r="J104" s="9" t="str">
        <f t="shared" si="3"/>
        <v>_00</v>
      </c>
      <c r="K104" s="10" t="str">
        <f t="shared" ca="1" si="4"/>
        <v>SSFLAT__20260323_00</v>
      </c>
      <c r="L104" s="10" t="str">
        <f t="shared" ca="1" si="5"/>
        <v>SSFLAT__20260323_0000</v>
      </c>
      <c r="M104" t="b">
        <f>IF(ROW()-ROW($M$1) &lt;= FILLME!$G$4, TRUE, FALSE)</f>
        <v>0</v>
      </c>
      <c r="N104" t="b">
        <f>IF(ROW()-ROW($N$1) &lt;= FILLME!$G$5, TRUE, FALSE)</f>
        <v>0</v>
      </c>
      <c r="O104" t="b">
        <f>IF(ROW()-ROW($O$1) &lt;= FILLME!$G$7, TRUE, FALSE)</f>
        <v>0</v>
      </c>
      <c r="P104" t="b">
        <f>IF(ROW()-ROW($P$1) &lt;= FILLME!$G$6, TRUE, FALSE)</f>
        <v>0</v>
      </c>
      <c r="Q104" t="b">
        <f>IF(ROW()-ROW($Q$1) &lt;= FILLME!$G$8, TRUE, FALSE)</f>
        <v>0</v>
      </c>
      <c r="R104" t="b">
        <f>IF(ROW()-ROW($R$1) &lt;= FILLME!$G$9, TRUE, FALSE)</f>
        <v>0</v>
      </c>
      <c r="S104" t="b">
        <f>IF(ROW()-ROW($S$1) &lt;= FILLME!$G$10, TRUE, FALSE)</f>
        <v>0</v>
      </c>
      <c r="T104" t="b">
        <f>IF(ROW()-ROW($T$1) &lt;= FILLME!$G$11, TRUE, FALSE)</f>
        <v>0</v>
      </c>
    </row>
    <row r="105" spans="1:20" x14ac:dyDescent="0.25">
      <c r="A105" s="7" t="str">
        <f>FILLME!$B$7</f>
        <v>ISCO</v>
      </c>
      <c r="B105" t="str">
        <f>IF(FILLME!$B$3 = "", "", FILLME!$B$3)</f>
        <v>WWS</v>
      </c>
      <c r="C105" t="str">
        <f>IF(FILLME!$B$4 = "", "", FILLME!$B$4)</f>
        <v>SSFLAT</v>
      </c>
      <c r="D105" s="7" t="str">
        <f ca="1">TEXT(FILLME!$B$6,"yyyymmdd")</f>
        <v>20260323</v>
      </c>
      <c r="E105" s="8"/>
      <c r="F105" s="7">
        <f ca="1">IF(FILLME!$B$7="ISCO",FILLME!$B$6+FILLME!$B$11+(FILLME!$B$13*(G105-FILLME!$B$14)),FILLME!$B$6)</f>
        <v>46104.25</v>
      </c>
      <c r="G105" s="8"/>
      <c r="H105" s="8"/>
      <c r="I105" s="2"/>
      <c r="J105" s="9" t="str">
        <f t="shared" si="3"/>
        <v>_00</v>
      </c>
      <c r="K105" s="10" t="str">
        <f t="shared" ca="1" si="4"/>
        <v>SSFLAT__20260323_00</v>
      </c>
      <c r="L105" s="10" t="str">
        <f t="shared" ca="1" si="5"/>
        <v>SSFLAT__20260323_0000</v>
      </c>
      <c r="M105" t="b">
        <f>IF(ROW()-ROW($M$1) &lt;= FILLME!$G$4, TRUE, FALSE)</f>
        <v>0</v>
      </c>
      <c r="N105" t="b">
        <f>IF(ROW()-ROW($N$1) &lt;= FILLME!$G$5, TRUE, FALSE)</f>
        <v>0</v>
      </c>
      <c r="O105" t="b">
        <f>IF(ROW()-ROW($O$1) &lt;= FILLME!$G$7, TRUE, FALSE)</f>
        <v>0</v>
      </c>
      <c r="P105" t="b">
        <f>IF(ROW()-ROW($P$1) &lt;= FILLME!$G$6, TRUE, FALSE)</f>
        <v>0</v>
      </c>
      <c r="Q105" t="b">
        <f>IF(ROW()-ROW($Q$1) &lt;= FILLME!$G$8, TRUE, FALSE)</f>
        <v>0</v>
      </c>
      <c r="R105" t="b">
        <f>IF(ROW()-ROW($R$1) &lt;= FILLME!$G$9, TRUE, FALSE)</f>
        <v>0</v>
      </c>
      <c r="S105" t="b">
        <f>IF(ROW()-ROW($S$1) &lt;= FILLME!$G$10, TRUE, FALSE)</f>
        <v>0</v>
      </c>
      <c r="T105" t="b">
        <f>IF(ROW()-ROW($T$1) &lt;= FILLME!$G$11, TRUE, FALSE)</f>
        <v>0</v>
      </c>
    </row>
    <row r="106" spans="1:20" x14ac:dyDescent="0.25">
      <c r="A106" s="7" t="str">
        <f>FILLME!$B$7</f>
        <v>ISCO</v>
      </c>
      <c r="B106" t="str">
        <f>IF(FILLME!$B$3 = "", "", FILLME!$B$3)</f>
        <v>WWS</v>
      </c>
      <c r="C106" t="str">
        <f>IF(FILLME!$B$4 = "", "", FILLME!$B$4)</f>
        <v>SSFLAT</v>
      </c>
      <c r="D106" s="7" t="str">
        <f ca="1">TEXT(FILLME!$B$6,"yyyymmdd")</f>
        <v>20260323</v>
      </c>
      <c r="E106" s="8"/>
      <c r="F106" s="7">
        <f ca="1">IF(FILLME!$B$7="ISCO",FILLME!$B$6+FILLME!$B$11+(FILLME!$B$13*(G106-FILLME!$B$14)),FILLME!$B$6)</f>
        <v>46104.25</v>
      </c>
      <c r="G106" s="8"/>
      <c r="H106" s="8"/>
      <c r="I106" s="2"/>
      <c r="J106" s="9" t="str">
        <f t="shared" si="3"/>
        <v>_00</v>
      </c>
      <c r="K106" s="10" t="str">
        <f t="shared" ca="1" si="4"/>
        <v>SSFLAT__20260323_00</v>
      </c>
      <c r="L106" s="10" t="str">
        <f t="shared" ca="1" si="5"/>
        <v>SSFLAT__20260323_0000</v>
      </c>
      <c r="M106" t="b">
        <f>IF(ROW()-ROW($M$1) &lt;= FILLME!$G$4, TRUE, FALSE)</f>
        <v>0</v>
      </c>
      <c r="N106" t="b">
        <f>IF(ROW()-ROW($N$1) &lt;= FILLME!$G$5, TRUE, FALSE)</f>
        <v>0</v>
      </c>
      <c r="O106" t="b">
        <f>IF(ROW()-ROW($O$1) &lt;= FILLME!$G$7, TRUE, FALSE)</f>
        <v>0</v>
      </c>
      <c r="P106" t="b">
        <f>IF(ROW()-ROW($P$1) &lt;= FILLME!$G$6, TRUE, FALSE)</f>
        <v>0</v>
      </c>
      <c r="Q106" t="b">
        <f>IF(ROW()-ROW($Q$1) &lt;= FILLME!$G$8, TRUE, FALSE)</f>
        <v>0</v>
      </c>
      <c r="R106" t="b">
        <f>IF(ROW()-ROW($R$1) &lt;= FILLME!$G$9, TRUE, FALSE)</f>
        <v>0</v>
      </c>
      <c r="S106" t="b">
        <f>IF(ROW()-ROW($S$1) &lt;= FILLME!$G$10, TRUE, FALSE)</f>
        <v>0</v>
      </c>
      <c r="T106" t="b">
        <f>IF(ROW()-ROW($T$1) &lt;= FILLME!$G$11, TRUE, FALSE)</f>
        <v>0</v>
      </c>
    </row>
    <row r="107" spans="1:20" x14ac:dyDescent="0.25">
      <c r="A107" s="7" t="str">
        <f>FILLME!$B$7</f>
        <v>ISCO</v>
      </c>
      <c r="B107" t="str">
        <f>IF(FILLME!$B$3 = "", "", FILLME!$B$3)</f>
        <v>WWS</v>
      </c>
      <c r="C107" t="str">
        <f>IF(FILLME!$B$4 = "", "", FILLME!$B$4)</f>
        <v>SSFLAT</v>
      </c>
      <c r="D107" s="7" t="str">
        <f ca="1">TEXT(FILLME!$B$6,"yyyymmdd")</f>
        <v>20260323</v>
      </c>
      <c r="E107" s="8"/>
      <c r="F107" s="7">
        <f ca="1">IF(FILLME!$B$7="ISCO",FILLME!$B$6+FILLME!$B$11+(FILLME!$B$13*(G107-FILLME!$B$14)),FILLME!$B$6)</f>
        <v>46104.25</v>
      </c>
      <c r="G107" s="8"/>
      <c r="H107" s="8"/>
      <c r="I107" s="2"/>
      <c r="J107" s="9" t="str">
        <f t="shared" si="3"/>
        <v>_00</v>
      </c>
      <c r="K107" s="10" t="str">
        <f t="shared" ca="1" si="4"/>
        <v>SSFLAT__20260323_00</v>
      </c>
      <c r="L107" s="10" t="str">
        <f t="shared" ca="1" si="5"/>
        <v>SSFLAT__20260323_0000</v>
      </c>
      <c r="M107" t="b">
        <f>IF(ROW()-ROW($M$1) &lt;= FILLME!$G$4, TRUE, FALSE)</f>
        <v>0</v>
      </c>
      <c r="N107" t="b">
        <f>IF(ROW()-ROW($N$1) &lt;= FILLME!$G$5, TRUE, FALSE)</f>
        <v>0</v>
      </c>
      <c r="O107" t="b">
        <f>IF(ROW()-ROW($O$1) &lt;= FILLME!$G$7, TRUE, FALSE)</f>
        <v>0</v>
      </c>
      <c r="P107" t="b">
        <f>IF(ROW()-ROW($P$1) &lt;= FILLME!$G$6, TRUE, FALSE)</f>
        <v>0</v>
      </c>
      <c r="Q107" t="b">
        <f>IF(ROW()-ROW($Q$1) &lt;= FILLME!$G$8, TRUE, FALSE)</f>
        <v>0</v>
      </c>
      <c r="R107" t="b">
        <f>IF(ROW()-ROW($R$1) &lt;= FILLME!$G$9, TRUE, FALSE)</f>
        <v>0</v>
      </c>
      <c r="S107" t="b">
        <f>IF(ROW()-ROW($S$1) &lt;= FILLME!$G$10, TRUE, FALSE)</f>
        <v>0</v>
      </c>
      <c r="T107" t="b">
        <f>IF(ROW()-ROW($T$1) &lt;= FILLME!$G$11, TRUE, FALSE)</f>
        <v>0</v>
      </c>
    </row>
    <row r="108" spans="1:20" x14ac:dyDescent="0.25">
      <c r="A108" s="7" t="str">
        <f>FILLME!$B$7</f>
        <v>ISCO</v>
      </c>
      <c r="B108" t="str">
        <f>IF(FILLME!$B$3 = "", "", FILLME!$B$3)</f>
        <v>WWS</v>
      </c>
      <c r="C108" t="str">
        <f>IF(FILLME!$B$4 = "", "", FILLME!$B$4)</f>
        <v>SSFLAT</v>
      </c>
      <c r="D108" s="7" t="str">
        <f ca="1">TEXT(FILLME!$B$6,"yyyymmdd")</f>
        <v>20260323</v>
      </c>
      <c r="E108" s="8"/>
      <c r="F108" s="7">
        <f ca="1">IF(FILLME!$B$7="ISCO",FILLME!$B$6+FILLME!$B$11+(FILLME!$B$13*(G108-FILLME!$B$14)),FILLME!$B$6)</f>
        <v>46104.25</v>
      </c>
      <c r="G108" s="8"/>
      <c r="H108" s="8"/>
      <c r="I108" s="2"/>
      <c r="J108" s="9" t="str">
        <f t="shared" si="3"/>
        <v>_00</v>
      </c>
      <c r="K108" s="10" t="str">
        <f t="shared" ca="1" si="4"/>
        <v>SSFLAT__20260323_00</v>
      </c>
      <c r="L108" s="10" t="str">
        <f t="shared" ca="1" si="5"/>
        <v>SSFLAT__20260323_0000</v>
      </c>
      <c r="M108" t="b">
        <f>IF(ROW()-ROW($M$1) &lt;= FILLME!$G$4, TRUE, FALSE)</f>
        <v>0</v>
      </c>
      <c r="N108" t="b">
        <f>IF(ROW()-ROW($N$1) &lt;= FILLME!$G$5, TRUE, FALSE)</f>
        <v>0</v>
      </c>
      <c r="O108" t="b">
        <f>IF(ROW()-ROW($O$1) &lt;= FILLME!$G$7, TRUE, FALSE)</f>
        <v>0</v>
      </c>
      <c r="P108" t="b">
        <f>IF(ROW()-ROW($P$1) &lt;= FILLME!$G$6, TRUE, FALSE)</f>
        <v>0</v>
      </c>
      <c r="Q108" t="b">
        <f>IF(ROW()-ROW($Q$1) &lt;= FILLME!$G$8, TRUE, FALSE)</f>
        <v>0</v>
      </c>
      <c r="R108" t="b">
        <f>IF(ROW()-ROW($R$1) &lt;= FILLME!$G$9, TRUE, FALSE)</f>
        <v>0</v>
      </c>
      <c r="S108" t="b">
        <f>IF(ROW()-ROW($S$1) &lt;= FILLME!$G$10, TRUE, FALSE)</f>
        <v>0</v>
      </c>
      <c r="T108" t="b">
        <f>IF(ROW()-ROW($T$1) &lt;= FILLME!$G$11, TRUE, FALSE)</f>
        <v>0</v>
      </c>
    </row>
    <row r="109" spans="1:20" x14ac:dyDescent="0.25">
      <c r="A109" s="7" t="str">
        <f>FILLME!$B$7</f>
        <v>ISCO</v>
      </c>
      <c r="B109" t="str">
        <f>IF(FILLME!$B$3 = "", "", FILLME!$B$3)</f>
        <v>WWS</v>
      </c>
      <c r="C109" t="str">
        <f>IF(FILLME!$B$4 = "", "", FILLME!$B$4)</f>
        <v>SSFLAT</v>
      </c>
      <c r="D109" s="7" t="str">
        <f ca="1">TEXT(FILLME!$B$6,"yyyymmdd")</f>
        <v>20260323</v>
      </c>
      <c r="E109" s="8"/>
      <c r="F109" s="7">
        <f ca="1">IF(FILLME!$B$7="ISCO",FILLME!$B$6+FILLME!$B$11+(FILLME!$B$13*(G109-FILLME!$B$14)),FILLME!$B$6)</f>
        <v>46104.25</v>
      </c>
      <c r="G109" s="8"/>
      <c r="H109" s="8"/>
      <c r="I109" s="2"/>
      <c r="J109" s="9" t="str">
        <f t="shared" si="3"/>
        <v>_00</v>
      </c>
      <c r="K109" s="10" t="str">
        <f t="shared" ca="1" si="4"/>
        <v>SSFLAT__20260323_00</v>
      </c>
      <c r="L109" s="10" t="str">
        <f t="shared" ca="1" si="5"/>
        <v>SSFLAT__20260323_0000</v>
      </c>
      <c r="M109" t="b">
        <f>IF(ROW()-ROW($M$1) &lt;= FILLME!$G$4, TRUE, FALSE)</f>
        <v>0</v>
      </c>
      <c r="N109" t="b">
        <f>IF(ROW()-ROW($N$1) &lt;= FILLME!$G$5, TRUE, FALSE)</f>
        <v>0</v>
      </c>
      <c r="O109" t="b">
        <f>IF(ROW()-ROW($O$1) &lt;= FILLME!$G$7, TRUE, FALSE)</f>
        <v>0</v>
      </c>
      <c r="P109" t="b">
        <f>IF(ROW()-ROW($P$1) &lt;= FILLME!$G$6, TRUE, FALSE)</f>
        <v>0</v>
      </c>
      <c r="Q109" t="b">
        <f>IF(ROW()-ROW($Q$1) &lt;= FILLME!$G$8, TRUE, FALSE)</f>
        <v>0</v>
      </c>
      <c r="R109" t="b">
        <f>IF(ROW()-ROW($R$1) &lt;= FILLME!$G$9, TRUE, FALSE)</f>
        <v>0</v>
      </c>
      <c r="S109" t="b">
        <f>IF(ROW()-ROW($S$1) &lt;= FILLME!$G$10, TRUE, FALSE)</f>
        <v>0</v>
      </c>
      <c r="T109" t="b">
        <f>IF(ROW()-ROW($T$1) &lt;= FILLME!$G$11, TRUE, FALSE)</f>
        <v>0</v>
      </c>
    </row>
    <row r="110" spans="1:20" x14ac:dyDescent="0.25">
      <c r="A110" s="7" t="str">
        <f>FILLME!$B$7</f>
        <v>ISCO</v>
      </c>
      <c r="B110" t="str">
        <f>IF(FILLME!$B$3 = "", "", FILLME!$B$3)</f>
        <v>WWS</v>
      </c>
      <c r="C110" t="str">
        <f>IF(FILLME!$B$4 = "", "", FILLME!$B$4)</f>
        <v>SSFLAT</v>
      </c>
      <c r="D110" s="7" t="str">
        <f ca="1">TEXT(FILLME!$B$6,"yyyymmdd")</f>
        <v>20260323</v>
      </c>
      <c r="E110" s="8"/>
      <c r="F110" s="7">
        <f ca="1">IF(FILLME!$B$7="ISCO",FILLME!$B$6+FILLME!$B$11+(FILLME!$B$13*(G110-FILLME!$B$14)),FILLME!$B$6)</f>
        <v>46104.25</v>
      </c>
      <c r="G110" s="8"/>
      <c r="H110" s="8"/>
      <c r="I110" s="2"/>
      <c r="J110" s="9" t="str">
        <f t="shared" si="3"/>
        <v>_00</v>
      </c>
      <c r="K110" s="10" t="str">
        <f t="shared" ca="1" si="4"/>
        <v>SSFLAT__20260323_00</v>
      </c>
      <c r="L110" s="10" t="str">
        <f t="shared" ca="1" si="5"/>
        <v>SSFLAT__20260323_0000</v>
      </c>
      <c r="M110" t="b">
        <f>IF(ROW()-ROW($M$1) &lt;= FILLME!$G$4, TRUE, FALSE)</f>
        <v>0</v>
      </c>
      <c r="N110" t="b">
        <f>IF(ROW()-ROW($N$1) &lt;= FILLME!$G$5, TRUE, FALSE)</f>
        <v>0</v>
      </c>
      <c r="O110" t="b">
        <f>IF(ROW()-ROW($O$1) &lt;= FILLME!$G$7, TRUE, FALSE)</f>
        <v>0</v>
      </c>
      <c r="P110" t="b">
        <f>IF(ROW()-ROW($P$1) &lt;= FILLME!$G$6, TRUE, FALSE)</f>
        <v>0</v>
      </c>
      <c r="Q110" t="b">
        <f>IF(ROW()-ROW($Q$1) &lt;= FILLME!$G$8, TRUE, FALSE)</f>
        <v>0</v>
      </c>
      <c r="R110" t="b">
        <f>IF(ROW()-ROW($R$1) &lt;= FILLME!$G$9, TRUE, FALSE)</f>
        <v>0</v>
      </c>
      <c r="S110" t="b">
        <f>IF(ROW()-ROW($S$1) &lt;= FILLME!$G$10, TRUE, FALSE)</f>
        <v>0</v>
      </c>
      <c r="T110" t="b">
        <f>IF(ROW()-ROW($T$1) &lt;= FILLME!$G$11, TRUE, FALSE)</f>
        <v>0</v>
      </c>
    </row>
    <row r="111" spans="1:20" x14ac:dyDescent="0.25">
      <c r="A111" s="7" t="str">
        <f>FILLME!$B$7</f>
        <v>ISCO</v>
      </c>
      <c r="B111" t="str">
        <f>IF(FILLME!$B$3 = "", "", FILLME!$B$3)</f>
        <v>WWS</v>
      </c>
      <c r="C111" t="str">
        <f>IF(FILLME!$B$4 = "", "", FILLME!$B$4)</f>
        <v>SSFLAT</v>
      </c>
      <c r="D111" s="7" t="str">
        <f ca="1">TEXT(FILLME!$B$6,"yyyymmdd")</f>
        <v>20260323</v>
      </c>
      <c r="E111" s="8"/>
      <c r="F111" s="7">
        <f ca="1">IF(FILLME!$B$7="ISCO",FILLME!$B$6+FILLME!$B$11+(FILLME!$B$13*(G111-FILLME!$B$14)),FILLME!$B$6)</f>
        <v>46104.25</v>
      </c>
      <c r="G111" s="8"/>
      <c r="H111" s="8"/>
      <c r="I111" s="2"/>
      <c r="J111" s="9" t="str">
        <f t="shared" si="3"/>
        <v>_00</v>
      </c>
      <c r="K111" s="10" t="str">
        <f t="shared" ca="1" si="4"/>
        <v>SSFLAT__20260323_00</v>
      </c>
      <c r="L111" s="10" t="str">
        <f t="shared" ca="1" si="5"/>
        <v>SSFLAT__20260323_0000</v>
      </c>
      <c r="M111" t="b">
        <f>IF(ROW()-ROW($M$1) &lt;= FILLME!$G$4, TRUE, FALSE)</f>
        <v>0</v>
      </c>
      <c r="N111" t="b">
        <f>IF(ROW()-ROW($N$1) &lt;= FILLME!$G$5, TRUE, FALSE)</f>
        <v>0</v>
      </c>
      <c r="O111" t="b">
        <f>IF(ROW()-ROW($O$1) &lt;= FILLME!$G$7, TRUE, FALSE)</f>
        <v>0</v>
      </c>
      <c r="P111" t="b">
        <f>IF(ROW()-ROW($P$1) &lt;= FILLME!$G$6, TRUE, FALSE)</f>
        <v>0</v>
      </c>
      <c r="Q111" t="b">
        <f>IF(ROW()-ROW($Q$1) &lt;= FILLME!$G$8, TRUE, FALSE)</f>
        <v>0</v>
      </c>
      <c r="R111" t="b">
        <f>IF(ROW()-ROW($R$1) &lt;= FILLME!$G$9, TRUE, FALSE)</f>
        <v>0</v>
      </c>
      <c r="S111" t="b">
        <f>IF(ROW()-ROW($S$1) &lt;= FILLME!$G$10, TRUE, FALSE)</f>
        <v>0</v>
      </c>
      <c r="T111" t="b">
        <f>IF(ROW()-ROW($T$1) &lt;= FILLME!$G$11, TRUE, FALSE)</f>
        <v>0</v>
      </c>
    </row>
    <row r="112" spans="1:20" x14ac:dyDescent="0.25">
      <c r="A112" s="7" t="str">
        <f>FILLME!$B$7</f>
        <v>ISCO</v>
      </c>
      <c r="B112" t="str">
        <f>IF(FILLME!$B$3 = "", "", FILLME!$B$3)</f>
        <v>WWS</v>
      </c>
      <c r="C112" t="str">
        <f>IF(FILLME!$B$4 = "", "", FILLME!$B$4)</f>
        <v>SSFLAT</v>
      </c>
      <c r="D112" s="7" t="str">
        <f ca="1">TEXT(FILLME!$B$6,"yyyymmdd")</f>
        <v>20260323</v>
      </c>
      <c r="E112" s="8"/>
      <c r="F112" s="7">
        <f ca="1">IF(FILLME!$B$7="ISCO",FILLME!$B$6+FILLME!$B$11+(FILLME!$B$13*(G112-FILLME!$B$14)),FILLME!$B$6)</f>
        <v>46104.25</v>
      </c>
      <c r="G112" s="8"/>
      <c r="H112" s="8"/>
      <c r="I112" s="2"/>
      <c r="J112" s="9" t="str">
        <f t="shared" si="3"/>
        <v>_00</v>
      </c>
      <c r="K112" s="10" t="str">
        <f t="shared" ca="1" si="4"/>
        <v>SSFLAT__20260323_00</v>
      </c>
      <c r="L112" s="10" t="str">
        <f t="shared" ca="1" si="5"/>
        <v>SSFLAT__20260323_0000</v>
      </c>
      <c r="M112" t="b">
        <f>IF(ROW()-ROW($M$1) &lt;= FILLME!$G$4, TRUE, FALSE)</f>
        <v>0</v>
      </c>
      <c r="N112" t="b">
        <f>IF(ROW()-ROW($N$1) &lt;= FILLME!$G$5, TRUE, FALSE)</f>
        <v>0</v>
      </c>
      <c r="O112" t="b">
        <f>IF(ROW()-ROW($O$1) &lt;= FILLME!$G$7, TRUE, FALSE)</f>
        <v>0</v>
      </c>
      <c r="P112" t="b">
        <f>IF(ROW()-ROW($P$1) &lt;= FILLME!$G$6, TRUE, FALSE)</f>
        <v>0</v>
      </c>
      <c r="Q112" t="b">
        <f>IF(ROW()-ROW($Q$1) &lt;= FILLME!$G$8, TRUE, FALSE)</f>
        <v>0</v>
      </c>
      <c r="R112" t="b">
        <f>IF(ROW()-ROW($R$1) &lt;= FILLME!$G$9, TRUE, FALSE)</f>
        <v>0</v>
      </c>
      <c r="S112" t="b">
        <f>IF(ROW()-ROW($S$1) &lt;= FILLME!$G$10, TRUE, FALSE)</f>
        <v>0</v>
      </c>
      <c r="T112" t="b">
        <f>IF(ROW()-ROW($T$1) &lt;= FILLME!$G$11, TRUE, FALSE)</f>
        <v>0</v>
      </c>
    </row>
    <row r="113" spans="1:20" x14ac:dyDescent="0.25">
      <c r="A113" s="7" t="str">
        <f>FILLME!$B$7</f>
        <v>ISCO</v>
      </c>
      <c r="B113" t="str">
        <f>IF(FILLME!$B$3 = "", "", FILLME!$B$3)</f>
        <v>WWS</v>
      </c>
      <c r="C113" t="str">
        <f>IF(FILLME!$B$4 = "", "", FILLME!$B$4)</f>
        <v>SSFLAT</v>
      </c>
      <c r="D113" s="7" t="str">
        <f ca="1">TEXT(FILLME!$B$6,"yyyymmdd")</f>
        <v>20260323</v>
      </c>
      <c r="E113" s="8"/>
      <c r="F113" s="7">
        <f ca="1">IF(FILLME!$B$7="ISCO",FILLME!$B$6+FILLME!$B$11+(FILLME!$B$13*(G113-FILLME!$B$14)),FILLME!$B$6)</f>
        <v>46104.25</v>
      </c>
      <c r="G113" s="8"/>
      <c r="H113" s="8"/>
      <c r="I113" s="2"/>
      <c r="J113" s="9" t="str">
        <f t="shared" si="3"/>
        <v>_00</v>
      </c>
      <c r="K113" s="10" t="str">
        <f t="shared" ca="1" si="4"/>
        <v>SSFLAT__20260323_00</v>
      </c>
      <c r="L113" s="10" t="str">
        <f t="shared" ca="1" si="5"/>
        <v>SSFLAT__20260323_0000</v>
      </c>
      <c r="M113" t="b">
        <f>IF(ROW()-ROW($M$1) &lt;= FILLME!$G$4, TRUE, FALSE)</f>
        <v>0</v>
      </c>
      <c r="N113" t="b">
        <f>IF(ROW()-ROW($N$1) &lt;= FILLME!$G$5, TRUE, FALSE)</f>
        <v>0</v>
      </c>
      <c r="O113" t="b">
        <f>IF(ROW()-ROW($O$1) &lt;= FILLME!$G$7, TRUE, FALSE)</f>
        <v>0</v>
      </c>
      <c r="P113" t="b">
        <f>IF(ROW()-ROW($P$1) &lt;= FILLME!$G$6, TRUE, FALSE)</f>
        <v>0</v>
      </c>
      <c r="Q113" t="b">
        <f>IF(ROW()-ROW($Q$1) &lt;= FILLME!$G$8, TRUE, FALSE)</f>
        <v>0</v>
      </c>
      <c r="R113" t="b">
        <f>IF(ROW()-ROW($R$1) &lt;= FILLME!$G$9, TRUE, FALSE)</f>
        <v>0</v>
      </c>
      <c r="S113" t="b">
        <f>IF(ROW()-ROW($S$1) &lt;= FILLME!$G$10, TRUE, FALSE)</f>
        <v>0</v>
      </c>
      <c r="T113" t="b">
        <f>IF(ROW()-ROW($T$1) &lt;= FILLME!$G$11, TRUE, FALSE)</f>
        <v>0</v>
      </c>
    </row>
    <row r="114" spans="1:20" x14ac:dyDescent="0.25">
      <c r="A114" s="7" t="str">
        <f>FILLME!$B$7</f>
        <v>ISCO</v>
      </c>
      <c r="B114" t="str">
        <f>IF(FILLME!$B$3 = "", "", FILLME!$B$3)</f>
        <v>WWS</v>
      </c>
      <c r="C114" t="str">
        <f>IF(FILLME!$B$4 = "", "", FILLME!$B$4)</f>
        <v>SSFLAT</v>
      </c>
      <c r="D114" s="7" t="str">
        <f ca="1">TEXT(FILLME!$B$6,"yyyymmdd")</f>
        <v>20260323</v>
      </c>
      <c r="E114" s="8"/>
      <c r="F114" s="7">
        <f ca="1">IF(FILLME!$B$7="ISCO",FILLME!$B$6+FILLME!$B$11+(FILLME!$B$13*(G114-FILLME!$B$14)),FILLME!$B$6)</f>
        <v>46104.25</v>
      </c>
      <c r="G114" s="8"/>
      <c r="H114" s="8"/>
      <c r="I114" s="2"/>
      <c r="J114" s="9" t="str">
        <f t="shared" si="3"/>
        <v>_00</v>
      </c>
      <c r="K114" s="10" t="str">
        <f t="shared" ca="1" si="4"/>
        <v>SSFLAT__20260323_00</v>
      </c>
      <c r="L114" s="10" t="str">
        <f t="shared" ca="1" si="5"/>
        <v>SSFLAT__20260323_0000</v>
      </c>
      <c r="M114" t="b">
        <f>IF(ROW()-ROW($M$1) &lt;= FILLME!$G$4, TRUE, FALSE)</f>
        <v>0</v>
      </c>
      <c r="N114" t="b">
        <f>IF(ROW()-ROW($N$1) &lt;= FILLME!$G$5, TRUE, FALSE)</f>
        <v>0</v>
      </c>
      <c r="O114" t="b">
        <f>IF(ROW()-ROW($O$1) &lt;= FILLME!$G$7, TRUE, FALSE)</f>
        <v>0</v>
      </c>
      <c r="P114" t="b">
        <f>IF(ROW()-ROW($P$1) &lt;= FILLME!$G$6, TRUE, FALSE)</f>
        <v>0</v>
      </c>
      <c r="Q114" t="b">
        <f>IF(ROW()-ROW($Q$1) &lt;= FILLME!$G$8, TRUE, FALSE)</f>
        <v>0</v>
      </c>
      <c r="R114" t="b">
        <f>IF(ROW()-ROW($R$1) &lt;= FILLME!$G$9, TRUE, FALSE)</f>
        <v>0</v>
      </c>
      <c r="S114" t="b">
        <f>IF(ROW()-ROW($S$1) &lt;= FILLME!$G$10, TRUE, FALSE)</f>
        <v>0</v>
      </c>
      <c r="T114" t="b">
        <f>IF(ROW()-ROW($T$1) &lt;= FILLME!$G$11, TRUE, FALSE)</f>
        <v>0</v>
      </c>
    </row>
    <row r="115" spans="1:20" x14ac:dyDescent="0.25">
      <c r="A115" s="7" t="str">
        <f>FILLME!$B$7</f>
        <v>ISCO</v>
      </c>
      <c r="B115" t="str">
        <f>IF(FILLME!$B$3 = "", "", FILLME!$B$3)</f>
        <v>WWS</v>
      </c>
      <c r="C115" t="str">
        <f>IF(FILLME!$B$4 = "", "", FILLME!$B$4)</f>
        <v>SSFLAT</v>
      </c>
      <c r="D115" s="7" t="str">
        <f ca="1">TEXT(FILLME!$B$6,"yyyymmdd")</f>
        <v>20260323</v>
      </c>
      <c r="E115" s="8"/>
      <c r="F115" s="7">
        <f ca="1">IF(FILLME!$B$7="ISCO",FILLME!$B$6+FILLME!$B$11+(FILLME!$B$13*(G115-FILLME!$B$14)),FILLME!$B$6)</f>
        <v>46104.25</v>
      </c>
      <c r="G115" s="8"/>
      <c r="H115" s="8"/>
      <c r="I115" s="2"/>
      <c r="J115" s="9" t="str">
        <f t="shared" si="3"/>
        <v>_00</v>
      </c>
      <c r="K115" s="10" t="str">
        <f t="shared" ca="1" si="4"/>
        <v>SSFLAT__20260323_00</v>
      </c>
      <c r="L115" s="10" t="str">
        <f t="shared" ca="1" si="5"/>
        <v>SSFLAT__20260323_0000</v>
      </c>
      <c r="M115" t="b">
        <f>IF(ROW()-ROW($M$1) &lt;= FILLME!$G$4, TRUE, FALSE)</f>
        <v>0</v>
      </c>
      <c r="N115" t="b">
        <f>IF(ROW()-ROW($N$1) &lt;= FILLME!$G$5, TRUE, FALSE)</f>
        <v>0</v>
      </c>
      <c r="O115" t="b">
        <f>IF(ROW()-ROW($O$1) &lt;= FILLME!$G$7, TRUE, FALSE)</f>
        <v>0</v>
      </c>
      <c r="P115" t="b">
        <f>IF(ROW()-ROW($P$1) &lt;= FILLME!$G$6, TRUE, FALSE)</f>
        <v>0</v>
      </c>
      <c r="Q115" t="b">
        <f>IF(ROW()-ROW($Q$1) &lt;= FILLME!$G$8, TRUE, FALSE)</f>
        <v>0</v>
      </c>
      <c r="R115" t="b">
        <f>IF(ROW()-ROW($R$1) &lt;= FILLME!$G$9, TRUE, FALSE)</f>
        <v>0</v>
      </c>
      <c r="S115" t="b">
        <f>IF(ROW()-ROW($S$1) &lt;= FILLME!$G$10, TRUE, FALSE)</f>
        <v>0</v>
      </c>
      <c r="T115" t="b">
        <f>IF(ROW()-ROW($T$1) &lt;= FILLME!$G$11, TRUE, FALSE)</f>
        <v>0</v>
      </c>
    </row>
    <row r="116" spans="1:20" x14ac:dyDescent="0.25">
      <c r="A116" s="7" t="str">
        <f>FILLME!$B$7</f>
        <v>ISCO</v>
      </c>
      <c r="B116" t="str">
        <f>IF(FILLME!$B$3 = "", "", FILLME!$B$3)</f>
        <v>WWS</v>
      </c>
      <c r="C116" t="str">
        <f>IF(FILLME!$B$4 = "", "", FILLME!$B$4)</f>
        <v>SSFLAT</v>
      </c>
      <c r="D116" s="7" t="str">
        <f ca="1">TEXT(FILLME!$B$6,"yyyymmdd")</f>
        <v>20260323</v>
      </c>
      <c r="E116" s="8"/>
      <c r="F116" s="7">
        <f ca="1">IF(FILLME!$B$7="ISCO",FILLME!$B$6+FILLME!$B$11+(FILLME!$B$13*(G116-FILLME!$B$14)),FILLME!$B$6)</f>
        <v>46104.25</v>
      </c>
      <c r="G116" s="8"/>
      <c r="H116" s="8"/>
      <c r="I116" s="2"/>
      <c r="J116" s="9" t="str">
        <f t="shared" si="3"/>
        <v>_00</v>
      </c>
      <c r="K116" s="10" t="str">
        <f t="shared" ca="1" si="4"/>
        <v>SSFLAT__20260323_00</v>
      </c>
      <c r="L116" s="10" t="str">
        <f t="shared" ca="1" si="5"/>
        <v>SSFLAT__20260323_0000</v>
      </c>
      <c r="M116" t="b">
        <f>IF(ROW()-ROW($M$1) &lt;= FILLME!$G$4, TRUE, FALSE)</f>
        <v>0</v>
      </c>
      <c r="N116" t="b">
        <f>IF(ROW()-ROW($N$1) &lt;= FILLME!$G$5, TRUE, FALSE)</f>
        <v>0</v>
      </c>
      <c r="O116" t="b">
        <f>IF(ROW()-ROW($O$1) &lt;= FILLME!$G$7, TRUE, FALSE)</f>
        <v>0</v>
      </c>
      <c r="P116" t="b">
        <f>IF(ROW()-ROW($P$1) &lt;= FILLME!$G$6, TRUE, FALSE)</f>
        <v>0</v>
      </c>
      <c r="Q116" t="b">
        <f>IF(ROW()-ROW($Q$1) &lt;= FILLME!$G$8, TRUE, FALSE)</f>
        <v>0</v>
      </c>
      <c r="R116" t="b">
        <f>IF(ROW()-ROW($R$1) &lt;= FILLME!$G$9, TRUE, FALSE)</f>
        <v>0</v>
      </c>
      <c r="S116" t="b">
        <f>IF(ROW()-ROW($S$1) &lt;= FILLME!$G$10, TRUE, FALSE)</f>
        <v>0</v>
      </c>
      <c r="T116" t="b">
        <f>IF(ROW()-ROW($T$1) &lt;= FILLME!$G$11, TRUE, FALSE)</f>
        <v>0</v>
      </c>
    </row>
    <row r="117" spans="1:20" x14ac:dyDescent="0.25">
      <c r="A117" s="7" t="str">
        <f>FILLME!$B$7</f>
        <v>ISCO</v>
      </c>
      <c r="B117" t="str">
        <f>IF(FILLME!$B$3 = "", "", FILLME!$B$3)</f>
        <v>WWS</v>
      </c>
      <c r="C117" t="str">
        <f>IF(FILLME!$B$4 = "", "", FILLME!$B$4)</f>
        <v>SSFLAT</v>
      </c>
      <c r="D117" s="7" t="str">
        <f ca="1">TEXT(FILLME!$B$6,"yyyymmdd")</f>
        <v>20260323</v>
      </c>
      <c r="E117" s="8"/>
      <c r="F117" s="7">
        <f ca="1">IF(FILLME!$B$7="ISCO",FILLME!$B$6+FILLME!$B$11+(FILLME!$B$13*(G117-FILLME!$B$14)),FILLME!$B$6)</f>
        <v>46104.25</v>
      </c>
      <c r="G117" s="8"/>
      <c r="H117" s="8"/>
      <c r="I117" s="2"/>
      <c r="J117" s="9" t="str">
        <f t="shared" si="3"/>
        <v>_00</v>
      </c>
      <c r="K117" s="10" t="str">
        <f t="shared" ca="1" si="4"/>
        <v>SSFLAT__20260323_00</v>
      </c>
      <c r="L117" s="10" t="str">
        <f t="shared" ca="1" si="5"/>
        <v>SSFLAT__20260323_0000</v>
      </c>
      <c r="M117" t="b">
        <f>IF(ROW()-ROW($M$1) &lt;= FILLME!$G$4, TRUE, FALSE)</f>
        <v>0</v>
      </c>
      <c r="N117" t="b">
        <f>IF(ROW()-ROW($N$1) &lt;= FILLME!$G$5, TRUE, FALSE)</f>
        <v>0</v>
      </c>
      <c r="O117" t="b">
        <f>IF(ROW()-ROW($O$1) &lt;= FILLME!$G$7, TRUE, FALSE)</f>
        <v>0</v>
      </c>
      <c r="P117" t="b">
        <f>IF(ROW()-ROW($P$1) &lt;= FILLME!$G$6, TRUE, FALSE)</f>
        <v>0</v>
      </c>
      <c r="Q117" t="b">
        <f>IF(ROW()-ROW($Q$1) &lt;= FILLME!$G$8, TRUE, FALSE)</f>
        <v>0</v>
      </c>
      <c r="R117" t="b">
        <f>IF(ROW()-ROW($R$1) &lt;= FILLME!$G$9, TRUE, FALSE)</f>
        <v>0</v>
      </c>
      <c r="S117" t="b">
        <f>IF(ROW()-ROW($S$1) &lt;= FILLME!$G$10, TRUE, FALSE)</f>
        <v>0</v>
      </c>
      <c r="T117" t="b">
        <f>IF(ROW()-ROW($T$1) &lt;= FILLME!$G$11, TRUE, FALSE)</f>
        <v>0</v>
      </c>
    </row>
    <row r="118" spans="1:20" x14ac:dyDescent="0.25">
      <c r="A118" s="7" t="str">
        <f>FILLME!$B$7</f>
        <v>ISCO</v>
      </c>
      <c r="B118" t="str">
        <f>IF(FILLME!$B$3 = "", "", FILLME!$B$3)</f>
        <v>WWS</v>
      </c>
      <c r="C118" t="str">
        <f>IF(FILLME!$B$4 = "", "", FILLME!$B$4)</f>
        <v>SSFLAT</v>
      </c>
      <c r="D118" s="7" t="str">
        <f ca="1">TEXT(FILLME!$B$6,"yyyymmdd")</f>
        <v>20260323</v>
      </c>
      <c r="E118" s="8"/>
      <c r="F118" s="7">
        <f ca="1">IF(FILLME!$B$7="ISCO",FILLME!$B$6+FILLME!$B$11+(FILLME!$B$13*(G118-FILLME!$B$14)),FILLME!$B$6)</f>
        <v>46104.25</v>
      </c>
      <c r="G118" s="8"/>
      <c r="H118" s="8"/>
      <c r="I118" s="2"/>
      <c r="J118" s="9" t="str">
        <f t="shared" si="3"/>
        <v>_00</v>
      </c>
      <c r="K118" s="10" t="str">
        <f t="shared" ca="1" si="4"/>
        <v>SSFLAT__20260323_00</v>
      </c>
      <c r="L118" s="10" t="str">
        <f t="shared" ca="1" si="5"/>
        <v>SSFLAT__20260323_0000</v>
      </c>
      <c r="M118" t="b">
        <f>IF(ROW()-ROW($M$1) &lt;= FILLME!$G$4, TRUE, FALSE)</f>
        <v>0</v>
      </c>
      <c r="N118" t="b">
        <f>IF(ROW()-ROW($N$1) &lt;= FILLME!$G$5, TRUE, FALSE)</f>
        <v>0</v>
      </c>
      <c r="O118" t="b">
        <f>IF(ROW()-ROW($O$1) &lt;= FILLME!$G$7, TRUE, FALSE)</f>
        <v>0</v>
      </c>
      <c r="P118" t="b">
        <f>IF(ROW()-ROW($P$1) &lt;= FILLME!$G$6, TRUE, FALSE)</f>
        <v>0</v>
      </c>
      <c r="Q118" t="b">
        <f>IF(ROW()-ROW($Q$1) &lt;= FILLME!$G$8, TRUE, FALSE)</f>
        <v>0</v>
      </c>
      <c r="R118" t="b">
        <f>IF(ROW()-ROW($R$1) &lt;= FILLME!$G$9, TRUE, FALSE)</f>
        <v>0</v>
      </c>
      <c r="S118" t="b">
        <f>IF(ROW()-ROW($S$1) &lt;= FILLME!$G$10, TRUE, FALSE)</f>
        <v>0</v>
      </c>
      <c r="T118" t="b">
        <f>IF(ROW()-ROW($T$1) &lt;= FILLME!$G$11, TRUE, FALSE)</f>
        <v>0</v>
      </c>
    </row>
    <row r="119" spans="1:20" x14ac:dyDescent="0.25">
      <c r="A119" s="7" t="str">
        <f>FILLME!$B$7</f>
        <v>ISCO</v>
      </c>
      <c r="B119" t="str">
        <f>IF(FILLME!$B$3 = "", "", FILLME!$B$3)</f>
        <v>WWS</v>
      </c>
      <c r="C119" t="str">
        <f>IF(FILLME!$B$4 = "", "", FILLME!$B$4)</f>
        <v>SSFLAT</v>
      </c>
      <c r="D119" s="7" t="str">
        <f ca="1">TEXT(FILLME!$B$6,"yyyymmdd")</f>
        <v>20260323</v>
      </c>
      <c r="E119" s="8"/>
      <c r="F119" s="7">
        <f ca="1">IF(FILLME!$B$7="ISCO",FILLME!$B$6+FILLME!$B$11+(FILLME!$B$13*(G119-FILLME!$B$14)),FILLME!$B$6)</f>
        <v>46104.25</v>
      </c>
      <c r="G119" s="8"/>
      <c r="H119" s="8"/>
      <c r="I119" s="2"/>
      <c r="J119" s="9" t="str">
        <f t="shared" si="3"/>
        <v>_00</v>
      </c>
      <c r="K119" s="10" t="str">
        <f t="shared" ca="1" si="4"/>
        <v>SSFLAT__20260323_00</v>
      </c>
      <c r="L119" s="10" t="str">
        <f t="shared" ca="1" si="5"/>
        <v>SSFLAT__20260323_0000</v>
      </c>
      <c r="M119" t="b">
        <f>IF(ROW()-ROW($M$1) &lt;= FILLME!$G$4, TRUE, FALSE)</f>
        <v>0</v>
      </c>
      <c r="N119" t="b">
        <f>IF(ROW()-ROW($N$1) &lt;= FILLME!$G$5, TRUE, FALSE)</f>
        <v>0</v>
      </c>
      <c r="O119" t="b">
        <f>IF(ROW()-ROW($O$1) &lt;= FILLME!$G$7, TRUE, FALSE)</f>
        <v>0</v>
      </c>
      <c r="P119" t="b">
        <f>IF(ROW()-ROW($P$1) &lt;= FILLME!$G$6, TRUE, FALSE)</f>
        <v>0</v>
      </c>
      <c r="Q119" t="b">
        <f>IF(ROW()-ROW($Q$1) &lt;= FILLME!$G$8, TRUE, FALSE)</f>
        <v>0</v>
      </c>
      <c r="R119" t="b">
        <f>IF(ROW()-ROW($R$1) &lt;= FILLME!$G$9, TRUE, FALSE)</f>
        <v>0</v>
      </c>
      <c r="S119" t="b">
        <f>IF(ROW()-ROW($S$1) &lt;= FILLME!$G$10, TRUE, FALSE)</f>
        <v>0</v>
      </c>
      <c r="T119" t="b">
        <f>IF(ROW()-ROW($T$1) &lt;= FILLME!$G$11, TRUE, FALSE)</f>
        <v>0</v>
      </c>
    </row>
    <row r="120" spans="1:20" x14ac:dyDescent="0.25">
      <c r="A120" s="7" t="str">
        <f>FILLME!$B$7</f>
        <v>ISCO</v>
      </c>
      <c r="B120" t="str">
        <f>IF(FILLME!$B$3 = "", "", FILLME!$B$3)</f>
        <v>WWS</v>
      </c>
      <c r="C120" t="str">
        <f>IF(FILLME!$B$4 = "", "", FILLME!$B$4)</f>
        <v>SSFLAT</v>
      </c>
      <c r="D120" s="7" t="str">
        <f ca="1">TEXT(FILLME!$B$6,"yyyymmdd")</f>
        <v>20260323</v>
      </c>
      <c r="E120" s="8"/>
      <c r="F120" s="7">
        <f ca="1">IF(FILLME!$B$7="ISCO",FILLME!$B$6+FILLME!$B$11+(FILLME!$B$13*(G120-FILLME!$B$14)),FILLME!$B$6)</f>
        <v>46104.25</v>
      </c>
      <c r="G120" s="8"/>
      <c r="H120" s="8"/>
      <c r="I120" s="2"/>
      <c r="J120" s="9" t="str">
        <f t="shared" si="3"/>
        <v>_00</v>
      </c>
      <c r="K120" s="10" t="str">
        <f t="shared" ca="1" si="4"/>
        <v>SSFLAT__20260323_00</v>
      </c>
      <c r="L120" s="10" t="str">
        <f t="shared" ca="1" si="5"/>
        <v>SSFLAT__20260323_0000</v>
      </c>
      <c r="M120" t="b">
        <f>IF(ROW()-ROW($M$1) &lt;= FILLME!$G$4, TRUE, FALSE)</f>
        <v>0</v>
      </c>
      <c r="N120" t="b">
        <f>IF(ROW()-ROW($N$1) &lt;= FILLME!$G$5, TRUE, FALSE)</f>
        <v>0</v>
      </c>
      <c r="O120" t="b">
        <f>IF(ROW()-ROW($O$1) &lt;= FILLME!$G$7, TRUE, FALSE)</f>
        <v>0</v>
      </c>
      <c r="P120" t="b">
        <f>IF(ROW()-ROW($P$1) &lt;= FILLME!$G$6, TRUE, FALSE)</f>
        <v>0</v>
      </c>
      <c r="Q120" t="b">
        <f>IF(ROW()-ROW($Q$1) &lt;= FILLME!$G$8, TRUE, FALSE)</f>
        <v>0</v>
      </c>
      <c r="R120" t="b">
        <f>IF(ROW()-ROW($R$1) &lt;= FILLME!$G$9, TRUE, FALSE)</f>
        <v>0</v>
      </c>
      <c r="S120" t="b">
        <f>IF(ROW()-ROW($S$1) &lt;= FILLME!$G$10, TRUE, FALSE)</f>
        <v>0</v>
      </c>
      <c r="T120" t="b">
        <f>IF(ROW()-ROW($T$1) &lt;= FILLME!$G$11, TRUE, FALSE)</f>
        <v>0</v>
      </c>
    </row>
    <row r="121" spans="1:20" x14ac:dyDescent="0.25">
      <c r="A121" s="7" t="str">
        <f>FILLME!$B$7</f>
        <v>ISCO</v>
      </c>
      <c r="B121" t="str">
        <f>IF(FILLME!$B$3 = "", "", FILLME!$B$3)</f>
        <v>WWS</v>
      </c>
      <c r="C121" t="str">
        <f>IF(FILLME!$B$4 = "", "", FILLME!$B$4)</f>
        <v>SSFLAT</v>
      </c>
      <c r="D121" s="7" t="str">
        <f ca="1">TEXT(FILLME!$B$6,"yyyymmdd")</f>
        <v>20260323</v>
      </c>
      <c r="E121" s="8"/>
      <c r="F121" s="7">
        <f ca="1">IF(FILLME!$B$7="ISCO",FILLME!$B$6+FILLME!$B$11+(FILLME!$B$13*(G121-FILLME!$B$14)),FILLME!$B$6)</f>
        <v>46104.25</v>
      </c>
      <c r="G121" s="8"/>
      <c r="H121" s="8"/>
      <c r="I121" s="2"/>
      <c r="J121" s="9" t="str">
        <f t="shared" si="3"/>
        <v>_00</v>
      </c>
      <c r="K121" s="10" t="str">
        <f t="shared" ca="1" si="4"/>
        <v>SSFLAT__20260323_00</v>
      </c>
      <c r="L121" s="10" t="str">
        <f t="shared" ca="1" si="5"/>
        <v>SSFLAT__20260323_0000</v>
      </c>
      <c r="M121" t="b">
        <f>IF(ROW()-ROW($M$1) &lt;= FILLME!$G$4, TRUE, FALSE)</f>
        <v>0</v>
      </c>
      <c r="N121" t="b">
        <f>IF(ROW()-ROW($N$1) &lt;= FILLME!$G$5, TRUE, FALSE)</f>
        <v>0</v>
      </c>
      <c r="O121" t="b">
        <f>IF(ROW()-ROW($O$1) &lt;= FILLME!$G$7, TRUE, FALSE)</f>
        <v>0</v>
      </c>
      <c r="P121" t="b">
        <f>IF(ROW()-ROW($P$1) &lt;= FILLME!$G$6, TRUE, FALSE)</f>
        <v>0</v>
      </c>
      <c r="Q121" t="b">
        <f>IF(ROW()-ROW($Q$1) &lt;= FILLME!$G$8, TRUE, FALSE)</f>
        <v>0</v>
      </c>
      <c r="R121" t="b">
        <f>IF(ROW()-ROW($R$1) &lt;= FILLME!$G$9, TRUE, FALSE)</f>
        <v>0</v>
      </c>
      <c r="S121" t="b">
        <f>IF(ROW()-ROW($S$1) &lt;= FILLME!$G$10, TRUE, FALSE)</f>
        <v>0</v>
      </c>
      <c r="T121" t="b">
        <f>IF(ROW()-ROW($T$1) &lt;= FILLME!$G$11, TRUE, FALSE)</f>
        <v>0</v>
      </c>
    </row>
    <row r="122" spans="1:20" x14ac:dyDescent="0.25">
      <c r="A122" s="7" t="str">
        <f>FILLME!$B$7</f>
        <v>ISCO</v>
      </c>
      <c r="B122" t="str">
        <f>IF(FILLME!$B$3 = "", "", FILLME!$B$3)</f>
        <v>WWS</v>
      </c>
      <c r="C122" t="str">
        <f>IF(FILLME!$B$4 = "", "", FILLME!$B$4)</f>
        <v>SSFLAT</v>
      </c>
      <c r="D122" s="7" t="str">
        <f ca="1">TEXT(FILLME!$B$6,"yyyymmdd")</f>
        <v>20260323</v>
      </c>
      <c r="E122" s="8"/>
      <c r="F122" s="7">
        <f ca="1">IF(FILLME!$B$7="ISCO",FILLME!$B$6+FILLME!$B$11+(FILLME!$B$13*(G122-FILLME!$B$14)),FILLME!$B$6)</f>
        <v>46104.25</v>
      </c>
      <c r="G122" s="8"/>
      <c r="H122" s="8"/>
      <c r="I122" s="2"/>
      <c r="J122" s="9" t="str">
        <f t="shared" si="3"/>
        <v>_00</v>
      </c>
      <c r="K122" s="10" t="str">
        <f t="shared" ca="1" si="4"/>
        <v>SSFLAT__20260323_00</v>
      </c>
      <c r="L122" s="10" t="str">
        <f t="shared" ca="1" si="5"/>
        <v>SSFLAT__20260323_0000</v>
      </c>
      <c r="M122" t="b">
        <f>IF(ROW()-ROW($M$1) &lt;= FILLME!$G$4, TRUE, FALSE)</f>
        <v>0</v>
      </c>
      <c r="N122" t="b">
        <f>IF(ROW()-ROW($N$1) &lt;= FILLME!$G$5, TRUE, FALSE)</f>
        <v>0</v>
      </c>
      <c r="O122" t="b">
        <f>IF(ROW()-ROW($O$1) &lt;= FILLME!$G$7, TRUE, FALSE)</f>
        <v>0</v>
      </c>
      <c r="P122" t="b">
        <f>IF(ROW()-ROW($P$1) &lt;= FILLME!$G$6, TRUE, FALSE)</f>
        <v>0</v>
      </c>
      <c r="Q122" t="b">
        <f>IF(ROW()-ROW($Q$1) &lt;= FILLME!$G$8, TRUE, FALSE)</f>
        <v>0</v>
      </c>
      <c r="R122" t="b">
        <f>IF(ROW()-ROW($R$1) &lt;= FILLME!$G$9, TRUE, FALSE)</f>
        <v>0</v>
      </c>
      <c r="S122" t="b">
        <f>IF(ROW()-ROW($S$1) &lt;= FILLME!$G$10, TRUE, FALSE)</f>
        <v>0</v>
      </c>
      <c r="T122" t="b">
        <f>IF(ROW()-ROW($T$1) &lt;= FILLME!$G$11, TRUE, FALSE)</f>
        <v>0</v>
      </c>
    </row>
    <row r="123" spans="1:20" x14ac:dyDescent="0.25">
      <c r="A123" s="7" t="str">
        <f>FILLME!$B$7</f>
        <v>ISCO</v>
      </c>
      <c r="B123" t="str">
        <f>IF(FILLME!$B$3 = "", "", FILLME!$B$3)</f>
        <v>WWS</v>
      </c>
      <c r="C123" t="str">
        <f>IF(FILLME!$B$4 = "", "", FILLME!$B$4)</f>
        <v>SSFLAT</v>
      </c>
      <c r="D123" s="7" t="str">
        <f ca="1">TEXT(FILLME!$B$6,"yyyymmdd")</f>
        <v>20260323</v>
      </c>
      <c r="E123" s="8"/>
      <c r="F123" s="7">
        <f ca="1">IF(FILLME!$B$7="ISCO",FILLME!$B$6+FILLME!$B$11+(FILLME!$B$13*(G123-FILLME!$B$14)),FILLME!$B$6)</f>
        <v>46104.25</v>
      </c>
      <c r="G123" s="8"/>
      <c r="H123" s="8"/>
      <c r="I123" s="2"/>
      <c r="J123" s="9" t="str">
        <f t="shared" si="3"/>
        <v>_00</v>
      </c>
      <c r="K123" s="10" t="str">
        <f t="shared" ca="1" si="4"/>
        <v>SSFLAT__20260323_00</v>
      </c>
      <c r="L123" s="10" t="str">
        <f t="shared" ca="1" si="5"/>
        <v>SSFLAT__20260323_0000</v>
      </c>
      <c r="M123" t="b">
        <f>IF(ROW()-ROW($M$1) &lt;= FILLME!$G$4, TRUE, FALSE)</f>
        <v>0</v>
      </c>
      <c r="N123" t="b">
        <f>IF(ROW()-ROW($N$1) &lt;= FILLME!$G$5, TRUE, FALSE)</f>
        <v>0</v>
      </c>
      <c r="O123" t="b">
        <f>IF(ROW()-ROW($O$1) &lt;= FILLME!$G$7, TRUE, FALSE)</f>
        <v>0</v>
      </c>
      <c r="P123" t="b">
        <f>IF(ROW()-ROW($P$1) &lt;= FILLME!$G$6, TRUE, FALSE)</f>
        <v>0</v>
      </c>
      <c r="Q123" t="b">
        <f>IF(ROW()-ROW($Q$1) &lt;= FILLME!$G$8, TRUE, FALSE)</f>
        <v>0</v>
      </c>
      <c r="R123" t="b">
        <f>IF(ROW()-ROW($R$1) &lt;= FILLME!$G$9, TRUE, FALSE)</f>
        <v>0</v>
      </c>
      <c r="S123" t="b">
        <f>IF(ROW()-ROW($S$1) &lt;= FILLME!$G$10, TRUE, FALSE)</f>
        <v>0</v>
      </c>
      <c r="T123" t="b">
        <f>IF(ROW()-ROW($T$1) &lt;= FILLME!$G$11, TRUE, FALSE)</f>
        <v>0</v>
      </c>
    </row>
    <row r="124" spans="1:20" x14ac:dyDescent="0.25">
      <c r="A124" s="7" t="str">
        <f>FILLME!$B$7</f>
        <v>ISCO</v>
      </c>
      <c r="B124" t="str">
        <f>IF(FILLME!$B$3 = "", "", FILLME!$B$3)</f>
        <v>WWS</v>
      </c>
      <c r="C124" t="str">
        <f>IF(FILLME!$B$4 = "", "", FILLME!$B$4)</f>
        <v>SSFLAT</v>
      </c>
      <c r="D124" s="7" t="str">
        <f ca="1">TEXT(FILLME!$B$6,"yyyymmdd")</f>
        <v>20260323</v>
      </c>
      <c r="E124" s="8"/>
      <c r="F124" s="7">
        <f ca="1">IF(FILLME!$B$7="ISCO",FILLME!$B$6+FILLME!$B$11+(FILLME!$B$13*(G124-FILLME!$B$14)),FILLME!$B$6)</f>
        <v>46104.25</v>
      </c>
      <c r="G124" s="8"/>
      <c r="H124" s="8"/>
      <c r="I124" s="2"/>
      <c r="J124" s="9" t="str">
        <f t="shared" si="3"/>
        <v>_00</v>
      </c>
      <c r="K124" s="10" t="str">
        <f t="shared" ca="1" si="4"/>
        <v>SSFLAT__20260323_00</v>
      </c>
      <c r="L124" s="10" t="str">
        <f t="shared" ca="1" si="5"/>
        <v>SSFLAT__20260323_0000</v>
      </c>
      <c r="M124" t="b">
        <f>IF(ROW()-ROW($M$1) &lt;= FILLME!$G$4, TRUE, FALSE)</f>
        <v>0</v>
      </c>
      <c r="N124" t="b">
        <f>IF(ROW()-ROW($N$1) &lt;= FILLME!$G$5, TRUE, FALSE)</f>
        <v>0</v>
      </c>
      <c r="O124" t="b">
        <f>IF(ROW()-ROW($O$1) &lt;= FILLME!$G$7, TRUE, FALSE)</f>
        <v>0</v>
      </c>
      <c r="P124" t="b">
        <f>IF(ROW()-ROW($P$1) &lt;= FILLME!$G$6, TRUE, FALSE)</f>
        <v>0</v>
      </c>
      <c r="Q124" t="b">
        <f>IF(ROW()-ROW($Q$1) &lt;= FILLME!$G$8, TRUE, FALSE)</f>
        <v>0</v>
      </c>
      <c r="R124" t="b">
        <f>IF(ROW()-ROW($R$1) &lt;= FILLME!$G$9, TRUE, FALSE)</f>
        <v>0</v>
      </c>
      <c r="S124" t="b">
        <f>IF(ROW()-ROW($S$1) &lt;= FILLME!$G$10, TRUE, FALSE)</f>
        <v>0</v>
      </c>
      <c r="T124" t="b">
        <f>IF(ROW()-ROW($T$1) &lt;= FILLME!$G$11, TRUE, FALSE)</f>
        <v>0</v>
      </c>
    </row>
    <row r="125" spans="1:20" x14ac:dyDescent="0.25">
      <c r="A125" s="7" t="str">
        <f>FILLME!$B$7</f>
        <v>ISCO</v>
      </c>
      <c r="B125" t="str">
        <f>IF(FILLME!$B$3 = "", "", FILLME!$B$3)</f>
        <v>WWS</v>
      </c>
      <c r="C125" t="str">
        <f>IF(FILLME!$B$4 = "", "", FILLME!$B$4)</f>
        <v>SSFLAT</v>
      </c>
      <c r="D125" s="7" t="str">
        <f ca="1">TEXT(FILLME!$B$6,"yyyymmdd")</f>
        <v>20260323</v>
      </c>
      <c r="E125" s="8"/>
      <c r="F125" s="7">
        <f ca="1">IF(FILLME!$B$7="ISCO",FILLME!$B$6+FILLME!$B$11+(FILLME!$B$13*(G125-FILLME!$B$14)),FILLME!$B$6)</f>
        <v>46104.25</v>
      </c>
      <c r="G125" s="8"/>
      <c r="H125" s="8"/>
      <c r="I125" s="2"/>
      <c r="J125" s="9" t="str">
        <f t="shared" si="3"/>
        <v>_00</v>
      </c>
      <c r="K125" s="10" t="str">
        <f t="shared" ca="1" si="4"/>
        <v>SSFLAT__20260323_00</v>
      </c>
      <c r="L125" s="10" t="str">
        <f t="shared" ca="1" si="5"/>
        <v>SSFLAT__20260323_0000</v>
      </c>
      <c r="M125" t="b">
        <f>IF(ROW()-ROW($M$1) &lt;= FILLME!$G$4, TRUE, FALSE)</f>
        <v>0</v>
      </c>
      <c r="N125" t="b">
        <f>IF(ROW()-ROW($N$1) &lt;= FILLME!$G$5, TRUE, FALSE)</f>
        <v>0</v>
      </c>
      <c r="O125" t="b">
        <f>IF(ROW()-ROW($O$1) &lt;= FILLME!$G$7, TRUE, FALSE)</f>
        <v>0</v>
      </c>
      <c r="P125" t="b">
        <f>IF(ROW()-ROW($P$1) &lt;= FILLME!$G$6, TRUE, FALSE)</f>
        <v>0</v>
      </c>
      <c r="Q125" t="b">
        <f>IF(ROW()-ROW($Q$1) &lt;= FILLME!$G$8, TRUE, FALSE)</f>
        <v>0</v>
      </c>
      <c r="R125" t="b">
        <f>IF(ROW()-ROW($R$1) &lt;= FILLME!$G$9, TRUE, FALSE)</f>
        <v>0</v>
      </c>
      <c r="S125" t="b">
        <f>IF(ROW()-ROW($S$1) &lt;= FILLME!$G$10, TRUE, FALSE)</f>
        <v>0</v>
      </c>
      <c r="T125" t="b">
        <f>IF(ROW()-ROW($T$1) &lt;= FILLME!$G$11, TRUE, FALSE)</f>
        <v>0</v>
      </c>
    </row>
    <row r="126" spans="1:20" x14ac:dyDescent="0.25">
      <c r="A126" s="7" t="str">
        <f>FILLME!$B$7</f>
        <v>ISCO</v>
      </c>
      <c r="B126" t="str">
        <f>IF(FILLME!$B$3 = "", "", FILLME!$B$3)</f>
        <v>WWS</v>
      </c>
      <c r="C126" t="str">
        <f>IF(FILLME!$B$4 = "", "", FILLME!$B$4)</f>
        <v>SSFLAT</v>
      </c>
      <c r="D126" s="7" t="str">
        <f ca="1">TEXT(FILLME!$B$6,"yyyymmdd")</f>
        <v>20260323</v>
      </c>
      <c r="E126" s="8"/>
      <c r="F126" s="7">
        <f ca="1">IF(FILLME!$B$7="ISCO",FILLME!$B$6+FILLME!$B$11+(FILLME!$B$13*(G126-FILLME!$B$14)),FILLME!$B$6)</f>
        <v>46104.25</v>
      </c>
      <c r="G126" s="8"/>
      <c r="H126" s="8"/>
      <c r="I126" s="2"/>
      <c r="J126" s="9" t="str">
        <f t="shared" si="3"/>
        <v>_00</v>
      </c>
      <c r="K126" s="10" t="str">
        <f t="shared" ca="1" si="4"/>
        <v>SSFLAT__20260323_00</v>
      </c>
      <c r="L126" s="10" t="str">
        <f t="shared" ca="1" si="5"/>
        <v>SSFLAT__20260323_0000</v>
      </c>
      <c r="M126" t="b">
        <f>IF(ROW()-ROW($M$1) &lt;= FILLME!$G$4, TRUE, FALSE)</f>
        <v>0</v>
      </c>
      <c r="N126" t="b">
        <f>IF(ROW()-ROW($N$1) &lt;= FILLME!$G$5, TRUE, FALSE)</f>
        <v>0</v>
      </c>
      <c r="O126" t="b">
        <f>IF(ROW()-ROW($O$1) &lt;= FILLME!$G$7, TRUE, FALSE)</f>
        <v>0</v>
      </c>
      <c r="P126" t="b">
        <f>IF(ROW()-ROW($P$1) &lt;= FILLME!$G$6, TRUE, FALSE)</f>
        <v>0</v>
      </c>
      <c r="Q126" t="b">
        <f>IF(ROW()-ROW($Q$1) &lt;= FILLME!$G$8, TRUE, FALSE)</f>
        <v>0</v>
      </c>
      <c r="R126" t="b">
        <f>IF(ROW()-ROW($R$1) &lt;= FILLME!$G$9, TRUE, FALSE)</f>
        <v>0</v>
      </c>
      <c r="S126" t="b">
        <f>IF(ROW()-ROW($S$1) &lt;= FILLME!$G$10, TRUE, FALSE)</f>
        <v>0</v>
      </c>
      <c r="T126" t="b">
        <f>IF(ROW()-ROW($T$1) &lt;= FILLME!$G$11, TRUE, FALSE)</f>
        <v>0</v>
      </c>
    </row>
    <row r="127" spans="1:20" x14ac:dyDescent="0.25">
      <c r="A127" s="7" t="str">
        <f>FILLME!$B$7</f>
        <v>ISCO</v>
      </c>
      <c r="B127" t="str">
        <f>IF(FILLME!$B$3 = "", "", FILLME!$B$3)</f>
        <v>WWS</v>
      </c>
      <c r="C127" t="str">
        <f>IF(FILLME!$B$4 = "", "", FILLME!$B$4)</f>
        <v>SSFLAT</v>
      </c>
      <c r="D127" s="7" t="str">
        <f ca="1">TEXT(FILLME!$B$6,"yyyymmdd")</f>
        <v>20260323</v>
      </c>
      <c r="E127" s="8"/>
      <c r="F127" s="7">
        <f ca="1">IF(FILLME!$B$7="ISCO",FILLME!$B$6+FILLME!$B$11+(FILLME!$B$13*(G127-FILLME!$B$14)),FILLME!$B$6)</f>
        <v>46104.25</v>
      </c>
      <c r="G127" s="8"/>
      <c r="H127" s="8"/>
      <c r="I127" s="2"/>
      <c r="J127" s="9" t="str">
        <f t="shared" si="3"/>
        <v>_00</v>
      </c>
      <c r="K127" s="10" t="str">
        <f t="shared" ca="1" si="4"/>
        <v>SSFLAT__20260323_00</v>
      </c>
      <c r="L127" s="10" t="str">
        <f t="shared" ca="1" si="5"/>
        <v>SSFLAT__20260323_0000</v>
      </c>
      <c r="M127" t="b">
        <f>IF(ROW()-ROW($M$1) &lt;= FILLME!$G$4, TRUE, FALSE)</f>
        <v>0</v>
      </c>
      <c r="N127" t="b">
        <f>IF(ROW()-ROW($N$1) &lt;= FILLME!$G$5, TRUE, FALSE)</f>
        <v>0</v>
      </c>
      <c r="O127" t="b">
        <f>IF(ROW()-ROW($O$1) &lt;= FILLME!$G$7, TRUE, FALSE)</f>
        <v>0</v>
      </c>
      <c r="P127" t="b">
        <f>IF(ROW()-ROW($P$1) &lt;= FILLME!$G$6, TRUE, FALSE)</f>
        <v>0</v>
      </c>
      <c r="Q127" t="b">
        <f>IF(ROW()-ROW($Q$1) &lt;= FILLME!$G$8, TRUE, FALSE)</f>
        <v>0</v>
      </c>
      <c r="R127" t="b">
        <f>IF(ROW()-ROW($R$1) &lt;= FILLME!$G$9, TRUE, FALSE)</f>
        <v>0</v>
      </c>
      <c r="S127" t="b">
        <f>IF(ROW()-ROW($S$1) &lt;= FILLME!$G$10, TRUE, FALSE)</f>
        <v>0</v>
      </c>
      <c r="T127" t="b">
        <f>IF(ROW()-ROW($T$1) &lt;= FILLME!$G$11, TRUE, FALSE)</f>
        <v>0</v>
      </c>
    </row>
    <row r="128" spans="1:20" x14ac:dyDescent="0.25">
      <c r="A128" s="7" t="str">
        <f>FILLME!$B$7</f>
        <v>ISCO</v>
      </c>
      <c r="B128" t="str">
        <f>IF(FILLME!$B$3 = "", "", FILLME!$B$3)</f>
        <v>WWS</v>
      </c>
      <c r="C128" t="str">
        <f>IF(FILLME!$B$4 = "", "", FILLME!$B$4)</f>
        <v>SSFLAT</v>
      </c>
      <c r="D128" s="7" t="str">
        <f ca="1">TEXT(FILLME!$B$6,"yyyymmdd")</f>
        <v>20260323</v>
      </c>
      <c r="E128" s="8"/>
      <c r="F128" s="7">
        <f ca="1">IF(FILLME!$B$7="ISCO",FILLME!$B$6+FILLME!$B$11+(FILLME!$B$13*(G128-FILLME!$B$14)),FILLME!$B$6)</f>
        <v>46104.25</v>
      </c>
      <c r="G128" s="8"/>
      <c r="H128" s="8"/>
      <c r="I128" s="2"/>
      <c r="J128" s="9" t="str">
        <f t="shared" si="3"/>
        <v>_00</v>
      </c>
      <c r="K128" s="10" t="str">
        <f t="shared" ca="1" si="4"/>
        <v>SSFLAT__20260323_00</v>
      </c>
      <c r="L128" s="10" t="str">
        <f t="shared" ca="1" si="5"/>
        <v>SSFLAT__20260323_0000</v>
      </c>
      <c r="M128" t="b">
        <f>IF(ROW()-ROW($M$1) &lt;= FILLME!$G$4, TRUE, FALSE)</f>
        <v>0</v>
      </c>
      <c r="N128" t="b">
        <f>IF(ROW()-ROW($N$1) &lt;= FILLME!$G$5, TRUE, FALSE)</f>
        <v>0</v>
      </c>
      <c r="O128" t="b">
        <f>IF(ROW()-ROW($O$1) &lt;= FILLME!$G$7, TRUE, FALSE)</f>
        <v>0</v>
      </c>
      <c r="P128" t="b">
        <f>IF(ROW()-ROW($P$1) &lt;= FILLME!$G$6, TRUE, FALSE)</f>
        <v>0</v>
      </c>
      <c r="Q128" t="b">
        <f>IF(ROW()-ROW($Q$1) &lt;= FILLME!$G$8, TRUE, FALSE)</f>
        <v>0</v>
      </c>
      <c r="R128" t="b">
        <f>IF(ROW()-ROW($R$1) &lt;= FILLME!$G$9, TRUE, FALSE)</f>
        <v>0</v>
      </c>
      <c r="S128" t="b">
        <f>IF(ROW()-ROW($S$1) &lt;= FILLME!$G$10, TRUE, FALSE)</f>
        <v>0</v>
      </c>
      <c r="T128" t="b">
        <f>IF(ROW()-ROW($T$1) &lt;= FILLME!$G$11, TRUE, FALSE)</f>
        <v>0</v>
      </c>
    </row>
    <row r="129" spans="1:20" x14ac:dyDescent="0.25">
      <c r="A129" s="7" t="str">
        <f>FILLME!$B$7</f>
        <v>ISCO</v>
      </c>
      <c r="B129" t="str">
        <f>IF(FILLME!$B$3 = "", "", FILLME!$B$3)</f>
        <v>WWS</v>
      </c>
      <c r="C129" t="str">
        <f>IF(FILLME!$B$4 = "", "", FILLME!$B$4)</f>
        <v>SSFLAT</v>
      </c>
      <c r="D129" s="7" t="str">
        <f ca="1">TEXT(FILLME!$B$6,"yyyymmdd")</f>
        <v>20260323</v>
      </c>
      <c r="E129" s="8"/>
      <c r="F129" s="7">
        <f ca="1">IF(FILLME!$B$7="ISCO",FILLME!$B$6+FILLME!$B$11+(FILLME!$B$13*(G129-FILLME!$B$14)),FILLME!$B$6)</f>
        <v>46104.25</v>
      </c>
      <c r="G129" s="8"/>
      <c r="H129" s="8"/>
      <c r="I129" s="2"/>
      <c r="J129" s="9" t="str">
        <f t="shared" si="3"/>
        <v>_00</v>
      </c>
      <c r="K129" s="10" t="str">
        <f t="shared" ca="1" si="4"/>
        <v>SSFLAT__20260323_00</v>
      </c>
      <c r="L129" s="10" t="str">
        <f t="shared" ca="1" si="5"/>
        <v>SSFLAT__20260323_0000</v>
      </c>
      <c r="M129" t="b">
        <f>IF(ROW()-ROW($M$1) &lt;= FILLME!$G$4, TRUE, FALSE)</f>
        <v>0</v>
      </c>
      <c r="N129" t="b">
        <f>IF(ROW()-ROW($N$1) &lt;= FILLME!$G$5, TRUE, FALSE)</f>
        <v>0</v>
      </c>
      <c r="O129" t="b">
        <f>IF(ROW()-ROW($O$1) &lt;= FILLME!$G$7, TRUE, FALSE)</f>
        <v>0</v>
      </c>
      <c r="P129" t="b">
        <f>IF(ROW()-ROW($P$1) &lt;= FILLME!$G$6, TRUE, FALSE)</f>
        <v>0</v>
      </c>
      <c r="Q129" t="b">
        <f>IF(ROW()-ROW($Q$1) &lt;= FILLME!$G$8, TRUE, FALSE)</f>
        <v>0</v>
      </c>
      <c r="R129" t="b">
        <f>IF(ROW()-ROW($R$1) &lt;= FILLME!$G$9, TRUE, FALSE)</f>
        <v>0</v>
      </c>
      <c r="S129" t="b">
        <f>IF(ROW()-ROW($S$1) &lt;= FILLME!$G$10, TRUE, FALSE)</f>
        <v>0</v>
      </c>
      <c r="T129" t="b">
        <f>IF(ROW()-ROW($T$1) &lt;= FILLME!$G$11, TRUE, FALSE)</f>
        <v>0</v>
      </c>
    </row>
    <row r="130" spans="1:20" x14ac:dyDescent="0.25">
      <c r="A130" s="7" t="str">
        <f>FILLME!$B$7</f>
        <v>ISCO</v>
      </c>
      <c r="B130" t="str">
        <f>IF(FILLME!$B$3 = "", "", FILLME!$B$3)</f>
        <v>WWS</v>
      </c>
      <c r="C130" t="str">
        <f>IF(FILLME!$B$4 = "", "", FILLME!$B$4)</f>
        <v>SSFLAT</v>
      </c>
      <c r="D130" s="7" t="str">
        <f ca="1">TEXT(FILLME!$B$6,"yyyymmdd")</f>
        <v>20260323</v>
      </c>
      <c r="E130" s="8"/>
      <c r="F130" s="7">
        <f ca="1">IF(FILLME!$B$7="ISCO",FILLME!$B$6+FILLME!$B$11+(FILLME!$B$13*(G130-FILLME!$B$14)),FILLME!$B$6)</f>
        <v>46104.25</v>
      </c>
      <c r="G130" s="8"/>
      <c r="H130" s="8"/>
      <c r="I130" s="2"/>
      <c r="J130" s="9" t="str">
        <f t="shared" si="3"/>
        <v>_00</v>
      </c>
      <c r="K130" s="10" t="str">
        <f t="shared" ca="1" si="4"/>
        <v>SSFLAT__20260323_00</v>
      </c>
      <c r="L130" s="10" t="str">
        <f t="shared" ca="1" si="5"/>
        <v>SSFLAT__20260323_0000</v>
      </c>
      <c r="M130" t="b">
        <f>IF(ROW()-ROW($M$1) &lt;= FILLME!$G$4, TRUE, FALSE)</f>
        <v>0</v>
      </c>
      <c r="N130" t="b">
        <f>IF(ROW()-ROW($N$1) &lt;= FILLME!$G$5, TRUE, FALSE)</f>
        <v>0</v>
      </c>
      <c r="O130" t="b">
        <f>IF(ROW()-ROW($O$1) &lt;= FILLME!$G$7, TRUE, FALSE)</f>
        <v>0</v>
      </c>
      <c r="P130" t="b">
        <f>IF(ROW()-ROW($P$1) &lt;= FILLME!$G$6, TRUE, FALSE)</f>
        <v>0</v>
      </c>
      <c r="Q130" t="b">
        <f>IF(ROW()-ROW($Q$1) &lt;= FILLME!$G$8, TRUE, FALSE)</f>
        <v>0</v>
      </c>
      <c r="R130" t="b">
        <f>IF(ROW()-ROW($R$1) &lt;= FILLME!$G$9, TRUE, FALSE)</f>
        <v>0</v>
      </c>
      <c r="S130" t="b">
        <f>IF(ROW()-ROW($S$1) &lt;= FILLME!$G$10, TRUE, FALSE)</f>
        <v>0</v>
      </c>
      <c r="T130" t="b">
        <f>IF(ROW()-ROW($T$1) &lt;= FILLME!$G$11, TRUE, FALSE)</f>
        <v>0</v>
      </c>
    </row>
    <row r="131" spans="1:20" x14ac:dyDescent="0.25">
      <c r="A131" s="7" t="str">
        <f>FILLME!$B$7</f>
        <v>ISCO</v>
      </c>
      <c r="B131" t="str">
        <f>IF(FILLME!$B$3 = "", "", FILLME!$B$3)</f>
        <v>WWS</v>
      </c>
      <c r="C131" t="str">
        <f>IF(FILLME!$B$4 = "", "", FILLME!$B$4)</f>
        <v>SSFLAT</v>
      </c>
      <c r="D131" s="7" t="str">
        <f ca="1">TEXT(FILLME!$B$6,"yyyymmdd")</f>
        <v>20260323</v>
      </c>
      <c r="E131" s="8"/>
      <c r="F131" s="7">
        <f ca="1">IF(FILLME!$B$7="ISCO",FILLME!$B$6+FILLME!$B$11+(FILLME!$B$13*(G131-FILLME!$B$14)),FILLME!$B$6)</f>
        <v>46104.25</v>
      </c>
      <c r="G131" s="8"/>
      <c r="H131" s="8"/>
      <c r="I131" s="2"/>
      <c r="J131" s="9" t="str">
        <f t="shared" ref="J131:J194" si="6">CONCATENATE(I131,"_",TEXT(G131,"00"))</f>
        <v>_00</v>
      </c>
      <c r="K131" s="10" t="str">
        <f t="shared" ref="K131:K194" ca="1" si="7">CONCATENATE(C131,"_", I131,"_",D131,"_",TEXT(G131,"00"))</f>
        <v>SSFLAT__20260323_00</v>
      </c>
      <c r="L131" s="10" t="str">
        <f t="shared" ref="L131:L194" ca="1" si="8">CONCATENATE(C131,"_", I131,"_",TEXT(F131, "yyyymmdd"),"_",TEXT(E131, "hhmm"))</f>
        <v>SSFLAT__20260323_0000</v>
      </c>
      <c r="M131" t="b">
        <f>IF(ROW()-ROW($M$1) &lt;= FILLME!$G$4, TRUE, FALSE)</f>
        <v>0</v>
      </c>
      <c r="N131" t="b">
        <f>IF(ROW()-ROW($N$1) &lt;= FILLME!$G$5, TRUE, FALSE)</f>
        <v>0</v>
      </c>
      <c r="O131" t="b">
        <f>IF(ROW()-ROW($O$1) &lt;= FILLME!$G$7, TRUE, FALSE)</f>
        <v>0</v>
      </c>
      <c r="P131" t="b">
        <f>IF(ROW()-ROW($P$1) &lt;= FILLME!$G$6, TRUE, FALSE)</f>
        <v>0</v>
      </c>
      <c r="Q131" t="b">
        <f>IF(ROW()-ROW($Q$1) &lt;= FILLME!$G$8, TRUE, FALSE)</f>
        <v>0</v>
      </c>
      <c r="R131" t="b">
        <f>IF(ROW()-ROW($R$1) &lt;= FILLME!$G$9, TRUE, FALSE)</f>
        <v>0</v>
      </c>
      <c r="S131" t="b">
        <f>IF(ROW()-ROW($S$1) &lt;= FILLME!$G$10, TRUE, FALSE)</f>
        <v>0</v>
      </c>
      <c r="T131" t="b">
        <f>IF(ROW()-ROW($T$1) &lt;= FILLME!$G$11, TRUE, FALSE)</f>
        <v>0</v>
      </c>
    </row>
    <row r="132" spans="1:20" x14ac:dyDescent="0.25">
      <c r="A132" s="7" t="str">
        <f>FILLME!$B$7</f>
        <v>ISCO</v>
      </c>
      <c r="B132" t="str">
        <f>IF(FILLME!$B$3 = "", "", FILLME!$B$3)</f>
        <v>WWS</v>
      </c>
      <c r="C132" t="str">
        <f>IF(FILLME!$B$4 = "", "", FILLME!$B$4)</f>
        <v>SSFLAT</v>
      </c>
      <c r="D132" s="7" t="str">
        <f ca="1">TEXT(FILLME!$B$6,"yyyymmdd")</f>
        <v>20260323</v>
      </c>
      <c r="E132" s="8"/>
      <c r="F132" s="7">
        <f ca="1">IF(FILLME!$B$7="ISCO",FILLME!$B$6+FILLME!$B$11+(FILLME!$B$13*(G132-FILLME!$B$14)),FILLME!$B$6)</f>
        <v>46104.25</v>
      </c>
      <c r="G132" s="8"/>
      <c r="H132" s="8"/>
      <c r="I132" s="2"/>
      <c r="J132" s="9" t="str">
        <f t="shared" si="6"/>
        <v>_00</v>
      </c>
      <c r="K132" s="10" t="str">
        <f t="shared" ca="1" si="7"/>
        <v>SSFLAT__20260323_00</v>
      </c>
      <c r="L132" s="10" t="str">
        <f t="shared" ca="1" si="8"/>
        <v>SSFLAT__20260323_0000</v>
      </c>
      <c r="M132" t="b">
        <f>IF(ROW()-ROW($M$1) &lt;= FILLME!$G$4, TRUE, FALSE)</f>
        <v>0</v>
      </c>
      <c r="N132" t="b">
        <f>IF(ROW()-ROW($N$1) &lt;= FILLME!$G$5, TRUE, FALSE)</f>
        <v>0</v>
      </c>
      <c r="O132" t="b">
        <f>IF(ROW()-ROW($O$1) &lt;= FILLME!$G$7, TRUE, FALSE)</f>
        <v>0</v>
      </c>
      <c r="P132" t="b">
        <f>IF(ROW()-ROW($P$1) &lt;= FILLME!$G$6, TRUE, FALSE)</f>
        <v>0</v>
      </c>
      <c r="Q132" t="b">
        <f>IF(ROW()-ROW($Q$1) &lt;= FILLME!$G$8, TRUE, FALSE)</f>
        <v>0</v>
      </c>
      <c r="R132" t="b">
        <f>IF(ROW()-ROW($R$1) &lt;= FILLME!$G$9, TRUE, FALSE)</f>
        <v>0</v>
      </c>
      <c r="S132" t="b">
        <f>IF(ROW()-ROW($S$1) &lt;= FILLME!$G$10, TRUE, FALSE)</f>
        <v>0</v>
      </c>
      <c r="T132" t="b">
        <f>IF(ROW()-ROW($T$1) &lt;= FILLME!$G$11, TRUE, FALSE)</f>
        <v>0</v>
      </c>
    </row>
    <row r="133" spans="1:20" x14ac:dyDescent="0.25">
      <c r="A133" s="7" t="str">
        <f>FILLME!$B$7</f>
        <v>ISCO</v>
      </c>
      <c r="B133" t="str">
        <f>IF(FILLME!$B$3 = "", "", FILLME!$B$3)</f>
        <v>WWS</v>
      </c>
      <c r="C133" t="str">
        <f>IF(FILLME!$B$4 = "", "", FILLME!$B$4)</f>
        <v>SSFLAT</v>
      </c>
      <c r="D133" s="7" t="str">
        <f ca="1">TEXT(FILLME!$B$6,"yyyymmdd")</f>
        <v>20260323</v>
      </c>
      <c r="E133" s="8"/>
      <c r="F133" s="7">
        <f ca="1">IF(FILLME!$B$7="ISCO",FILLME!$B$6+FILLME!$B$11+(FILLME!$B$13*(G133-FILLME!$B$14)),FILLME!$B$6)</f>
        <v>46104.25</v>
      </c>
      <c r="G133" s="8"/>
      <c r="H133" s="8"/>
      <c r="I133" s="2"/>
      <c r="J133" s="9" t="str">
        <f t="shared" si="6"/>
        <v>_00</v>
      </c>
      <c r="K133" s="10" t="str">
        <f t="shared" ca="1" si="7"/>
        <v>SSFLAT__20260323_00</v>
      </c>
      <c r="L133" s="10" t="str">
        <f t="shared" ca="1" si="8"/>
        <v>SSFLAT__20260323_0000</v>
      </c>
      <c r="M133" t="b">
        <f>IF(ROW()-ROW($M$1) &lt;= FILLME!$G$4, TRUE, FALSE)</f>
        <v>0</v>
      </c>
      <c r="N133" t="b">
        <f>IF(ROW()-ROW($N$1) &lt;= FILLME!$G$5, TRUE, FALSE)</f>
        <v>0</v>
      </c>
      <c r="O133" t="b">
        <f>IF(ROW()-ROW($O$1) &lt;= FILLME!$G$7, TRUE, FALSE)</f>
        <v>0</v>
      </c>
      <c r="P133" t="b">
        <f>IF(ROW()-ROW($P$1) &lt;= FILLME!$G$6, TRUE, FALSE)</f>
        <v>0</v>
      </c>
      <c r="Q133" t="b">
        <f>IF(ROW()-ROW($Q$1) &lt;= FILLME!$G$8, TRUE, FALSE)</f>
        <v>0</v>
      </c>
      <c r="R133" t="b">
        <f>IF(ROW()-ROW($R$1) &lt;= FILLME!$G$9, TRUE, FALSE)</f>
        <v>0</v>
      </c>
      <c r="S133" t="b">
        <f>IF(ROW()-ROW($S$1) &lt;= FILLME!$G$10, TRUE, FALSE)</f>
        <v>0</v>
      </c>
      <c r="T133" t="b">
        <f>IF(ROW()-ROW($T$1) &lt;= FILLME!$G$11, TRUE, FALSE)</f>
        <v>0</v>
      </c>
    </row>
    <row r="134" spans="1:20" x14ac:dyDescent="0.25">
      <c r="A134" s="7" t="str">
        <f>FILLME!$B$7</f>
        <v>ISCO</v>
      </c>
      <c r="B134" t="str">
        <f>IF(FILLME!$B$3 = "", "", FILLME!$B$3)</f>
        <v>WWS</v>
      </c>
      <c r="C134" t="str">
        <f>IF(FILLME!$B$4 = "", "", FILLME!$B$4)</f>
        <v>SSFLAT</v>
      </c>
      <c r="D134" s="7" t="str">
        <f ca="1">TEXT(FILLME!$B$6,"yyyymmdd")</f>
        <v>20260323</v>
      </c>
      <c r="E134" s="8"/>
      <c r="F134" s="7">
        <f ca="1">IF(FILLME!$B$7="ISCO",FILLME!$B$6+FILLME!$B$11+(FILLME!$B$13*(G134-FILLME!$B$14)),FILLME!$B$6)</f>
        <v>46104.25</v>
      </c>
      <c r="G134" s="8"/>
      <c r="H134" s="8"/>
      <c r="I134" s="2"/>
      <c r="J134" s="9" t="str">
        <f t="shared" si="6"/>
        <v>_00</v>
      </c>
      <c r="K134" s="10" t="str">
        <f t="shared" ca="1" si="7"/>
        <v>SSFLAT__20260323_00</v>
      </c>
      <c r="L134" s="10" t="str">
        <f t="shared" ca="1" si="8"/>
        <v>SSFLAT__20260323_0000</v>
      </c>
      <c r="M134" t="b">
        <f>IF(ROW()-ROW($M$1) &lt;= FILLME!$G$4, TRUE, FALSE)</f>
        <v>0</v>
      </c>
      <c r="N134" t="b">
        <f>IF(ROW()-ROW($N$1) &lt;= FILLME!$G$5, TRUE, FALSE)</f>
        <v>0</v>
      </c>
      <c r="O134" t="b">
        <f>IF(ROW()-ROW($O$1) &lt;= FILLME!$G$7, TRUE, FALSE)</f>
        <v>0</v>
      </c>
      <c r="P134" t="b">
        <f>IF(ROW()-ROW($P$1) &lt;= FILLME!$G$6, TRUE, FALSE)</f>
        <v>0</v>
      </c>
      <c r="Q134" t="b">
        <f>IF(ROW()-ROW($Q$1) &lt;= FILLME!$G$8, TRUE, FALSE)</f>
        <v>0</v>
      </c>
      <c r="R134" t="b">
        <f>IF(ROW()-ROW($R$1) &lt;= FILLME!$G$9, TRUE, FALSE)</f>
        <v>0</v>
      </c>
      <c r="S134" t="b">
        <f>IF(ROW()-ROW($S$1) &lt;= FILLME!$G$10, TRUE, FALSE)</f>
        <v>0</v>
      </c>
      <c r="T134" t="b">
        <f>IF(ROW()-ROW($T$1) &lt;= FILLME!$G$11, TRUE, FALSE)</f>
        <v>0</v>
      </c>
    </row>
    <row r="135" spans="1:20" x14ac:dyDescent="0.25">
      <c r="A135" s="7" t="str">
        <f>FILLME!$B$7</f>
        <v>ISCO</v>
      </c>
      <c r="B135" t="str">
        <f>IF(FILLME!$B$3 = "", "", FILLME!$B$3)</f>
        <v>WWS</v>
      </c>
      <c r="C135" t="str">
        <f>IF(FILLME!$B$4 = "", "", FILLME!$B$4)</f>
        <v>SSFLAT</v>
      </c>
      <c r="D135" s="7" t="str">
        <f ca="1">TEXT(FILLME!$B$6,"yyyymmdd")</f>
        <v>20260323</v>
      </c>
      <c r="E135" s="8"/>
      <c r="F135" s="7">
        <f ca="1">IF(FILLME!$B$7="ISCO",FILLME!$B$6+FILLME!$B$11+(FILLME!$B$13*(G135-FILLME!$B$14)),FILLME!$B$6)</f>
        <v>46104.25</v>
      </c>
      <c r="G135" s="8"/>
      <c r="H135" s="8"/>
      <c r="I135" s="2"/>
      <c r="J135" s="9" t="str">
        <f t="shared" si="6"/>
        <v>_00</v>
      </c>
      <c r="K135" s="10" t="str">
        <f t="shared" ca="1" si="7"/>
        <v>SSFLAT__20260323_00</v>
      </c>
      <c r="L135" s="10" t="str">
        <f t="shared" ca="1" si="8"/>
        <v>SSFLAT__20260323_0000</v>
      </c>
      <c r="M135" t="b">
        <f>IF(ROW()-ROW($M$1) &lt;= FILLME!$G$4, TRUE, FALSE)</f>
        <v>0</v>
      </c>
      <c r="N135" t="b">
        <f>IF(ROW()-ROW($N$1) &lt;= FILLME!$G$5, TRUE, FALSE)</f>
        <v>0</v>
      </c>
      <c r="O135" t="b">
        <f>IF(ROW()-ROW($O$1) &lt;= FILLME!$G$7, TRUE, FALSE)</f>
        <v>0</v>
      </c>
      <c r="P135" t="b">
        <f>IF(ROW()-ROW($P$1) &lt;= FILLME!$G$6, TRUE, FALSE)</f>
        <v>0</v>
      </c>
      <c r="Q135" t="b">
        <f>IF(ROW()-ROW($Q$1) &lt;= FILLME!$G$8, TRUE, FALSE)</f>
        <v>0</v>
      </c>
      <c r="R135" t="b">
        <f>IF(ROW()-ROW($R$1) &lt;= FILLME!$G$9, TRUE, FALSE)</f>
        <v>0</v>
      </c>
      <c r="S135" t="b">
        <f>IF(ROW()-ROW($S$1) &lt;= FILLME!$G$10, TRUE, FALSE)</f>
        <v>0</v>
      </c>
      <c r="T135" t="b">
        <f>IF(ROW()-ROW($T$1) &lt;= FILLME!$G$11, TRUE, FALSE)</f>
        <v>0</v>
      </c>
    </row>
    <row r="136" spans="1:20" x14ac:dyDescent="0.25">
      <c r="A136" s="7" t="str">
        <f>FILLME!$B$7</f>
        <v>ISCO</v>
      </c>
      <c r="B136" t="str">
        <f>IF(FILLME!$B$3 = "", "", FILLME!$B$3)</f>
        <v>WWS</v>
      </c>
      <c r="C136" t="str">
        <f>IF(FILLME!$B$4 = "", "", FILLME!$B$4)</f>
        <v>SSFLAT</v>
      </c>
      <c r="D136" s="7" t="str">
        <f ca="1">TEXT(FILLME!$B$6,"yyyymmdd")</f>
        <v>20260323</v>
      </c>
      <c r="E136" s="8"/>
      <c r="F136" s="7">
        <f ca="1">IF(FILLME!$B$7="ISCO",FILLME!$B$6+FILLME!$B$11+(FILLME!$B$13*(G136-FILLME!$B$14)),FILLME!$B$6)</f>
        <v>46104.25</v>
      </c>
      <c r="G136" s="8"/>
      <c r="H136" s="8"/>
      <c r="I136" s="2"/>
      <c r="J136" s="9" t="str">
        <f t="shared" si="6"/>
        <v>_00</v>
      </c>
      <c r="K136" s="10" t="str">
        <f t="shared" ca="1" si="7"/>
        <v>SSFLAT__20260323_00</v>
      </c>
      <c r="L136" s="10" t="str">
        <f t="shared" ca="1" si="8"/>
        <v>SSFLAT__20260323_0000</v>
      </c>
      <c r="M136" t="b">
        <f>IF(ROW()-ROW($M$1) &lt;= FILLME!$G$4, TRUE, FALSE)</f>
        <v>0</v>
      </c>
      <c r="N136" t="b">
        <f>IF(ROW()-ROW($N$1) &lt;= FILLME!$G$5, TRUE, FALSE)</f>
        <v>0</v>
      </c>
      <c r="O136" t="b">
        <f>IF(ROW()-ROW($O$1) &lt;= FILLME!$G$7, TRUE, FALSE)</f>
        <v>0</v>
      </c>
      <c r="P136" t="b">
        <f>IF(ROW()-ROW($P$1) &lt;= FILLME!$G$6, TRUE, FALSE)</f>
        <v>0</v>
      </c>
      <c r="Q136" t="b">
        <f>IF(ROW()-ROW($Q$1) &lt;= FILLME!$G$8, TRUE, FALSE)</f>
        <v>0</v>
      </c>
      <c r="R136" t="b">
        <f>IF(ROW()-ROW($R$1) &lt;= FILLME!$G$9, TRUE, FALSE)</f>
        <v>0</v>
      </c>
      <c r="S136" t="b">
        <f>IF(ROW()-ROW($S$1) &lt;= FILLME!$G$10, TRUE, FALSE)</f>
        <v>0</v>
      </c>
      <c r="T136" t="b">
        <f>IF(ROW()-ROW($T$1) &lt;= FILLME!$G$11, TRUE, FALSE)</f>
        <v>0</v>
      </c>
    </row>
    <row r="137" spans="1:20" x14ac:dyDescent="0.25">
      <c r="A137" s="7" t="str">
        <f>FILLME!$B$7</f>
        <v>ISCO</v>
      </c>
      <c r="B137" t="str">
        <f>IF(FILLME!$B$3 = "", "", FILLME!$B$3)</f>
        <v>WWS</v>
      </c>
      <c r="C137" t="str">
        <f>IF(FILLME!$B$4 = "", "", FILLME!$B$4)</f>
        <v>SSFLAT</v>
      </c>
      <c r="D137" s="7" t="str">
        <f ca="1">TEXT(FILLME!$B$6,"yyyymmdd")</f>
        <v>20260323</v>
      </c>
      <c r="E137" s="8"/>
      <c r="F137" s="7">
        <f ca="1">IF(FILLME!$B$7="ISCO",FILLME!$B$6+FILLME!$B$11+(FILLME!$B$13*(G137-FILLME!$B$14)),FILLME!$B$6)</f>
        <v>46104.25</v>
      </c>
      <c r="G137" s="8"/>
      <c r="H137" s="8"/>
      <c r="I137" s="2"/>
      <c r="J137" s="9" t="str">
        <f t="shared" si="6"/>
        <v>_00</v>
      </c>
      <c r="K137" s="10" t="str">
        <f t="shared" ca="1" si="7"/>
        <v>SSFLAT__20260323_00</v>
      </c>
      <c r="L137" s="10" t="str">
        <f t="shared" ca="1" si="8"/>
        <v>SSFLAT__20260323_0000</v>
      </c>
      <c r="M137" t="b">
        <f>IF(ROW()-ROW($M$1) &lt;= FILLME!$G$4, TRUE, FALSE)</f>
        <v>0</v>
      </c>
      <c r="N137" t="b">
        <f>IF(ROW()-ROW($N$1) &lt;= FILLME!$G$5, TRUE, FALSE)</f>
        <v>0</v>
      </c>
      <c r="O137" t="b">
        <f>IF(ROW()-ROW($O$1) &lt;= FILLME!$G$7, TRUE, FALSE)</f>
        <v>0</v>
      </c>
      <c r="P137" t="b">
        <f>IF(ROW()-ROW($P$1) &lt;= FILLME!$G$6, TRUE, FALSE)</f>
        <v>0</v>
      </c>
      <c r="Q137" t="b">
        <f>IF(ROW()-ROW($Q$1) &lt;= FILLME!$G$8, TRUE, FALSE)</f>
        <v>0</v>
      </c>
      <c r="R137" t="b">
        <f>IF(ROW()-ROW($R$1) &lt;= FILLME!$G$9, TRUE, FALSE)</f>
        <v>0</v>
      </c>
      <c r="S137" t="b">
        <f>IF(ROW()-ROW($S$1) &lt;= FILLME!$G$10, TRUE, FALSE)</f>
        <v>0</v>
      </c>
      <c r="T137" t="b">
        <f>IF(ROW()-ROW($T$1) &lt;= FILLME!$G$11, TRUE, FALSE)</f>
        <v>0</v>
      </c>
    </row>
    <row r="138" spans="1:20" x14ac:dyDescent="0.25">
      <c r="A138" s="7" t="str">
        <f>FILLME!$B$7</f>
        <v>ISCO</v>
      </c>
      <c r="B138" t="str">
        <f>IF(FILLME!$B$3 = "", "", FILLME!$B$3)</f>
        <v>WWS</v>
      </c>
      <c r="C138" t="str">
        <f>IF(FILLME!$B$4 = "", "", FILLME!$B$4)</f>
        <v>SSFLAT</v>
      </c>
      <c r="D138" s="7" t="str">
        <f ca="1">TEXT(FILLME!$B$6,"yyyymmdd")</f>
        <v>20260323</v>
      </c>
      <c r="E138" s="8"/>
      <c r="F138" s="7">
        <f ca="1">IF(FILLME!$B$7="ISCO",FILLME!$B$6+FILLME!$B$11+(FILLME!$B$13*(G138-FILLME!$B$14)),FILLME!$B$6)</f>
        <v>46104.25</v>
      </c>
      <c r="G138" s="8"/>
      <c r="H138" s="8"/>
      <c r="I138" s="2"/>
      <c r="J138" s="9" t="str">
        <f t="shared" si="6"/>
        <v>_00</v>
      </c>
      <c r="K138" s="10" t="str">
        <f t="shared" ca="1" si="7"/>
        <v>SSFLAT__20260323_00</v>
      </c>
      <c r="L138" s="10" t="str">
        <f t="shared" ca="1" si="8"/>
        <v>SSFLAT__20260323_0000</v>
      </c>
      <c r="M138" t="b">
        <f>IF(ROW()-ROW($M$1) &lt;= FILLME!$G$4, TRUE, FALSE)</f>
        <v>0</v>
      </c>
      <c r="N138" t="b">
        <f>IF(ROW()-ROW($N$1) &lt;= FILLME!$G$5, TRUE, FALSE)</f>
        <v>0</v>
      </c>
      <c r="O138" t="b">
        <f>IF(ROW()-ROW($O$1) &lt;= FILLME!$G$7, TRUE, FALSE)</f>
        <v>0</v>
      </c>
      <c r="P138" t="b">
        <f>IF(ROW()-ROW($P$1) &lt;= FILLME!$G$6, TRUE, FALSE)</f>
        <v>0</v>
      </c>
      <c r="Q138" t="b">
        <f>IF(ROW()-ROW($Q$1) &lt;= FILLME!$G$8, TRUE, FALSE)</f>
        <v>0</v>
      </c>
      <c r="R138" t="b">
        <f>IF(ROW()-ROW($R$1) &lt;= FILLME!$G$9, TRUE, FALSE)</f>
        <v>0</v>
      </c>
      <c r="S138" t="b">
        <f>IF(ROW()-ROW($S$1) &lt;= FILLME!$G$10, TRUE, FALSE)</f>
        <v>0</v>
      </c>
      <c r="T138" t="b">
        <f>IF(ROW()-ROW($T$1) &lt;= FILLME!$G$11, TRUE, FALSE)</f>
        <v>0</v>
      </c>
    </row>
    <row r="139" spans="1:20" x14ac:dyDescent="0.25">
      <c r="A139" s="7" t="str">
        <f>FILLME!$B$7</f>
        <v>ISCO</v>
      </c>
      <c r="B139" t="str">
        <f>IF(FILLME!$B$3 = "", "", FILLME!$B$3)</f>
        <v>WWS</v>
      </c>
      <c r="C139" t="str">
        <f>IF(FILLME!$B$4 = "", "", FILLME!$B$4)</f>
        <v>SSFLAT</v>
      </c>
      <c r="D139" s="7" t="str">
        <f ca="1">TEXT(FILLME!$B$6,"yyyymmdd")</f>
        <v>20260323</v>
      </c>
      <c r="E139" s="8"/>
      <c r="F139" s="7">
        <f ca="1">IF(FILLME!$B$7="ISCO",FILLME!$B$6+FILLME!$B$11+(FILLME!$B$13*(G139-FILLME!$B$14)),FILLME!$B$6)</f>
        <v>46104.25</v>
      </c>
      <c r="G139" s="8"/>
      <c r="H139" s="8"/>
      <c r="I139" s="2"/>
      <c r="J139" s="9" t="str">
        <f t="shared" si="6"/>
        <v>_00</v>
      </c>
      <c r="K139" s="10" t="str">
        <f t="shared" ca="1" si="7"/>
        <v>SSFLAT__20260323_00</v>
      </c>
      <c r="L139" s="10" t="str">
        <f t="shared" ca="1" si="8"/>
        <v>SSFLAT__20260323_0000</v>
      </c>
      <c r="M139" t="b">
        <f>IF(ROW()-ROW($M$1) &lt;= FILLME!$G$4, TRUE, FALSE)</f>
        <v>0</v>
      </c>
      <c r="N139" t="b">
        <f>IF(ROW()-ROW($N$1) &lt;= FILLME!$G$5, TRUE, FALSE)</f>
        <v>0</v>
      </c>
      <c r="O139" t="b">
        <f>IF(ROW()-ROW($O$1) &lt;= FILLME!$G$7, TRUE, FALSE)</f>
        <v>0</v>
      </c>
      <c r="P139" t="b">
        <f>IF(ROW()-ROW($P$1) &lt;= FILLME!$G$6, TRUE, FALSE)</f>
        <v>0</v>
      </c>
      <c r="Q139" t="b">
        <f>IF(ROW()-ROW($Q$1) &lt;= FILLME!$G$8, TRUE, FALSE)</f>
        <v>0</v>
      </c>
      <c r="R139" t="b">
        <f>IF(ROW()-ROW($R$1) &lt;= FILLME!$G$9, TRUE, FALSE)</f>
        <v>0</v>
      </c>
      <c r="S139" t="b">
        <f>IF(ROW()-ROW($S$1) &lt;= FILLME!$G$10, TRUE, FALSE)</f>
        <v>0</v>
      </c>
      <c r="T139" t="b">
        <f>IF(ROW()-ROW($T$1) &lt;= FILLME!$G$11, TRUE, FALSE)</f>
        <v>0</v>
      </c>
    </row>
    <row r="140" spans="1:20" x14ac:dyDescent="0.25">
      <c r="A140" s="7" t="str">
        <f>FILLME!$B$7</f>
        <v>ISCO</v>
      </c>
      <c r="B140" t="str">
        <f>IF(FILLME!$B$3 = "", "", FILLME!$B$3)</f>
        <v>WWS</v>
      </c>
      <c r="C140" t="str">
        <f>IF(FILLME!$B$4 = "", "", FILLME!$B$4)</f>
        <v>SSFLAT</v>
      </c>
      <c r="D140" s="7" t="str">
        <f ca="1">TEXT(FILLME!$B$6,"yyyymmdd")</f>
        <v>20260323</v>
      </c>
      <c r="E140" s="8"/>
      <c r="F140" s="7">
        <f ca="1">IF(FILLME!$B$7="ISCO",FILLME!$B$6+FILLME!$B$11+(FILLME!$B$13*(G140-FILLME!$B$14)),FILLME!$B$6)</f>
        <v>46104.25</v>
      </c>
      <c r="G140" s="8"/>
      <c r="H140" s="8"/>
      <c r="I140" s="2"/>
      <c r="J140" s="9" t="str">
        <f t="shared" si="6"/>
        <v>_00</v>
      </c>
      <c r="K140" s="10" t="str">
        <f t="shared" ca="1" si="7"/>
        <v>SSFLAT__20260323_00</v>
      </c>
      <c r="L140" s="10" t="str">
        <f t="shared" ca="1" si="8"/>
        <v>SSFLAT__20260323_0000</v>
      </c>
      <c r="M140" t="b">
        <f>IF(ROW()-ROW($M$1) &lt;= FILLME!$G$4, TRUE, FALSE)</f>
        <v>0</v>
      </c>
      <c r="N140" t="b">
        <f>IF(ROW()-ROW($N$1) &lt;= FILLME!$G$5, TRUE, FALSE)</f>
        <v>0</v>
      </c>
      <c r="O140" t="b">
        <f>IF(ROW()-ROW($O$1) &lt;= FILLME!$G$7, TRUE, FALSE)</f>
        <v>0</v>
      </c>
      <c r="P140" t="b">
        <f>IF(ROW()-ROW($P$1) &lt;= FILLME!$G$6, TRUE, FALSE)</f>
        <v>0</v>
      </c>
      <c r="Q140" t="b">
        <f>IF(ROW()-ROW($Q$1) &lt;= FILLME!$G$8, TRUE, FALSE)</f>
        <v>0</v>
      </c>
      <c r="R140" t="b">
        <f>IF(ROW()-ROW($R$1) &lt;= FILLME!$G$9, TRUE, FALSE)</f>
        <v>0</v>
      </c>
      <c r="S140" t="b">
        <f>IF(ROW()-ROW($S$1) &lt;= FILLME!$G$10, TRUE, FALSE)</f>
        <v>0</v>
      </c>
      <c r="T140" t="b">
        <f>IF(ROW()-ROW($T$1) &lt;= FILLME!$G$11, TRUE, FALSE)</f>
        <v>0</v>
      </c>
    </row>
    <row r="141" spans="1:20" x14ac:dyDescent="0.25">
      <c r="A141" s="7" t="str">
        <f>FILLME!$B$7</f>
        <v>ISCO</v>
      </c>
      <c r="B141" t="str">
        <f>IF(FILLME!$B$3 = "", "", FILLME!$B$3)</f>
        <v>WWS</v>
      </c>
      <c r="C141" t="str">
        <f>IF(FILLME!$B$4 = "", "", FILLME!$B$4)</f>
        <v>SSFLAT</v>
      </c>
      <c r="D141" s="7" t="str">
        <f ca="1">TEXT(FILLME!$B$6,"yyyymmdd")</f>
        <v>20260323</v>
      </c>
      <c r="E141" s="8"/>
      <c r="F141" s="7">
        <f ca="1">IF(FILLME!$B$7="ISCO",FILLME!$B$6+FILLME!$B$11+(FILLME!$B$13*(G141-FILLME!$B$14)),FILLME!$B$6)</f>
        <v>46104.25</v>
      </c>
      <c r="G141" s="8"/>
      <c r="H141" s="8"/>
      <c r="I141" s="2"/>
      <c r="J141" s="9" t="str">
        <f t="shared" si="6"/>
        <v>_00</v>
      </c>
      <c r="K141" s="10" t="str">
        <f t="shared" ca="1" si="7"/>
        <v>SSFLAT__20260323_00</v>
      </c>
      <c r="L141" s="10" t="str">
        <f t="shared" ca="1" si="8"/>
        <v>SSFLAT__20260323_0000</v>
      </c>
      <c r="M141" t="b">
        <f>IF(ROW()-ROW($M$1) &lt;= FILLME!$G$4, TRUE, FALSE)</f>
        <v>0</v>
      </c>
      <c r="N141" t="b">
        <f>IF(ROW()-ROW($N$1) &lt;= FILLME!$G$5, TRUE, FALSE)</f>
        <v>0</v>
      </c>
      <c r="O141" t="b">
        <f>IF(ROW()-ROW($O$1) &lt;= FILLME!$G$7, TRUE, FALSE)</f>
        <v>0</v>
      </c>
      <c r="P141" t="b">
        <f>IF(ROW()-ROW($P$1) &lt;= FILLME!$G$6, TRUE, FALSE)</f>
        <v>0</v>
      </c>
      <c r="Q141" t="b">
        <f>IF(ROW()-ROW($Q$1) &lt;= FILLME!$G$8, TRUE, FALSE)</f>
        <v>0</v>
      </c>
      <c r="R141" t="b">
        <f>IF(ROW()-ROW($R$1) &lt;= FILLME!$G$9, TRUE, FALSE)</f>
        <v>0</v>
      </c>
      <c r="S141" t="b">
        <f>IF(ROW()-ROW($S$1) &lt;= FILLME!$G$10, TRUE, FALSE)</f>
        <v>0</v>
      </c>
      <c r="T141" t="b">
        <f>IF(ROW()-ROW($T$1) &lt;= FILLME!$G$11, TRUE, FALSE)</f>
        <v>0</v>
      </c>
    </row>
    <row r="142" spans="1:20" x14ac:dyDescent="0.25">
      <c r="A142" s="7" t="str">
        <f>FILLME!$B$7</f>
        <v>ISCO</v>
      </c>
      <c r="B142" t="str">
        <f>IF(FILLME!$B$3 = "", "", FILLME!$B$3)</f>
        <v>WWS</v>
      </c>
      <c r="C142" t="str">
        <f>IF(FILLME!$B$4 = "", "", FILLME!$B$4)</f>
        <v>SSFLAT</v>
      </c>
      <c r="D142" s="7" t="str">
        <f ca="1">TEXT(FILLME!$B$6,"yyyymmdd")</f>
        <v>20260323</v>
      </c>
      <c r="E142" s="8"/>
      <c r="F142" s="7">
        <f ca="1">IF(FILLME!$B$7="ISCO",FILLME!$B$6+FILLME!$B$11+(FILLME!$B$13*(G142-FILLME!$B$14)),FILLME!$B$6)</f>
        <v>46104.25</v>
      </c>
      <c r="G142" s="8"/>
      <c r="H142" s="8"/>
      <c r="I142" s="2"/>
      <c r="J142" s="9" t="str">
        <f t="shared" si="6"/>
        <v>_00</v>
      </c>
      <c r="K142" s="10" t="str">
        <f t="shared" ca="1" si="7"/>
        <v>SSFLAT__20260323_00</v>
      </c>
      <c r="L142" s="10" t="str">
        <f t="shared" ca="1" si="8"/>
        <v>SSFLAT__20260323_0000</v>
      </c>
      <c r="M142" t="b">
        <f>IF(ROW()-ROW($M$1) &lt;= FILLME!$G$4, TRUE, FALSE)</f>
        <v>0</v>
      </c>
      <c r="N142" t="b">
        <f>IF(ROW()-ROW($N$1) &lt;= FILLME!$G$5, TRUE, FALSE)</f>
        <v>0</v>
      </c>
      <c r="O142" t="b">
        <f>IF(ROW()-ROW($O$1) &lt;= FILLME!$G$7, TRUE, FALSE)</f>
        <v>0</v>
      </c>
      <c r="P142" t="b">
        <f>IF(ROW()-ROW($P$1) &lt;= FILLME!$G$6, TRUE, FALSE)</f>
        <v>0</v>
      </c>
      <c r="Q142" t="b">
        <f>IF(ROW()-ROW($Q$1) &lt;= FILLME!$G$8, TRUE, FALSE)</f>
        <v>0</v>
      </c>
      <c r="R142" t="b">
        <f>IF(ROW()-ROW($R$1) &lt;= FILLME!$G$9, TRUE, FALSE)</f>
        <v>0</v>
      </c>
      <c r="S142" t="b">
        <f>IF(ROW()-ROW($S$1) &lt;= FILLME!$G$10, TRUE, FALSE)</f>
        <v>0</v>
      </c>
      <c r="T142" t="b">
        <f>IF(ROW()-ROW($T$1) &lt;= FILLME!$G$11, TRUE, FALSE)</f>
        <v>0</v>
      </c>
    </row>
    <row r="143" spans="1:20" x14ac:dyDescent="0.25">
      <c r="A143" s="7" t="str">
        <f>FILLME!$B$7</f>
        <v>ISCO</v>
      </c>
      <c r="B143" t="str">
        <f>IF(FILLME!$B$3 = "", "", FILLME!$B$3)</f>
        <v>WWS</v>
      </c>
      <c r="C143" t="str">
        <f>IF(FILLME!$B$4 = "", "", FILLME!$B$4)</f>
        <v>SSFLAT</v>
      </c>
      <c r="D143" s="7" t="str">
        <f ca="1">TEXT(FILLME!$B$6,"yyyymmdd")</f>
        <v>20260323</v>
      </c>
      <c r="E143" s="8"/>
      <c r="F143" s="7">
        <f ca="1">IF(FILLME!$B$7="ISCO",FILLME!$B$6+FILLME!$B$11+(FILLME!$B$13*(G143-FILLME!$B$14)),FILLME!$B$6)</f>
        <v>46104.25</v>
      </c>
      <c r="G143" s="8"/>
      <c r="H143" s="8"/>
      <c r="I143" s="2"/>
      <c r="J143" s="9" t="str">
        <f t="shared" si="6"/>
        <v>_00</v>
      </c>
      <c r="K143" s="10" t="str">
        <f t="shared" ca="1" si="7"/>
        <v>SSFLAT__20260323_00</v>
      </c>
      <c r="L143" s="10" t="str">
        <f t="shared" ca="1" si="8"/>
        <v>SSFLAT__20260323_0000</v>
      </c>
      <c r="M143" t="b">
        <f>IF(ROW()-ROW($M$1) &lt;= FILLME!$G$4, TRUE, FALSE)</f>
        <v>0</v>
      </c>
      <c r="N143" t="b">
        <f>IF(ROW()-ROW($N$1) &lt;= FILLME!$G$5, TRUE, FALSE)</f>
        <v>0</v>
      </c>
      <c r="O143" t="b">
        <f>IF(ROW()-ROW($O$1) &lt;= FILLME!$G$7, TRUE, FALSE)</f>
        <v>0</v>
      </c>
      <c r="P143" t="b">
        <f>IF(ROW()-ROW($P$1) &lt;= FILLME!$G$6, TRUE, FALSE)</f>
        <v>0</v>
      </c>
      <c r="Q143" t="b">
        <f>IF(ROW()-ROW($Q$1) &lt;= FILLME!$G$8, TRUE, FALSE)</f>
        <v>0</v>
      </c>
      <c r="R143" t="b">
        <f>IF(ROW()-ROW($R$1) &lt;= FILLME!$G$9, TRUE, FALSE)</f>
        <v>0</v>
      </c>
      <c r="S143" t="b">
        <f>IF(ROW()-ROW($S$1) &lt;= FILLME!$G$10, TRUE, FALSE)</f>
        <v>0</v>
      </c>
      <c r="T143" t="b">
        <f>IF(ROW()-ROW($T$1) &lt;= FILLME!$G$11, TRUE, FALSE)</f>
        <v>0</v>
      </c>
    </row>
    <row r="144" spans="1:20" x14ac:dyDescent="0.25">
      <c r="A144" s="7" t="str">
        <f>FILLME!$B$7</f>
        <v>ISCO</v>
      </c>
      <c r="B144" t="str">
        <f>IF(FILLME!$B$3 = "", "", FILLME!$B$3)</f>
        <v>WWS</v>
      </c>
      <c r="C144" t="str">
        <f>IF(FILLME!$B$4 = "", "", FILLME!$B$4)</f>
        <v>SSFLAT</v>
      </c>
      <c r="D144" s="7" t="str">
        <f ca="1">TEXT(FILLME!$B$6,"yyyymmdd")</f>
        <v>20260323</v>
      </c>
      <c r="E144" s="8"/>
      <c r="F144" s="7">
        <f ca="1">IF(FILLME!$B$7="ISCO",FILLME!$B$6+FILLME!$B$11+(FILLME!$B$13*(G144-FILLME!$B$14)),FILLME!$B$6)</f>
        <v>46104.25</v>
      </c>
      <c r="G144" s="8"/>
      <c r="H144" s="8"/>
      <c r="I144" s="2"/>
      <c r="J144" s="9" t="str">
        <f t="shared" si="6"/>
        <v>_00</v>
      </c>
      <c r="K144" s="10" t="str">
        <f t="shared" ca="1" si="7"/>
        <v>SSFLAT__20260323_00</v>
      </c>
      <c r="L144" s="10" t="str">
        <f t="shared" ca="1" si="8"/>
        <v>SSFLAT__20260323_0000</v>
      </c>
      <c r="M144" t="b">
        <f>IF(ROW()-ROW($M$1) &lt;= FILLME!$G$4, TRUE, FALSE)</f>
        <v>0</v>
      </c>
      <c r="N144" t="b">
        <f>IF(ROW()-ROW($N$1) &lt;= FILLME!$G$5, TRUE, FALSE)</f>
        <v>0</v>
      </c>
      <c r="O144" t="b">
        <f>IF(ROW()-ROW($O$1) &lt;= FILLME!$G$7, TRUE, FALSE)</f>
        <v>0</v>
      </c>
      <c r="P144" t="b">
        <f>IF(ROW()-ROW($P$1) &lt;= FILLME!$G$6, TRUE, FALSE)</f>
        <v>0</v>
      </c>
      <c r="Q144" t="b">
        <f>IF(ROW()-ROW($Q$1) &lt;= FILLME!$G$8, TRUE, FALSE)</f>
        <v>0</v>
      </c>
      <c r="R144" t="b">
        <f>IF(ROW()-ROW($R$1) &lt;= FILLME!$G$9, TRUE, FALSE)</f>
        <v>0</v>
      </c>
      <c r="S144" t="b">
        <f>IF(ROW()-ROW($S$1) &lt;= FILLME!$G$10, TRUE, FALSE)</f>
        <v>0</v>
      </c>
      <c r="T144" t="b">
        <f>IF(ROW()-ROW($T$1) &lt;= FILLME!$G$11, TRUE, FALSE)</f>
        <v>0</v>
      </c>
    </row>
    <row r="145" spans="1:20" x14ac:dyDescent="0.25">
      <c r="A145" s="7" t="str">
        <f>FILLME!$B$7</f>
        <v>ISCO</v>
      </c>
      <c r="B145" t="str">
        <f>IF(FILLME!$B$3 = "", "", FILLME!$B$3)</f>
        <v>WWS</v>
      </c>
      <c r="C145" t="str">
        <f>IF(FILLME!$B$4 = "", "", FILLME!$B$4)</f>
        <v>SSFLAT</v>
      </c>
      <c r="D145" s="7" t="str">
        <f ca="1">TEXT(FILLME!$B$6,"yyyymmdd")</f>
        <v>20260323</v>
      </c>
      <c r="E145" s="8"/>
      <c r="F145" s="7">
        <f ca="1">IF(FILLME!$B$7="ISCO",FILLME!$B$6+FILLME!$B$11+(FILLME!$B$13*(G145-FILLME!$B$14)),FILLME!$B$6)</f>
        <v>46104.25</v>
      </c>
      <c r="G145" s="8"/>
      <c r="H145" s="8"/>
      <c r="I145" s="2"/>
      <c r="J145" s="9" t="str">
        <f t="shared" si="6"/>
        <v>_00</v>
      </c>
      <c r="K145" s="10" t="str">
        <f t="shared" ca="1" si="7"/>
        <v>SSFLAT__20260323_00</v>
      </c>
      <c r="L145" s="10" t="str">
        <f t="shared" ca="1" si="8"/>
        <v>SSFLAT__20260323_0000</v>
      </c>
      <c r="M145" t="b">
        <f>IF(ROW()-ROW($M$1) &lt;= FILLME!$G$4, TRUE, FALSE)</f>
        <v>0</v>
      </c>
      <c r="N145" t="b">
        <f>IF(ROW()-ROW($N$1) &lt;= FILLME!$G$5, TRUE, FALSE)</f>
        <v>0</v>
      </c>
      <c r="O145" t="b">
        <f>IF(ROW()-ROW($O$1) &lt;= FILLME!$G$7, TRUE, FALSE)</f>
        <v>0</v>
      </c>
      <c r="P145" t="b">
        <f>IF(ROW()-ROW($P$1) &lt;= FILLME!$G$6, TRUE, FALSE)</f>
        <v>0</v>
      </c>
      <c r="Q145" t="b">
        <f>IF(ROW()-ROW($Q$1) &lt;= FILLME!$G$8, TRUE, FALSE)</f>
        <v>0</v>
      </c>
      <c r="R145" t="b">
        <f>IF(ROW()-ROW($R$1) &lt;= FILLME!$G$9, TRUE, FALSE)</f>
        <v>0</v>
      </c>
      <c r="S145" t="b">
        <f>IF(ROW()-ROW($S$1) &lt;= FILLME!$G$10, TRUE, FALSE)</f>
        <v>0</v>
      </c>
      <c r="T145" t="b">
        <f>IF(ROW()-ROW($T$1) &lt;= FILLME!$G$11, TRUE, FALSE)</f>
        <v>0</v>
      </c>
    </row>
    <row r="146" spans="1:20" x14ac:dyDescent="0.25">
      <c r="A146" s="7" t="str">
        <f>FILLME!$B$7</f>
        <v>ISCO</v>
      </c>
      <c r="B146" t="str">
        <f>IF(FILLME!$B$3 = "", "", FILLME!$B$3)</f>
        <v>WWS</v>
      </c>
      <c r="C146" t="str">
        <f>IF(FILLME!$B$4 = "", "", FILLME!$B$4)</f>
        <v>SSFLAT</v>
      </c>
      <c r="D146" s="7" t="str">
        <f ca="1">TEXT(FILLME!$B$6,"yyyymmdd")</f>
        <v>20260323</v>
      </c>
      <c r="E146" s="8"/>
      <c r="F146" s="7">
        <f ca="1">IF(FILLME!$B$7="ISCO",FILLME!$B$6+FILLME!$B$11+(FILLME!$B$13*(G146-FILLME!$B$14)),FILLME!$B$6)</f>
        <v>46104.25</v>
      </c>
      <c r="G146" s="8"/>
      <c r="H146" s="8"/>
      <c r="I146" s="2"/>
      <c r="J146" s="9" t="str">
        <f t="shared" si="6"/>
        <v>_00</v>
      </c>
      <c r="K146" s="10" t="str">
        <f t="shared" ca="1" si="7"/>
        <v>SSFLAT__20260323_00</v>
      </c>
      <c r="L146" s="10" t="str">
        <f t="shared" ca="1" si="8"/>
        <v>SSFLAT__20260323_0000</v>
      </c>
      <c r="M146" t="b">
        <f>IF(ROW()-ROW($M$1) &lt;= FILLME!$G$4, TRUE, FALSE)</f>
        <v>0</v>
      </c>
      <c r="N146" t="b">
        <f>IF(ROW()-ROW($N$1) &lt;= FILLME!$G$5, TRUE, FALSE)</f>
        <v>0</v>
      </c>
      <c r="O146" t="b">
        <f>IF(ROW()-ROW($O$1) &lt;= FILLME!$G$7, TRUE, FALSE)</f>
        <v>0</v>
      </c>
      <c r="P146" t="b">
        <f>IF(ROW()-ROW($P$1) &lt;= FILLME!$G$6, TRUE, FALSE)</f>
        <v>0</v>
      </c>
      <c r="Q146" t="b">
        <f>IF(ROW()-ROW($Q$1) &lt;= FILLME!$G$8, TRUE, FALSE)</f>
        <v>0</v>
      </c>
      <c r="R146" t="b">
        <f>IF(ROW()-ROW($R$1) &lt;= FILLME!$G$9, TRUE, FALSE)</f>
        <v>0</v>
      </c>
      <c r="S146" t="b">
        <f>IF(ROW()-ROW($S$1) &lt;= FILLME!$G$10, TRUE, FALSE)</f>
        <v>0</v>
      </c>
      <c r="T146" t="b">
        <f>IF(ROW()-ROW($T$1) &lt;= FILLME!$G$11, TRUE, FALSE)</f>
        <v>0</v>
      </c>
    </row>
    <row r="147" spans="1:20" x14ac:dyDescent="0.25">
      <c r="A147" s="7" t="str">
        <f>FILLME!$B$7</f>
        <v>ISCO</v>
      </c>
      <c r="B147" t="str">
        <f>IF(FILLME!$B$3 = "", "", FILLME!$B$3)</f>
        <v>WWS</v>
      </c>
      <c r="C147" t="str">
        <f>IF(FILLME!$B$4 = "", "", FILLME!$B$4)</f>
        <v>SSFLAT</v>
      </c>
      <c r="D147" s="7" t="str">
        <f ca="1">TEXT(FILLME!$B$6,"yyyymmdd")</f>
        <v>20260323</v>
      </c>
      <c r="E147" s="8"/>
      <c r="F147" s="7">
        <f ca="1">IF(FILLME!$B$7="ISCO",FILLME!$B$6+FILLME!$B$11+(FILLME!$B$13*(G147-FILLME!$B$14)),FILLME!$B$6)</f>
        <v>46104.25</v>
      </c>
      <c r="G147" s="8"/>
      <c r="H147" s="8"/>
      <c r="I147" s="2"/>
      <c r="J147" s="9" t="str">
        <f t="shared" si="6"/>
        <v>_00</v>
      </c>
      <c r="K147" s="10" t="str">
        <f t="shared" ca="1" si="7"/>
        <v>SSFLAT__20260323_00</v>
      </c>
      <c r="L147" s="10" t="str">
        <f t="shared" ca="1" si="8"/>
        <v>SSFLAT__20260323_0000</v>
      </c>
      <c r="M147" t="b">
        <f>IF(ROW()-ROW($M$1) &lt;= FILLME!$G$4, TRUE, FALSE)</f>
        <v>0</v>
      </c>
      <c r="N147" t="b">
        <f>IF(ROW()-ROW($N$1) &lt;= FILLME!$G$5, TRUE, FALSE)</f>
        <v>0</v>
      </c>
      <c r="O147" t="b">
        <f>IF(ROW()-ROW($O$1) &lt;= FILLME!$G$7, TRUE, FALSE)</f>
        <v>0</v>
      </c>
      <c r="P147" t="b">
        <f>IF(ROW()-ROW($P$1) &lt;= FILLME!$G$6, TRUE, FALSE)</f>
        <v>0</v>
      </c>
      <c r="Q147" t="b">
        <f>IF(ROW()-ROW($Q$1) &lt;= FILLME!$G$8, TRUE, FALSE)</f>
        <v>0</v>
      </c>
      <c r="R147" t="b">
        <f>IF(ROW()-ROW($R$1) &lt;= FILLME!$G$9, TRUE, FALSE)</f>
        <v>0</v>
      </c>
      <c r="S147" t="b">
        <f>IF(ROW()-ROW($S$1) &lt;= FILLME!$G$10, TRUE, FALSE)</f>
        <v>0</v>
      </c>
      <c r="T147" t="b">
        <f>IF(ROW()-ROW($T$1) &lt;= FILLME!$G$11, TRUE, FALSE)</f>
        <v>0</v>
      </c>
    </row>
    <row r="148" spans="1:20" x14ac:dyDescent="0.25">
      <c r="A148" s="7" t="str">
        <f>FILLME!$B$7</f>
        <v>ISCO</v>
      </c>
      <c r="B148" t="str">
        <f>IF(FILLME!$B$3 = "", "", FILLME!$B$3)</f>
        <v>WWS</v>
      </c>
      <c r="C148" t="str">
        <f>IF(FILLME!$B$4 = "", "", FILLME!$B$4)</f>
        <v>SSFLAT</v>
      </c>
      <c r="D148" s="7" t="str">
        <f ca="1">TEXT(FILLME!$B$6,"yyyymmdd")</f>
        <v>20260323</v>
      </c>
      <c r="E148" s="8"/>
      <c r="F148" s="7">
        <f ca="1">IF(FILLME!$B$7="ISCO",FILLME!$B$6+FILLME!$B$11+(FILLME!$B$13*(G148-FILLME!$B$14)),FILLME!$B$6)</f>
        <v>46104.25</v>
      </c>
      <c r="G148" s="8"/>
      <c r="H148" s="8"/>
      <c r="I148" s="2"/>
      <c r="J148" s="9" t="str">
        <f t="shared" si="6"/>
        <v>_00</v>
      </c>
      <c r="K148" s="10" t="str">
        <f t="shared" ca="1" si="7"/>
        <v>SSFLAT__20260323_00</v>
      </c>
      <c r="L148" s="10" t="str">
        <f t="shared" ca="1" si="8"/>
        <v>SSFLAT__20260323_0000</v>
      </c>
      <c r="M148" t="b">
        <f>IF(ROW()-ROW($M$1) &lt;= FILLME!$G$4, TRUE, FALSE)</f>
        <v>0</v>
      </c>
      <c r="N148" t="b">
        <f>IF(ROW()-ROW($N$1) &lt;= FILLME!$G$5, TRUE, FALSE)</f>
        <v>0</v>
      </c>
      <c r="O148" t="b">
        <f>IF(ROW()-ROW($O$1) &lt;= FILLME!$G$7, TRUE, FALSE)</f>
        <v>0</v>
      </c>
      <c r="P148" t="b">
        <f>IF(ROW()-ROW($P$1) &lt;= FILLME!$G$6, TRUE, FALSE)</f>
        <v>0</v>
      </c>
      <c r="Q148" t="b">
        <f>IF(ROW()-ROW($Q$1) &lt;= FILLME!$G$8, TRUE, FALSE)</f>
        <v>0</v>
      </c>
      <c r="R148" t="b">
        <f>IF(ROW()-ROW($R$1) &lt;= FILLME!$G$9, TRUE, FALSE)</f>
        <v>0</v>
      </c>
      <c r="S148" t="b">
        <f>IF(ROW()-ROW($S$1) &lt;= FILLME!$G$10, TRUE, FALSE)</f>
        <v>0</v>
      </c>
      <c r="T148" t="b">
        <f>IF(ROW()-ROW($T$1) &lt;= FILLME!$G$11, TRUE, FALSE)</f>
        <v>0</v>
      </c>
    </row>
    <row r="149" spans="1:20" x14ac:dyDescent="0.25">
      <c r="A149" s="7" t="str">
        <f>FILLME!$B$7</f>
        <v>ISCO</v>
      </c>
      <c r="B149" t="str">
        <f>IF(FILLME!$B$3 = "", "", FILLME!$B$3)</f>
        <v>WWS</v>
      </c>
      <c r="C149" t="str">
        <f>IF(FILLME!$B$4 = "", "", FILLME!$B$4)</f>
        <v>SSFLAT</v>
      </c>
      <c r="D149" s="7" t="str">
        <f ca="1">TEXT(FILLME!$B$6,"yyyymmdd")</f>
        <v>20260323</v>
      </c>
      <c r="E149" s="8"/>
      <c r="F149" s="7">
        <f ca="1">IF(FILLME!$B$7="ISCO",FILLME!$B$6+FILLME!$B$11+(FILLME!$B$13*(G149-FILLME!$B$14)),FILLME!$B$6)</f>
        <v>46104.25</v>
      </c>
      <c r="G149" s="8"/>
      <c r="H149" s="8"/>
      <c r="I149" s="2"/>
      <c r="J149" s="9" t="str">
        <f t="shared" si="6"/>
        <v>_00</v>
      </c>
      <c r="K149" s="10" t="str">
        <f t="shared" ca="1" si="7"/>
        <v>SSFLAT__20260323_00</v>
      </c>
      <c r="L149" s="10" t="str">
        <f t="shared" ca="1" si="8"/>
        <v>SSFLAT__20260323_0000</v>
      </c>
      <c r="M149" t="b">
        <f>IF(ROW()-ROW($M$1) &lt;= FILLME!$G$4, TRUE, FALSE)</f>
        <v>0</v>
      </c>
      <c r="N149" t="b">
        <f>IF(ROW()-ROW($N$1) &lt;= FILLME!$G$5, TRUE, FALSE)</f>
        <v>0</v>
      </c>
      <c r="O149" t="b">
        <f>IF(ROW()-ROW($O$1) &lt;= FILLME!$G$7, TRUE, FALSE)</f>
        <v>0</v>
      </c>
      <c r="P149" t="b">
        <f>IF(ROW()-ROW($P$1) &lt;= FILLME!$G$6, TRUE, FALSE)</f>
        <v>0</v>
      </c>
      <c r="Q149" t="b">
        <f>IF(ROW()-ROW($Q$1) &lt;= FILLME!$G$8, TRUE, FALSE)</f>
        <v>0</v>
      </c>
      <c r="R149" t="b">
        <f>IF(ROW()-ROW($R$1) &lt;= FILLME!$G$9, TRUE, FALSE)</f>
        <v>0</v>
      </c>
      <c r="S149" t="b">
        <f>IF(ROW()-ROW($S$1) &lt;= FILLME!$G$10, TRUE, FALSE)</f>
        <v>0</v>
      </c>
      <c r="T149" t="b">
        <f>IF(ROW()-ROW($T$1) &lt;= FILLME!$G$11, TRUE, FALSE)</f>
        <v>0</v>
      </c>
    </row>
    <row r="150" spans="1:20" x14ac:dyDescent="0.25">
      <c r="A150" s="7" t="str">
        <f>FILLME!$B$7</f>
        <v>ISCO</v>
      </c>
      <c r="B150" t="str">
        <f>IF(FILLME!$B$3 = "", "", FILLME!$B$3)</f>
        <v>WWS</v>
      </c>
      <c r="C150" t="str">
        <f>IF(FILLME!$B$4 = "", "", FILLME!$B$4)</f>
        <v>SSFLAT</v>
      </c>
      <c r="D150" s="7" t="str">
        <f ca="1">TEXT(FILLME!$B$6,"yyyymmdd")</f>
        <v>20260323</v>
      </c>
      <c r="E150" s="8"/>
      <c r="F150" s="7">
        <f ca="1">IF(FILLME!$B$7="ISCO",FILLME!$B$6+FILLME!$B$11+(FILLME!$B$13*(G150-FILLME!$B$14)),FILLME!$B$6)</f>
        <v>46104.25</v>
      </c>
      <c r="G150" s="8"/>
      <c r="H150" s="8"/>
      <c r="I150" s="2"/>
      <c r="J150" s="9" t="str">
        <f t="shared" si="6"/>
        <v>_00</v>
      </c>
      <c r="K150" s="10" t="str">
        <f t="shared" ca="1" si="7"/>
        <v>SSFLAT__20260323_00</v>
      </c>
      <c r="L150" s="10" t="str">
        <f t="shared" ca="1" si="8"/>
        <v>SSFLAT__20260323_0000</v>
      </c>
      <c r="M150" t="b">
        <f>IF(ROW()-ROW($M$1) &lt;= FILLME!$G$4, TRUE, FALSE)</f>
        <v>0</v>
      </c>
      <c r="N150" t="b">
        <f>IF(ROW()-ROW($N$1) &lt;= FILLME!$G$5, TRUE, FALSE)</f>
        <v>0</v>
      </c>
      <c r="O150" t="b">
        <f>IF(ROW()-ROW($O$1) &lt;= FILLME!$G$7, TRUE, FALSE)</f>
        <v>0</v>
      </c>
      <c r="P150" t="b">
        <f>IF(ROW()-ROW($P$1) &lt;= FILLME!$G$6, TRUE, FALSE)</f>
        <v>0</v>
      </c>
      <c r="Q150" t="b">
        <f>IF(ROW()-ROW($Q$1) &lt;= FILLME!$G$8, TRUE, FALSE)</f>
        <v>0</v>
      </c>
      <c r="R150" t="b">
        <f>IF(ROW()-ROW($R$1) &lt;= FILLME!$G$9, TRUE, FALSE)</f>
        <v>0</v>
      </c>
      <c r="S150" t="b">
        <f>IF(ROW()-ROW($S$1) &lt;= FILLME!$G$10, TRUE, FALSE)</f>
        <v>0</v>
      </c>
      <c r="T150" t="b">
        <f>IF(ROW()-ROW($T$1) &lt;= FILLME!$G$11, TRUE, FALSE)</f>
        <v>0</v>
      </c>
    </row>
    <row r="151" spans="1:20" x14ac:dyDescent="0.25">
      <c r="A151" s="7" t="str">
        <f>FILLME!$B$7</f>
        <v>ISCO</v>
      </c>
      <c r="B151" t="str">
        <f>IF(FILLME!$B$3 = "", "", FILLME!$B$3)</f>
        <v>WWS</v>
      </c>
      <c r="C151" t="str">
        <f>IF(FILLME!$B$4 = "", "", FILLME!$B$4)</f>
        <v>SSFLAT</v>
      </c>
      <c r="D151" s="7" t="str">
        <f ca="1">TEXT(FILLME!$B$6,"yyyymmdd")</f>
        <v>20260323</v>
      </c>
      <c r="E151" s="8"/>
      <c r="F151" s="7">
        <f ca="1">IF(FILLME!$B$7="ISCO",FILLME!$B$6+FILLME!$B$11+(FILLME!$B$13*(G151-FILLME!$B$14)),FILLME!$B$6)</f>
        <v>46104.25</v>
      </c>
      <c r="G151" s="8"/>
      <c r="H151" s="8"/>
      <c r="I151" s="2"/>
      <c r="J151" s="9" t="str">
        <f t="shared" si="6"/>
        <v>_00</v>
      </c>
      <c r="K151" s="10" t="str">
        <f t="shared" ca="1" si="7"/>
        <v>SSFLAT__20260323_00</v>
      </c>
      <c r="L151" s="10" t="str">
        <f t="shared" ca="1" si="8"/>
        <v>SSFLAT__20260323_0000</v>
      </c>
      <c r="M151" t="b">
        <f>IF(ROW()-ROW($M$1) &lt;= FILLME!$G$4, TRUE, FALSE)</f>
        <v>0</v>
      </c>
      <c r="N151" t="b">
        <f>IF(ROW()-ROW($N$1) &lt;= FILLME!$G$5, TRUE, FALSE)</f>
        <v>0</v>
      </c>
      <c r="O151" t="b">
        <f>IF(ROW()-ROW($O$1) &lt;= FILLME!$G$7, TRUE, FALSE)</f>
        <v>0</v>
      </c>
      <c r="P151" t="b">
        <f>IF(ROW()-ROW($P$1) &lt;= FILLME!$G$6, TRUE, FALSE)</f>
        <v>0</v>
      </c>
      <c r="Q151" t="b">
        <f>IF(ROW()-ROW($Q$1) &lt;= FILLME!$G$8, TRUE, FALSE)</f>
        <v>0</v>
      </c>
      <c r="R151" t="b">
        <f>IF(ROW()-ROW($R$1) &lt;= FILLME!$G$9, TRUE, FALSE)</f>
        <v>0</v>
      </c>
      <c r="S151" t="b">
        <f>IF(ROW()-ROW($S$1) &lt;= FILLME!$G$10, TRUE, FALSE)</f>
        <v>0</v>
      </c>
      <c r="T151" t="b">
        <f>IF(ROW()-ROW($T$1) &lt;= FILLME!$G$11, TRUE, FALSE)</f>
        <v>0</v>
      </c>
    </row>
    <row r="152" spans="1:20" x14ac:dyDescent="0.25">
      <c r="A152" s="7" t="str">
        <f>FILLME!$B$7</f>
        <v>ISCO</v>
      </c>
      <c r="B152" t="str">
        <f>IF(FILLME!$B$3 = "", "", FILLME!$B$3)</f>
        <v>WWS</v>
      </c>
      <c r="C152" t="str">
        <f>IF(FILLME!$B$4 = "", "", FILLME!$B$4)</f>
        <v>SSFLAT</v>
      </c>
      <c r="D152" s="7" t="str">
        <f ca="1">TEXT(FILLME!$B$6,"yyyymmdd")</f>
        <v>20260323</v>
      </c>
      <c r="E152" s="8"/>
      <c r="F152" s="7">
        <f ca="1">IF(FILLME!$B$7="ISCO",FILLME!$B$6+FILLME!$B$11+(FILLME!$B$13*(G152-FILLME!$B$14)),FILLME!$B$6)</f>
        <v>46104.25</v>
      </c>
      <c r="G152" s="8"/>
      <c r="H152" s="8"/>
      <c r="I152" s="2"/>
      <c r="J152" s="9" t="str">
        <f t="shared" si="6"/>
        <v>_00</v>
      </c>
      <c r="K152" s="10" t="str">
        <f t="shared" ca="1" si="7"/>
        <v>SSFLAT__20260323_00</v>
      </c>
      <c r="L152" s="10" t="str">
        <f t="shared" ca="1" si="8"/>
        <v>SSFLAT__20260323_0000</v>
      </c>
      <c r="M152" t="b">
        <f>IF(ROW()-ROW($M$1) &lt;= FILLME!$G$4, TRUE, FALSE)</f>
        <v>0</v>
      </c>
      <c r="N152" t="b">
        <f>IF(ROW()-ROW($N$1) &lt;= FILLME!$G$5, TRUE, FALSE)</f>
        <v>0</v>
      </c>
      <c r="O152" t="b">
        <f>IF(ROW()-ROW($O$1) &lt;= FILLME!$G$7, TRUE, FALSE)</f>
        <v>0</v>
      </c>
      <c r="P152" t="b">
        <f>IF(ROW()-ROW($P$1) &lt;= FILLME!$G$6, TRUE, FALSE)</f>
        <v>0</v>
      </c>
      <c r="Q152" t="b">
        <f>IF(ROW()-ROW($Q$1) &lt;= FILLME!$G$8, TRUE, FALSE)</f>
        <v>0</v>
      </c>
      <c r="R152" t="b">
        <f>IF(ROW()-ROW($R$1) &lt;= FILLME!$G$9, TRUE, FALSE)</f>
        <v>0</v>
      </c>
      <c r="S152" t="b">
        <f>IF(ROW()-ROW($S$1) &lt;= FILLME!$G$10, TRUE, FALSE)</f>
        <v>0</v>
      </c>
      <c r="T152" t="b">
        <f>IF(ROW()-ROW($T$1) &lt;= FILLME!$G$11, TRUE, FALSE)</f>
        <v>0</v>
      </c>
    </row>
    <row r="153" spans="1:20" x14ac:dyDescent="0.25">
      <c r="A153" s="7" t="str">
        <f>FILLME!$B$7</f>
        <v>ISCO</v>
      </c>
      <c r="B153" t="str">
        <f>IF(FILLME!$B$3 = "", "", FILLME!$B$3)</f>
        <v>WWS</v>
      </c>
      <c r="C153" t="str">
        <f>IF(FILLME!$B$4 = "", "", FILLME!$B$4)</f>
        <v>SSFLAT</v>
      </c>
      <c r="D153" s="7" t="str">
        <f ca="1">TEXT(FILLME!$B$6,"yyyymmdd")</f>
        <v>20260323</v>
      </c>
      <c r="E153" s="8"/>
      <c r="F153" s="7">
        <f ca="1">IF(FILLME!$B$7="ISCO",FILLME!$B$6+FILLME!$B$11+(FILLME!$B$13*(G153-FILLME!$B$14)),FILLME!$B$6)</f>
        <v>46104.25</v>
      </c>
      <c r="G153" s="8"/>
      <c r="H153" s="8"/>
      <c r="I153" s="2"/>
      <c r="J153" s="9" t="str">
        <f t="shared" si="6"/>
        <v>_00</v>
      </c>
      <c r="K153" s="10" t="str">
        <f t="shared" ca="1" si="7"/>
        <v>SSFLAT__20260323_00</v>
      </c>
      <c r="L153" s="10" t="str">
        <f t="shared" ca="1" si="8"/>
        <v>SSFLAT__20260323_0000</v>
      </c>
      <c r="M153" t="b">
        <f>IF(ROW()-ROW($M$1) &lt;= FILLME!$G$4, TRUE, FALSE)</f>
        <v>0</v>
      </c>
      <c r="N153" t="b">
        <f>IF(ROW()-ROW($N$1) &lt;= FILLME!$G$5, TRUE, FALSE)</f>
        <v>0</v>
      </c>
      <c r="O153" t="b">
        <f>IF(ROW()-ROW($O$1) &lt;= FILLME!$G$7, TRUE, FALSE)</f>
        <v>0</v>
      </c>
      <c r="P153" t="b">
        <f>IF(ROW()-ROW($P$1) &lt;= FILLME!$G$6, TRUE, FALSE)</f>
        <v>0</v>
      </c>
      <c r="Q153" t="b">
        <f>IF(ROW()-ROW($Q$1) &lt;= FILLME!$G$8, TRUE, FALSE)</f>
        <v>0</v>
      </c>
      <c r="R153" t="b">
        <f>IF(ROW()-ROW($R$1) &lt;= FILLME!$G$9, TRUE, FALSE)</f>
        <v>0</v>
      </c>
      <c r="S153" t="b">
        <f>IF(ROW()-ROW($S$1) &lt;= FILLME!$G$10, TRUE, FALSE)</f>
        <v>0</v>
      </c>
      <c r="T153" t="b">
        <f>IF(ROW()-ROW($T$1) &lt;= FILLME!$G$11, TRUE, FALSE)</f>
        <v>0</v>
      </c>
    </row>
    <row r="154" spans="1:20" x14ac:dyDescent="0.25">
      <c r="A154" s="7" t="str">
        <f>FILLME!$B$7</f>
        <v>ISCO</v>
      </c>
      <c r="B154" t="str">
        <f>IF(FILLME!$B$3 = "", "", FILLME!$B$3)</f>
        <v>WWS</v>
      </c>
      <c r="C154" t="str">
        <f>IF(FILLME!$B$4 = "", "", FILLME!$B$4)</f>
        <v>SSFLAT</v>
      </c>
      <c r="D154" s="7" t="str">
        <f ca="1">TEXT(FILLME!$B$6,"yyyymmdd")</f>
        <v>20260323</v>
      </c>
      <c r="E154" s="8"/>
      <c r="F154" s="7">
        <f ca="1">IF(FILLME!$B$7="ISCO",FILLME!$B$6+FILLME!$B$11+(FILLME!$B$13*(G154-FILLME!$B$14)),FILLME!$B$6)</f>
        <v>46104.25</v>
      </c>
      <c r="G154" s="8"/>
      <c r="H154" s="8"/>
      <c r="I154" s="2"/>
      <c r="J154" s="9" t="str">
        <f t="shared" si="6"/>
        <v>_00</v>
      </c>
      <c r="K154" s="10" t="str">
        <f t="shared" ca="1" si="7"/>
        <v>SSFLAT__20260323_00</v>
      </c>
      <c r="L154" s="10" t="str">
        <f t="shared" ca="1" si="8"/>
        <v>SSFLAT__20260323_0000</v>
      </c>
      <c r="M154" t="b">
        <f>IF(ROW()-ROW($M$1) &lt;= FILLME!$G$4, TRUE, FALSE)</f>
        <v>0</v>
      </c>
      <c r="N154" t="b">
        <f>IF(ROW()-ROW($N$1) &lt;= FILLME!$G$5, TRUE, FALSE)</f>
        <v>0</v>
      </c>
      <c r="O154" t="b">
        <f>IF(ROW()-ROW($O$1) &lt;= FILLME!$G$7, TRUE, FALSE)</f>
        <v>0</v>
      </c>
      <c r="P154" t="b">
        <f>IF(ROW()-ROW($P$1) &lt;= FILLME!$G$6, TRUE, FALSE)</f>
        <v>0</v>
      </c>
      <c r="Q154" t="b">
        <f>IF(ROW()-ROW($Q$1) &lt;= FILLME!$G$8, TRUE, FALSE)</f>
        <v>0</v>
      </c>
      <c r="R154" t="b">
        <f>IF(ROW()-ROW($R$1) &lt;= FILLME!$G$9, TRUE, FALSE)</f>
        <v>0</v>
      </c>
      <c r="S154" t="b">
        <f>IF(ROW()-ROW($S$1) &lt;= FILLME!$G$10, TRUE, FALSE)</f>
        <v>0</v>
      </c>
      <c r="T154" t="b">
        <f>IF(ROW()-ROW($T$1) &lt;= FILLME!$G$11, TRUE, FALSE)</f>
        <v>0</v>
      </c>
    </row>
    <row r="155" spans="1:20" x14ac:dyDescent="0.25">
      <c r="A155" s="7" t="str">
        <f>FILLME!$B$7</f>
        <v>ISCO</v>
      </c>
      <c r="B155" t="str">
        <f>IF(FILLME!$B$3 = "", "", FILLME!$B$3)</f>
        <v>WWS</v>
      </c>
      <c r="C155" t="str">
        <f>IF(FILLME!$B$4 = "", "", FILLME!$B$4)</f>
        <v>SSFLAT</v>
      </c>
      <c r="D155" s="7" t="str">
        <f ca="1">TEXT(FILLME!$B$6,"yyyymmdd")</f>
        <v>20260323</v>
      </c>
      <c r="E155" s="8"/>
      <c r="F155" s="7">
        <f ca="1">IF(FILLME!$B$7="ISCO",FILLME!$B$6+FILLME!$B$11+(FILLME!$B$13*(G155-FILLME!$B$14)),FILLME!$B$6)</f>
        <v>46104.25</v>
      </c>
      <c r="G155" s="8"/>
      <c r="H155" s="8"/>
      <c r="I155" s="2"/>
      <c r="J155" s="9" t="str">
        <f t="shared" si="6"/>
        <v>_00</v>
      </c>
      <c r="K155" s="10" t="str">
        <f t="shared" ca="1" si="7"/>
        <v>SSFLAT__20260323_00</v>
      </c>
      <c r="L155" s="10" t="str">
        <f t="shared" ca="1" si="8"/>
        <v>SSFLAT__20260323_0000</v>
      </c>
      <c r="M155" t="b">
        <f>IF(ROW()-ROW($M$1) &lt;= FILLME!$G$4, TRUE, FALSE)</f>
        <v>0</v>
      </c>
      <c r="N155" t="b">
        <f>IF(ROW()-ROW($N$1) &lt;= FILLME!$G$5, TRUE, FALSE)</f>
        <v>0</v>
      </c>
      <c r="O155" t="b">
        <f>IF(ROW()-ROW($O$1) &lt;= FILLME!$G$7, TRUE, FALSE)</f>
        <v>0</v>
      </c>
      <c r="P155" t="b">
        <f>IF(ROW()-ROW($P$1) &lt;= FILLME!$G$6, TRUE, FALSE)</f>
        <v>0</v>
      </c>
      <c r="Q155" t="b">
        <f>IF(ROW()-ROW($Q$1) &lt;= FILLME!$G$8, TRUE, FALSE)</f>
        <v>0</v>
      </c>
      <c r="R155" t="b">
        <f>IF(ROW()-ROW($R$1) &lt;= FILLME!$G$9, TRUE, FALSE)</f>
        <v>0</v>
      </c>
      <c r="S155" t="b">
        <f>IF(ROW()-ROW($S$1) &lt;= FILLME!$G$10, TRUE, FALSE)</f>
        <v>0</v>
      </c>
      <c r="T155" t="b">
        <f>IF(ROW()-ROW($T$1) &lt;= FILLME!$G$11, TRUE, FALSE)</f>
        <v>0</v>
      </c>
    </row>
    <row r="156" spans="1:20" x14ac:dyDescent="0.25">
      <c r="A156" s="7" t="str">
        <f>FILLME!$B$7</f>
        <v>ISCO</v>
      </c>
      <c r="B156" t="str">
        <f>IF(FILLME!$B$3 = "", "", FILLME!$B$3)</f>
        <v>WWS</v>
      </c>
      <c r="C156" t="str">
        <f>IF(FILLME!$B$4 = "", "", FILLME!$B$4)</f>
        <v>SSFLAT</v>
      </c>
      <c r="D156" s="7" t="str">
        <f ca="1">TEXT(FILLME!$B$6,"yyyymmdd")</f>
        <v>20260323</v>
      </c>
      <c r="E156" s="8"/>
      <c r="F156" s="7">
        <f ca="1">IF(FILLME!$B$7="ISCO",FILLME!$B$6+FILLME!$B$11+(FILLME!$B$13*(G156-FILLME!$B$14)),FILLME!$B$6)</f>
        <v>46104.25</v>
      </c>
      <c r="G156" s="8"/>
      <c r="H156" s="8"/>
      <c r="I156" s="2"/>
      <c r="J156" s="9" t="str">
        <f t="shared" si="6"/>
        <v>_00</v>
      </c>
      <c r="K156" s="10" t="str">
        <f t="shared" ca="1" si="7"/>
        <v>SSFLAT__20260323_00</v>
      </c>
      <c r="L156" s="10" t="str">
        <f t="shared" ca="1" si="8"/>
        <v>SSFLAT__20260323_0000</v>
      </c>
      <c r="M156" t="b">
        <f>IF(ROW()-ROW($M$1) &lt;= FILLME!$G$4, TRUE, FALSE)</f>
        <v>0</v>
      </c>
      <c r="N156" t="b">
        <f>IF(ROW()-ROW($N$1) &lt;= FILLME!$G$5, TRUE, FALSE)</f>
        <v>0</v>
      </c>
      <c r="O156" t="b">
        <f>IF(ROW()-ROW($O$1) &lt;= FILLME!$G$7, TRUE, FALSE)</f>
        <v>0</v>
      </c>
      <c r="P156" t="b">
        <f>IF(ROW()-ROW($P$1) &lt;= FILLME!$G$6, TRUE, FALSE)</f>
        <v>0</v>
      </c>
      <c r="Q156" t="b">
        <f>IF(ROW()-ROW($Q$1) &lt;= FILLME!$G$8, TRUE, FALSE)</f>
        <v>0</v>
      </c>
      <c r="R156" t="b">
        <f>IF(ROW()-ROW($R$1) &lt;= FILLME!$G$9, TRUE, FALSE)</f>
        <v>0</v>
      </c>
      <c r="S156" t="b">
        <f>IF(ROW()-ROW($S$1) &lt;= FILLME!$G$10, TRUE, FALSE)</f>
        <v>0</v>
      </c>
      <c r="T156" t="b">
        <f>IF(ROW()-ROW($T$1) &lt;= FILLME!$G$11, TRUE, FALSE)</f>
        <v>0</v>
      </c>
    </row>
    <row r="157" spans="1:20" x14ac:dyDescent="0.25">
      <c r="A157" s="7" t="str">
        <f>FILLME!$B$7</f>
        <v>ISCO</v>
      </c>
      <c r="B157" t="str">
        <f>IF(FILLME!$B$3 = "", "", FILLME!$B$3)</f>
        <v>WWS</v>
      </c>
      <c r="C157" t="str">
        <f>IF(FILLME!$B$4 = "", "", FILLME!$B$4)</f>
        <v>SSFLAT</v>
      </c>
      <c r="D157" s="7" t="str">
        <f ca="1">TEXT(FILLME!$B$6,"yyyymmdd")</f>
        <v>20260323</v>
      </c>
      <c r="E157" s="8"/>
      <c r="F157" s="7">
        <f ca="1">IF(FILLME!$B$7="ISCO",FILLME!$B$6+FILLME!$B$11+(FILLME!$B$13*(G157-FILLME!$B$14)),FILLME!$B$6)</f>
        <v>46104.25</v>
      </c>
      <c r="G157" s="8"/>
      <c r="H157" s="8"/>
      <c r="I157" s="2"/>
      <c r="J157" s="9" t="str">
        <f t="shared" si="6"/>
        <v>_00</v>
      </c>
      <c r="K157" s="10" t="str">
        <f t="shared" ca="1" si="7"/>
        <v>SSFLAT__20260323_00</v>
      </c>
      <c r="L157" s="10" t="str">
        <f t="shared" ca="1" si="8"/>
        <v>SSFLAT__20260323_0000</v>
      </c>
      <c r="M157" t="b">
        <f>IF(ROW()-ROW($M$1) &lt;= FILLME!$G$4, TRUE, FALSE)</f>
        <v>0</v>
      </c>
      <c r="N157" t="b">
        <f>IF(ROW()-ROW($N$1) &lt;= FILLME!$G$5, TRUE, FALSE)</f>
        <v>0</v>
      </c>
      <c r="O157" t="b">
        <f>IF(ROW()-ROW($O$1) &lt;= FILLME!$G$7, TRUE, FALSE)</f>
        <v>0</v>
      </c>
      <c r="P157" t="b">
        <f>IF(ROW()-ROW($P$1) &lt;= FILLME!$G$6, TRUE, FALSE)</f>
        <v>0</v>
      </c>
      <c r="Q157" t="b">
        <f>IF(ROW()-ROW($Q$1) &lt;= FILLME!$G$8, TRUE, FALSE)</f>
        <v>0</v>
      </c>
      <c r="R157" t="b">
        <f>IF(ROW()-ROW($R$1) &lt;= FILLME!$G$9, TRUE, FALSE)</f>
        <v>0</v>
      </c>
      <c r="S157" t="b">
        <f>IF(ROW()-ROW($S$1) &lt;= FILLME!$G$10, TRUE, FALSE)</f>
        <v>0</v>
      </c>
      <c r="T157" t="b">
        <f>IF(ROW()-ROW($T$1) &lt;= FILLME!$G$11, TRUE, FALSE)</f>
        <v>0</v>
      </c>
    </row>
    <row r="158" spans="1:20" x14ac:dyDescent="0.25">
      <c r="A158" s="7" t="str">
        <f>FILLME!$B$7</f>
        <v>ISCO</v>
      </c>
      <c r="B158" t="str">
        <f>IF(FILLME!$B$3 = "", "", FILLME!$B$3)</f>
        <v>WWS</v>
      </c>
      <c r="C158" t="str">
        <f>IF(FILLME!$B$4 = "", "", FILLME!$B$4)</f>
        <v>SSFLAT</v>
      </c>
      <c r="D158" s="7" t="str">
        <f ca="1">TEXT(FILLME!$B$6,"yyyymmdd")</f>
        <v>20260323</v>
      </c>
      <c r="E158" s="8"/>
      <c r="F158" s="7">
        <f ca="1">IF(FILLME!$B$7="ISCO",FILLME!$B$6+FILLME!$B$11+(FILLME!$B$13*(G158-FILLME!$B$14)),FILLME!$B$6)</f>
        <v>46104.25</v>
      </c>
      <c r="G158" s="8"/>
      <c r="H158" s="8"/>
      <c r="I158" s="2"/>
      <c r="J158" s="9" t="str">
        <f t="shared" si="6"/>
        <v>_00</v>
      </c>
      <c r="K158" s="10" t="str">
        <f t="shared" ca="1" si="7"/>
        <v>SSFLAT__20260323_00</v>
      </c>
      <c r="L158" s="10" t="str">
        <f t="shared" ca="1" si="8"/>
        <v>SSFLAT__20260323_0000</v>
      </c>
      <c r="M158" t="b">
        <f>IF(ROW()-ROW($M$1) &lt;= FILLME!$G$4, TRUE, FALSE)</f>
        <v>0</v>
      </c>
      <c r="N158" t="b">
        <f>IF(ROW()-ROW($N$1) &lt;= FILLME!$G$5, TRUE, FALSE)</f>
        <v>0</v>
      </c>
      <c r="O158" t="b">
        <f>IF(ROW()-ROW($O$1) &lt;= FILLME!$G$7, TRUE, FALSE)</f>
        <v>0</v>
      </c>
      <c r="P158" t="b">
        <f>IF(ROW()-ROW($P$1) &lt;= FILLME!$G$6, TRUE, FALSE)</f>
        <v>0</v>
      </c>
      <c r="Q158" t="b">
        <f>IF(ROW()-ROW($Q$1) &lt;= FILLME!$G$8, TRUE, FALSE)</f>
        <v>0</v>
      </c>
      <c r="R158" t="b">
        <f>IF(ROW()-ROW($R$1) &lt;= FILLME!$G$9, TRUE, FALSE)</f>
        <v>0</v>
      </c>
      <c r="S158" t="b">
        <f>IF(ROW()-ROW($S$1) &lt;= FILLME!$G$10, TRUE, FALSE)</f>
        <v>0</v>
      </c>
      <c r="T158" t="b">
        <f>IF(ROW()-ROW($T$1) &lt;= FILLME!$G$11, TRUE, FALSE)</f>
        <v>0</v>
      </c>
    </row>
    <row r="159" spans="1:20" x14ac:dyDescent="0.25">
      <c r="A159" s="7" t="str">
        <f>FILLME!$B$7</f>
        <v>ISCO</v>
      </c>
      <c r="B159" t="str">
        <f>IF(FILLME!$B$3 = "", "", FILLME!$B$3)</f>
        <v>WWS</v>
      </c>
      <c r="C159" t="str">
        <f>IF(FILLME!$B$4 = "", "", FILLME!$B$4)</f>
        <v>SSFLAT</v>
      </c>
      <c r="D159" s="7" t="str">
        <f ca="1">TEXT(FILLME!$B$6,"yyyymmdd")</f>
        <v>20260323</v>
      </c>
      <c r="E159" s="8"/>
      <c r="F159" s="7">
        <f ca="1">IF(FILLME!$B$7="ISCO",FILLME!$B$6+FILLME!$B$11+(FILLME!$B$13*(G159-FILLME!$B$14)),FILLME!$B$6)</f>
        <v>46104.25</v>
      </c>
      <c r="G159" s="8"/>
      <c r="H159" s="8"/>
      <c r="I159" s="2"/>
      <c r="J159" s="9" t="str">
        <f t="shared" si="6"/>
        <v>_00</v>
      </c>
      <c r="K159" s="10" t="str">
        <f t="shared" ca="1" si="7"/>
        <v>SSFLAT__20260323_00</v>
      </c>
      <c r="L159" s="10" t="str">
        <f t="shared" ca="1" si="8"/>
        <v>SSFLAT__20260323_0000</v>
      </c>
      <c r="M159" t="b">
        <f>IF(ROW()-ROW($M$1) &lt;= FILLME!$G$4, TRUE, FALSE)</f>
        <v>0</v>
      </c>
      <c r="N159" t="b">
        <f>IF(ROW()-ROW($N$1) &lt;= FILLME!$G$5, TRUE, FALSE)</f>
        <v>0</v>
      </c>
      <c r="O159" t="b">
        <f>IF(ROW()-ROW($O$1) &lt;= FILLME!$G$7, TRUE, FALSE)</f>
        <v>0</v>
      </c>
      <c r="P159" t="b">
        <f>IF(ROW()-ROW($P$1) &lt;= FILLME!$G$6, TRUE, FALSE)</f>
        <v>0</v>
      </c>
      <c r="Q159" t="b">
        <f>IF(ROW()-ROW($Q$1) &lt;= FILLME!$G$8, TRUE, FALSE)</f>
        <v>0</v>
      </c>
      <c r="R159" t="b">
        <f>IF(ROW()-ROW($R$1) &lt;= FILLME!$G$9, TRUE, FALSE)</f>
        <v>0</v>
      </c>
      <c r="S159" t="b">
        <f>IF(ROW()-ROW($S$1) &lt;= FILLME!$G$10, TRUE, FALSE)</f>
        <v>0</v>
      </c>
      <c r="T159" t="b">
        <f>IF(ROW()-ROW($T$1) &lt;= FILLME!$G$11, TRUE, FALSE)</f>
        <v>0</v>
      </c>
    </row>
    <row r="160" spans="1:20" x14ac:dyDescent="0.25">
      <c r="A160" s="7" t="str">
        <f>FILLME!$B$7</f>
        <v>ISCO</v>
      </c>
      <c r="B160" t="str">
        <f>IF(FILLME!$B$3 = "", "", FILLME!$B$3)</f>
        <v>WWS</v>
      </c>
      <c r="C160" t="str">
        <f>IF(FILLME!$B$4 = "", "", FILLME!$B$4)</f>
        <v>SSFLAT</v>
      </c>
      <c r="D160" s="7" t="str">
        <f ca="1">TEXT(FILLME!$B$6,"yyyymmdd")</f>
        <v>20260323</v>
      </c>
      <c r="E160" s="8"/>
      <c r="F160" s="7">
        <f ca="1">IF(FILLME!$B$7="ISCO",FILLME!$B$6+FILLME!$B$11+(FILLME!$B$13*(G160-FILLME!$B$14)),FILLME!$B$6)</f>
        <v>46104.25</v>
      </c>
      <c r="G160" s="8"/>
      <c r="H160" s="8"/>
      <c r="I160" s="2"/>
      <c r="J160" s="9" t="str">
        <f t="shared" si="6"/>
        <v>_00</v>
      </c>
      <c r="K160" s="10" t="str">
        <f t="shared" ca="1" si="7"/>
        <v>SSFLAT__20260323_00</v>
      </c>
      <c r="L160" s="10" t="str">
        <f t="shared" ca="1" si="8"/>
        <v>SSFLAT__20260323_0000</v>
      </c>
      <c r="M160" t="b">
        <f>IF(ROW()-ROW($M$1) &lt;= FILLME!$G$4, TRUE, FALSE)</f>
        <v>0</v>
      </c>
      <c r="N160" t="b">
        <f>IF(ROW()-ROW($N$1) &lt;= FILLME!$G$5, TRUE, FALSE)</f>
        <v>0</v>
      </c>
      <c r="O160" t="b">
        <f>IF(ROW()-ROW($O$1) &lt;= FILLME!$G$7, TRUE, FALSE)</f>
        <v>0</v>
      </c>
      <c r="P160" t="b">
        <f>IF(ROW()-ROW($P$1) &lt;= FILLME!$G$6, TRUE, FALSE)</f>
        <v>0</v>
      </c>
      <c r="Q160" t="b">
        <f>IF(ROW()-ROW($Q$1) &lt;= FILLME!$G$8, TRUE, FALSE)</f>
        <v>0</v>
      </c>
      <c r="R160" t="b">
        <f>IF(ROW()-ROW($R$1) &lt;= FILLME!$G$9, TRUE, FALSE)</f>
        <v>0</v>
      </c>
      <c r="S160" t="b">
        <f>IF(ROW()-ROW($S$1) &lt;= FILLME!$G$10, TRUE, FALSE)</f>
        <v>0</v>
      </c>
      <c r="T160" t="b">
        <f>IF(ROW()-ROW($T$1) &lt;= FILLME!$G$11, TRUE, FALSE)</f>
        <v>0</v>
      </c>
    </row>
    <row r="161" spans="1:20" x14ac:dyDescent="0.25">
      <c r="A161" s="7" t="str">
        <f>FILLME!$B$7</f>
        <v>ISCO</v>
      </c>
      <c r="B161" t="str">
        <f>IF(FILLME!$B$3 = "", "", FILLME!$B$3)</f>
        <v>WWS</v>
      </c>
      <c r="C161" t="str">
        <f>IF(FILLME!$B$4 = "", "", FILLME!$B$4)</f>
        <v>SSFLAT</v>
      </c>
      <c r="D161" s="7" t="str">
        <f ca="1">TEXT(FILLME!$B$6,"yyyymmdd")</f>
        <v>20260323</v>
      </c>
      <c r="E161" s="8"/>
      <c r="F161" s="7">
        <f ca="1">IF(FILLME!$B$7="ISCO",FILLME!$B$6+FILLME!$B$11+(FILLME!$B$13*(G161-FILLME!$B$14)),FILLME!$B$6)</f>
        <v>46104.25</v>
      </c>
      <c r="G161" s="8"/>
      <c r="H161" s="8"/>
      <c r="I161" s="2"/>
      <c r="J161" s="9" t="str">
        <f t="shared" si="6"/>
        <v>_00</v>
      </c>
      <c r="K161" s="10" t="str">
        <f t="shared" ca="1" si="7"/>
        <v>SSFLAT__20260323_00</v>
      </c>
      <c r="L161" s="10" t="str">
        <f t="shared" ca="1" si="8"/>
        <v>SSFLAT__20260323_0000</v>
      </c>
      <c r="M161" t="b">
        <f>IF(ROW()-ROW($M$1) &lt;= FILLME!$G$4, TRUE, FALSE)</f>
        <v>0</v>
      </c>
      <c r="N161" t="b">
        <f>IF(ROW()-ROW($N$1) &lt;= FILLME!$G$5, TRUE, FALSE)</f>
        <v>0</v>
      </c>
      <c r="O161" t="b">
        <f>IF(ROW()-ROW($O$1) &lt;= FILLME!$G$7, TRUE, FALSE)</f>
        <v>0</v>
      </c>
      <c r="P161" t="b">
        <f>IF(ROW()-ROW($P$1) &lt;= FILLME!$G$6, TRUE, FALSE)</f>
        <v>0</v>
      </c>
      <c r="Q161" t="b">
        <f>IF(ROW()-ROW($Q$1) &lt;= FILLME!$G$8, TRUE, FALSE)</f>
        <v>0</v>
      </c>
      <c r="R161" t="b">
        <f>IF(ROW()-ROW($R$1) &lt;= FILLME!$G$9, TRUE, FALSE)</f>
        <v>0</v>
      </c>
      <c r="S161" t="b">
        <f>IF(ROW()-ROW($S$1) &lt;= FILLME!$G$10, TRUE, FALSE)</f>
        <v>0</v>
      </c>
      <c r="T161" t="b">
        <f>IF(ROW()-ROW($T$1) &lt;= FILLME!$G$11, TRUE, FALSE)</f>
        <v>0</v>
      </c>
    </row>
    <row r="162" spans="1:20" x14ac:dyDescent="0.25">
      <c r="A162" s="7" t="str">
        <f>FILLME!$B$7</f>
        <v>ISCO</v>
      </c>
      <c r="B162" t="str">
        <f>IF(FILLME!$B$3 = "", "", FILLME!$B$3)</f>
        <v>WWS</v>
      </c>
      <c r="C162" t="str">
        <f>IF(FILLME!$B$4 = "", "", FILLME!$B$4)</f>
        <v>SSFLAT</v>
      </c>
      <c r="D162" s="7" t="str">
        <f ca="1">TEXT(FILLME!$B$6,"yyyymmdd")</f>
        <v>20260323</v>
      </c>
      <c r="E162" s="8"/>
      <c r="F162" s="7">
        <f ca="1">IF(FILLME!$B$7="ISCO",FILLME!$B$6+FILLME!$B$11+(FILLME!$B$13*(G162-FILLME!$B$14)),FILLME!$B$6)</f>
        <v>46104.25</v>
      </c>
      <c r="G162" s="8"/>
      <c r="H162" s="8"/>
      <c r="I162" s="2"/>
      <c r="J162" s="9" t="str">
        <f t="shared" si="6"/>
        <v>_00</v>
      </c>
      <c r="K162" s="10" t="str">
        <f t="shared" ca="1" si="7"/>
        <v>SSFLAT__20260323_00</v>
      </c>
      <c r="L162" s="10" t="str">
        <f t="shared" ca="1" si="8"/>
        <v>SSFLAT__20260323_0000</v>
      </c>
      <c r="M162" t="b">
        <f>IF(ROW()-ROW($M$1) &lt;= FILLME!$G$4, TRUE, FALSE)</f>
        <v>0</v>
      </c>
      <c r="N162" t="b">
        <f>IF(ROW()-ROW($N$1) &lt;= FILLME!$G$5, TRUE, FALSE)</f>
        <v>0</v>
      </c>
      <c r="O162" t="b">
        <f>IF(ROW()-ROW($O$1) &lt;= FILLME!$G$7, TRUE, FALSE)</f>
        <v>0</v>
      </c>
      <c r="P162" t="b">
        <f>IF(ROW()-ROW($P$1) &lt;= FILLME!$G$6, TRUE, FALSE)</f>
        <v>0</v>
      </c>
      <c r="Q162" t="b">
        <f>IF(ROW()-ROW($Q$1) &lt;= FILLME!$G$8, TRUE, FALSE)</f>
        <v>0</v>
      </c>
      <c r="R162" t="b">
        <f>IF(ROW()-ROW($R$1) &lt;= FILLME!$G$9, TRUE, FALSE)</f>
        <v>0</v>
      </c>
      <c r="S162" t="b">
        <f>IF(ROW()-ROW($S$1) &lt;= FILLME!$G$10, TRUE, FALSE)</f>
        <v>0</v>
      </c>
      <c r="T162" t="b">
        <f>IF(ROW()-ROW($T$1) &lt;= FILLME!$G$11, TRUE, FALSE)</f>
        <v>0</v>
      </c>
    </row>
    <row r="163" spans="1:20" x14ac:dyDescent="0.25">
      <c r="A163" s="7" t="str">
        <f>FILLME!$B$7</f>
        <v>ISCO</v>
      </c>
      <c r="B163" t="str">
        <f>IF(FILLME!$B$3 = "", "", FILLME!$B$3)</f>
        <v>WWS</v>
      </c>
      <c r="C163" t="str">
        <f>IF(FILLME!$B$4 = "", "", FILLME!$B$4)</f>
        <v>SSFLAT</v>
      </c>
      <c r="D163" s="7" t="str">
        <f ca="1">TEXT(FILLME!$B$6,"yyyymmdd")</f>
        <v>20260323</v>
      </c>
      <c r="E163" s="8"/>
      <c r="F163" s="7">
        <f ca="1">IF(FILLME!$B$7="ISCO",FILLME!$B$6+FILLME!$B$11+(FILLME!$B$13*(G163-FILLME!$B$14)),FILLME!$B$6)</f>
        <v>46104.25</v>
      </c>
      <c r="G163" s="8"/>
      <c r="H163" s="8"/>
      <c r="I163" s="2"/>
      <c r="J163" s="9" t="str">
        <f t="shared" si="6"/>
        <v>_00</v>
      </c>
      <c r="K163" s="10" t="str">
        <f t="shared" ca="1" si="7"/>
        <v>SSFLAT__20260323_00</v>
      </c>
      <c r="L163" s="10" t="str">
        <f t="shared" ca="1" si="8"/>
        <v>SSFLAT__20260323_0000</v>
      </c>
      <c r="M163" t="b">
        <f>IF(ROW()-ROW($M$1) &lt;= FILLME!$G$4, TRUE, FALSE)</f>
        <v>0</v>
      </c>
      <c r="N163" t="b">
        <f>IF(ROW()-ROW($N$1) &lt;= FILLME!$G$5, TRUE, FALSE)</f>
        <v>0</v>
      </c>
      <c r="O163" t="b">
        <f>IF(ROW()-ROW($O$1) &lt;= FILLME!$G$7, TRUE, FALSE)</f>
        <v>0</v>
      </c>
      <c r="P163" t="b">
        <f>IF(ROW()-ROW($P$1) &lt;= FILLME!$G$6, TRUE, FALSE)</f>
        <v>0</v>
      </c>
      <c r="Q163" t="b">
        <f>IF(ROW()-ROW($Q$1) &lt;= FILLME!$G$8, TRUE, FALSE)</f>
        <v>0</v>
      </c>
      <c r="R163" t="b">
        <f>IF(ROW()-ROW($R$1) &lt;= FILLME!$G$9, TRUE, FALSE)</f>
        <v>0</v>
      </c>
      <c r="S163" t="b">
        <f>IF(ROW()-ROW($S$1) &lt;= FILLME!$G$10, TRUE, FALSE)</f>
        <v>0</v>
      </c>
      <c r="T163" t="b">
        <f>IF(ROW()-ROW($T$1) &lt;= FILLME!$G$11, TRUE, FALSE)</f>
        <v>0</v>
      </c>
    </row>
    <row r="164" spans="1:20" x14ac:dyDescent="0.25">
      <c r="A164" s="7" t="str">
        <f>FILLME!$B$7</f>
        <v>ISCO</v>
      </c>
      <c r="B164" t="str">
        <f>IF(FILLME!$B$3 = "", "", FILLME!$B$3)</f>
        <v>WWS</v>
      </c>
      <c r="C164" t="str">
        <f>IF(FILLME!$B$4 = "", "", FILLME!$B$4)</f>
        <v>SSFLAT</v>
      </c>
      <c r="D164" s="7" t="str">
        <f ca="1">TEXT(FILLME!$B$6,"yyyymmdd")</f>
        <v>20260323</v>
      </c>
      <c r="E164" s="8"/>
      <c r="F164" s="7">
        <f ca="1">IF(FILLME!$B$7="ISCO",FILLME!$B$6+FILLME!$B$11+(FILLME!$B$13*(G164-FILLME!$B$14)),FILLME!$B$6)</f>
        <v>46104.25</v>
      </c>
      <c r="G164" s="8"/>
      <c r="H164" s="8"/>
      <c r="I164" s="2"/>
      <c r="J164" s="9" t="str">
        <f t="shared" si="6"/>
        <v>_00</v>
      </c>
      <c r="K164" s="10" t="str">
        <f t="shared" ca="1" si="7"/>
        <v>SSFLAT__20260323_00</v>
      </c>
      <c r="L164" s="10" t="str">
        <f t="shared" ca="1" si="8"/>
        <v>SSFLAT__20260323_0000</v>
      </c>
      <c r="M164" t="b">
        <f>IF(ROW()-ROW($M$1) &lt;= FILLME!$G$4, TRUE, FALSE)</f>
        <v>0</v>
      </c>
      <c r="N164" t="b">
        <f>IF(ROW()-ROW($N$1) &lt;= FILLME!$G$5, TRUE, FALSE)</f>
        <v>0</v>
      </c>
      <c r="O164" t="b">
        <f>IF(ROW()-ROW($O$1) &lt;= FILLME!$G$7, TRUE, FALSE)</f>
        <v>0</v>
      </c>
      <c r="P164" t="b">
        <f>IF(ROW()-ROW($P$1) &lt;= FILLME!$G$6, TRUE, FALSE)</f>
        <v>0</v>
      </c>
      <c r="Q164" t="b">
        <f>IF(ROW()-ROW($Q$1) &lt;= FILLME!$G$8, TRUE, FALSE)</f>
        <v>0</v>
      </c>
      <c r="R164" t="b">
        <f>IF(ROW()-ROW($R$1) &lt;= FILLME!$G$9, TRUE, FALSE)</f>
        <v>0</v>
      </c>
      <c r="S164" t="b">
        <f>IF(ROW()-ROW($S$1) &lt;= FILLME!$G$10, TRUE, FALSE)</f>
        <v>0</v>
      </c>
      <c r="T164" t="b">
        <f>IF(ROW()-ROW($T$1) &lt;= FILLME!$G$11, TRUE, FALSE)</f>
        <v>0</v>
      </c>
    </row>
    <row r="165" spans="1:20" x14ac:dyDescent="0.25">
      <c r="A165" s="7" t="str">
        <f>FILLME!$B$7</f>
        <v>ISCO</v>
      </c>
      <c r="B165" t="str">
        <f>IF(FILLME!$B$3 = "", "", FILLME!$B$3)</f>
        <v>WWS</v>
      </c>
      <c r="C165" t="str">
        <f>IF(FILLME!$B$4 = "", "", FILLME!$B$4)</f>
        <v>SSFLAT</v>
      </c>
      <c r="D165" s="7" t="str">
        <f ca="1">TEXT(FILLME!$B$6,"yyyymmdd")</f>
        <v>20260323</v>
      </c>
      <c r="E165" s="8"/>
      <c r="F165" s="7">
        <f ca="1">IF(FILLME!$B$7="ISCO",FILLME!$B$6+FILLME!$B$11+(FILLME!$B$13*(G165-FILLME!$B$14)),FILLME!$B$6)</f>
        <v>46104.25</v>
      </c>
      <c r="G165" s="8"/>
      <c r="H165" s="8"/>
      <c r="I165" s="2"/>
      <c r="J165" s="9" t="str">
        <f t="shared" si="6"/>
        <v>_00</v>
      </c>
      <c r="K165" s="10" t="str">
        <f t="shared" ca="1" si="7"/>
        <v>SSFLAT__20260323_00</v>
      </c>
      <c r="L165" s="10" t="str">
        <f t="shared" ca="1" si="8"/>
        <v>SSFLAT__20260323_0000</v>
      </c>
      <c r="M165" t="b">
        <f>IF(ROW()-ROW($M$1) &lt;= FILLME!$G$4, TRUE, FALSE)</f>
        <v>0</v>
      </c>
      <c r="N165" t="b">
        <f>IF(ROW()-ROW($N$1) &lt;= FILLME!$G$5, TRUE, FALSE)</f>
        <v>0</v>
      </c>
      <c r="O165" t="b">
        <f>IF(ROW()-ROW($O$1) &lt;= FILLME!$G$7, TRUE, FALSE)</f>
        <v>0</v>
      </c>
      <c r="P165" t="b">
        <f>IF(ROW()-ROW($P$1) &lt;= FILLME!$G$6, TRUE, FALSE)</f>
        <v>0</v>
      </c>
      <c r="Q165" t="b">
        <f>IF(ROW()-ROW($Q$1) &lt;= FILLME!$G$8, TRUE, FALSE)</f>
        <v>0</v>
      </c>
      <c r="R165" t="b">
        <f>IF(ROW()-ROW($R$1) &lt;= FILLME!$G$9, TRUE, FALSE)</f>
        <v>0</v>
      </c>
      <c r="S165" t="b">
        <f>IF(ROW()-ROW($S$1) &lt;= FILLME!$G$10, TRUE, FALSE)</f>
        <v>0</v>
      </c>
      <c r="T165" t="b">
        <f>IF(ROW()-ROW($T$1) &lt;= FILLME!$G$11, TRUE, FALSE)</f>
        <v>0</v>
      </c>
    </row>
    <row r="166" spans="1:20" x14ac:dyDescent="0.25">
      <c r="A166" s="7" t="str">
        <f>FILLME!$B$7</f>
        <v>ISCO</v>
      </c>
      <c r="B166" t="str">
        <f>IF(FILLME!$B$3 = "", "", FILLME!$B$3)</f>
        <v>WWS</v>
      </c>
      <c r="C166" t="str">
        <f>IF(FILLME!$B$4 = "", "", FILLME!$B$4)</f>
        <v>SSFLAT</v>
      </c>
      <c r="D166" s="7" t="str">
        <f ca="1">TEXT(FILLME!$B$6,"yyyymmdd")</f>
        <v>20260323</v>
      </c>
      <c r="E166" s="8"/>
      <c r="F166" s="7">
        <f ca="1">IF(FILLME!$B$7="ISCO",FILLME!$B$6+FILLME!$B$11+(FILLME!$B$13*(G166-FILLME!$B$14)),FILLME!$B$6)</f>
        <v>46104.25</v>
      </c>
      <c r="G166" s="8"/>
      <c r="H166" s="8"/>
      <c r="I166" s="2"/>
      <c r="J166" s="9" t="str">
        <f t="shared" si="6"/>
        <v>_00</v>
      </c>
      <c r="K166" s="10" t="str">
        <f t="shared" ca="1" si="7"/>
        <v>SSFLAT__20260323_00</v>
      </c>
      <c r="L166" s="10" t="str">
        <f t="shared" ca="1" si="8"/>
        <v>SSFLAT__20260323_0000</v>
      </c>
      <c r="M166" t="b">
        <f>IF(ROW()-ROW($M$1) &lt;= FILLME!$G$4, TRUE, FALSE)</f>
        <v>0</v>
      </c>
      <c r="N166" t="b">
        <f>IF(ROW()-ROW($N$1) &lt;= FILLME!$G$5, TRUE, FALSE)</f>
        <v>0</v>
      </c>
      <c r="O166" t="b">
        <f>IF(ROW()-ROW($O$1) &lt;= FILLME!$G$7, TRUE, FALSE)</f>
        <v>0</v>
      </c>
      <c r="P166" t="b">
        <f>IF(ROW()-ROW($P$1) &lt;= FILLME!$G$6, TRUE, FALSE)</f>
        <v>0</v>
      </c>
      <c r="Q166" t="b">
        <f>IF(ROW()-ROW($Q$1) &lt;= FILLME!$G$8, TRUE, FALSE)</f>
        <v>0</v>
      </c>
      <c r="R166" t="b">
        <f>IF(ROW()-ROW($R$1) &lt;= FILLME!$G$9, TRUE, FALSE)</f>
        <v>0</v>
      </c>
      <c r="S166" t="b">
        <f>IF(ROW()-ROW($S$1) &lt;= FILLME!$G$10, TRUE, FALSE)</f>
        <v>0</v>
      </c>
      <c r="T166" t="b">
        <f>IF(ROW()-ROW($T$1) &lt;= FILLME!$G$11, TRUE, FALSE)</f>
        <v>0</v>
      </c>
    </row>
    <row r="167" spans="1:20" x14ac:dyDescent="0.25">
      <c r="A167" s="7" t="str">
        <f>FILLME!$B$7</f>
        <v>ISCO</v>
      </c>
      <c r="B167" t="str">
        <f>IF(FILLME!$B$3 = "", "", FILLME!$B$3)</f>
        <v>WWS</v>
      </c>
      <c r="C167" t="str">
        <f>IF(FILLME!$B$4 = "", "", FILLME!$B$4)</f>
        <v>SSFLAT</v>
      </c>
      <c r="D167" s="7" t="str">
        <f ca="1">TEXT(FILLME!$B$6,"yyyymmdd")</f>
        <v>20260323</v>
      </c>
      <c r="E167" s="8"/>
      <c r="F167" s="7">
        <f ca="1">IF(FILLME!$B$7="ISCO",FILLME!$B$6+FILLME!$B$11+(FILLME!$B$13*(G167-FILLME!$B$14)),FILLME!$B$6)</f>
        <v>46104.25</v>
      </c>
      <c r="G167" s="8"/>
      <c r="H167" s="8"/>
      <c r="I167" s="2"/>
      <c r="J167" s="9" t="str">
        <f t="shared" si="6"/>
        <v>_00</v>
      </c>
      <c r="K167" s="10" t="str">
        <f t="shared" ca="1" si="7"/>
        <v>SSFLAT__20260323_00</v>
      </c>
      <c r="L167" s="10" t="str">
        <f t="shared" ca="1" si="8"/>
        <v>SSFLAT__20260323_0000</v>
      </c>
      <c r="M167" t="b">
        <f>IF(ROW()-ROW($M$1) &lt;= FILLME!$G$4, TRUE, FALSE)</f>
        <v>0</v>
      </c>
      <c r="N167" t="b">
        <f>IF(ROW()-ROW($N$1) &lt;= FILLME!$G$5, TRUE, FALSE)</f>
        <v>0</v>
      </c>
      <c r="O167" t="b">
        <f>IF(ROW()-ROW($O$1) &lt;= FILLME!$G$7, TRUE, FALSE)</f>
        <v>0</v>
      </c>
      <c r="P167" t="b">
        <f>IF(ROW()-ROW($P$1) &lt;= FILLME!$G$6, TRUE, FALSE)</f>
        <v>0</v>
      </c>
      <c r="Q167" t="b">
        <f>IF(ROW()-ROW($Q$1) &lt;= FILLME!$G$8, TRUE, FALSE)</f>
        <v>0</v>
      </c>
      <c r="R167" t="b">
        <f>IF(ROW()-ROW($R$1) &lt;= FILLME!$G$9, TRUE, FALSE)</f>
        <v>0</v>
      </c>
      <c r="S167" t="b">
        <f>IF(ROW()-ROW($S$1) &lt;= FILLME!$G$10, TRUE, FALSE)</f>
        <v>0</v>
      </c>
      <c r="T167" t="b">
        <f>IF(ROW()-ROW($T$1) &lt;= FILLME!$G$11, TRUE, FALSE)</f>
        <v>0</v>
      </c>
    </row>
    <row r="168" spans="1:20" x14ac:dyDescent="0.25">
      <c r="A168" s="7" t="str">
        <f>FILLME!$B$7</f>
        <v>ISCO</v>
      </c>
      <c r="B168" t="str">
        <f>IF(FILLME!$B$3 = "", "", FILLME!$B$3)</f>
        <v>WWS</v>
      </c>
      <c r="C168" t="str">
        <f>IF(FILLME!$B$4 = "", "", FILLME!$B$4)</f>
        <v>SSFLAT</v>
      </c>
      <c r="D168" s="7" t="str">
        <f ca="1">TEXT(FILLME!$B$6,"yyyymmdd")</f>
        <v>20260323</v>
      </c>
      <c r="E168" s="8"/>
      <c r="F168" s="7">
        <f ca="1">IF(FILLME!$B$7="ISCO",FILLME!$B$6+FILLME!$B$11+(FILLME!$B$13*(G168-FILLME!$B$14)),FILLME!$B$6)</f>
        <v>46104.25</v>
      </c>
      <c r="G168" s="8"/>
      <c r="H168" s="8"/>
      <c r="I168" s="2"/>
      <c r="J168" s="9" t="str">
        <f t="shared" si="6"/>
        <v>_00</v>
      </c>
      <c r="K168" s="10" t="str">
        <f t="shared" ca="1" si="7"/>
        <v>SSFLAT__20260323_00</v>
      </c>
      <c r="L168" s="10" t="str">
        <f t="shared" ca="1" si="8"/>
        <v>SSFLAT__20260323_0000</v>
      </c>
      <c r="M168" t="b">
        <f>IF(ROW()-ROW($M$1) &lt;= FILLME!$G$4, TRUE, FALSE)</f>
        <v>0</v>
      </c>
      <c r="N168" t="b">
        <f>IF(ROW()-ROW($N$1) &lt;= FILLME!$G$5, TRUE, FALSE)</f>
        <v>0</v>
      </c>
      <c r="O168" t="b">
        <f>IF(ROW()-ROW($O$1) &lt;= FILLME!$G$7, TRUE, FALSE)</f>
        <v>0</v>
      </c>
      <c r="P168" t="b">
        <f>IF(ROW()-ROW($P$1) &lt;= FILLME!$G$6, TRUE, FALSE)</f>
        <v>0</v>
      </c>
      <c r="Q168" t="b">
        <f>IF(ROW()-ROW($Q$1) &lt;= FILLME!$G$8, TRUE, FALSE)</f>
        <v>0</v>
      </c>
      <c r="R168" t="b">
        <f>IF(ROW()-ROW($R$1) &lt;= FILLME!$G$9, TRUE, FALSE)</f>
        <v>0</v>
      </c>
      <c r="S168" t="b">
        <f>IF(ROW()-ROW($S$1) &lt;= FILLME!$G$10, TRUE, FALSE)</f>
        <v>0</v>
      </c>
      <c r="T168" t="b">
        <f>IF(ROW()-ROW($T$1) &lt;= FILLME!$G$11, TRUE, FALSE)</f>
        <v>0</v>
      </c>
    </row>
    <row r="169" spans="1:20" x14ac:dyDescent="0.25">
      <c r="A169" s="7" t="str">
        <f>FILLME!$B$7</f>
        <v>ISCO</v>
      </c>
      <c r="B169" t="str">
        <f>IF(FILLME!$B$3 = "", "", FILLME!$B$3)</f>
        <v>WWS</v>
      </c>
      <c r="C169" t="str">
        <f>IF(FILLME!$B$4 = "", "", FILLME!$B$4)</f>
        <v>SSFLAT</v>
      </c>
      <c r="D169" s="7" t="str">
        <f ca="1">TEXT(FILLME!$B$6,"yyyymmdd")</f>
        <v>20260323</v>
      </c>
      <c r="E169" s="8"/>
      <c r="F169" s="7">
        <f ca="1">IF(FILLME!$B$7="ISCO",FILLME!$B$6+FILLME!$B$11+(FILLME!$B$13*(G169-FILLME!$B$14)),FILLME!$B$6)</f>
        <v>46104.25</v>
      </c>
      <c r="G169" s="8"/>
      <c r="H169" s="8"/>
      <c r="I169" s="2"/>
      <c r="J169" s="9" t="str">
        <f t="shared" si="6"/>
        <v>_00</v>
      </c>
      <c r="K169" s="10" t="str">
        <f t="shared" ca="1" si="7"/>
        <v>SSFLAT__20260323_00</v>
      </c>
      <c r="L169" s="10" t="str">
        <f t="shared" ca="1" si="8"/>
        <v>SSFLAT__20260323_0000</v>
      </c>
      <c r="M169" t="b">
        <f>IF(ROW()-ROW($M$1) &lt;= FILLME!$G$4, TRUE, FALSE)</f>
        <v>0</v>
      </c>
      <c r="N169" t="b">
        <f>IF(ROW()-ROW($N$1) &lt;= FILLME!$G$5, TRUE, FALSE)</f>
        <v>0</v>
      </c>
      <c r="O169" t="b">
        <f>IF(ROW()-ROW($O$1) &lt;= FILLME!$G$7, TRUE, FALSE)</f>
        <v>0</v>
      </c>
      <c r="P169" t="b">
        <f>IF(ROW()-ROW($P$1) &lt;= FILLME!$G$6, TRUE, FALSE)</f>
        <v>0</v>
      </c>
      <c r="Q169" t="b">
        <f>IF(ROW()-ROW($Q$1) &lt;= FILLME!$G$8, TRUE, FALSE)</f>
        <v>0</v>
      </c>
      <c r="R169" t="b">
        <f>IF(ROW()-ROW($R$1) &lt;= FILLME!$G$9, TRUE, FALSE)</f>
        <v>0</v>
      </c>
      <c r="S169" t="b">
        <f>IF(ROW()-ROW($S$1) &lt;= FILLME!$G$10, TRUE, FALSE)</f>
        <v>0</v>
      </c>
      <c r="T169" t="b">
        <f>IF(ROW()-ROW($T$1) &lt;= FILLME!$G$11, TRUE, FALSE)</f>
        <v>0</v>
      </c>
    </row>
    <row r="170" spans="1:20" x14ac:dyDescent="0.25">
      <c r="A170" s="7" t="str">
        <f>FILLME!$B$7</f>
        <v>ISCO</v>
      </c>
      <c r="B170" t="str">
        <f>IF(FILLME!$B$3 = "", "", FILLME!$B$3)</f>
        <v>WWS</v>
      </c>
      <c r="C170" t="str">
        <f>IF(FILLME!$B$4 = "", "", FILLME!$B$4)</f>
        <v>SSFLAT</v>
      </c>
      <c r="D170" s="7" t="str">
        <f ca="1">TEXT(FILLME!$B$6,"yyyymmdd")</f>
        <v>20260323</v>
      </c>
      <c r="E170" s="8"/>
      <c r="F170" s="7">
        <f ca="1">IF(FILLME!$B$7="ISCO",FILLME!$B$6+FILLME!$B$11+(FILLME!$B$13*(G170-FILLME!$B$14)),FILLME!$B$6)</f>
        <v>46104.25</v>
      </c>
      <c r="G170" s="8"/>
      <c r="H170" s="8"/>
      <c r="I170" s="2"/>
      <c r="J170" s="9" t="str">
        <f t="shared" si="6"/>
        <v>_00</v>
      </c>
      <c r="K170" s="10" t="str">
        <f t="shared" ca="1" si="7"/>
        <v>SSFLAT__20260323_00</v>
      </c>
      <c r="L170" s="10" t="str">
        <f t="shared" ca="1" si="8"/>
        <v>SSFLAT__20260323_0000</v>
      </c>
      <c r="M170" t="b">
        <f>IF(ROW()-ROW($M$1) &lt;= FILLME!$G$4, TRUE, FALSE)</f>
        <v>0</v>
      </c>
      <c r="N170" t="b">
        <f>IF(ROW()-ROW($N$1) &lt;= FILLME!$G$5, TRUE, FALSE)</f>
        <v>0</v>
      </c>
      <c r="O170" t="b">
        <f>IF(ROW()-ROW($O$1) &lt;= FILLME!$G$7, TRUE, FALSE)</f>
        <v>0</v>
      </c>
      <c r="P170" t="b">
        <f>IF(ROW()-ROW($P$1) &lt;= FILLME!$G$6, TRUE, FALSE)</f>
        <v>0</v>
      </c>
      <c r="Q170" t="b">
        <f>IF(ROW()-ROW($Q$1) &lt;= FILLME!$G$8, TRUE, FALSE)</f>
        <v>0</v>
      </c>
      <c r="R170" t="b">
        <f>IF(ROW()-ROW($R$1) &lt;= FILLME!$G$9, TRUE, FALSE)</f>
        <v>0</v>
      </c>
      <c r="S170" t="b">
        <f>IF(ROW()-ROW($S$1) &lt;= FILLME!$G$10, TRUE, FALSE)</f>
        <v>0</v>
      </c>
      <c r="T170" t="b">
        <f>IF(ROW()-ROW($T$1) &lt;= FILLME!$G$11, TRUE, FALSE)</f>
        <v>0</v>
      </c>
    </row>
    <row r="171" spans="1:20" x14ac:dyDescent="0.25">
      <c r="A171" s="7" t="str">
        <f>FILLME!$B$7</f>
        <v>ISCO</v>
      </c>
      <c r="B171" t="str">
        <f>IF(FILLME!$B$3 = "", "", FILLME!$B$3)</f>
        <v>WWS</v>
      </c>
      <c r="C171" t="str">
        <f>IF(FILLME!$B$4 = "", "", FILLME!$B$4)</f>
        <v>SSFLAT</v>
      </c>
      <c r="D171" s="7" t="str">
        <f ca="1">TEXT(FILLME!$B$6,"yyyymmdd")</f>
        <v>20260323</v>
      </c>
      <c r="E171" s="8"/>
      <c r="F171" s="7">
        <f ca="1">IF(FILLME!$B$7="ISCO",FILLME!$B$6+FILLME!$B$11+(FILLME!$B$13*(G171-FILLME!$B$14)),FILLME!$B$6)</f>
        <v>46104.25</v>
      </c>
      <c r="G171" s="8"/>
      <c r="H171" s="8"/>
      <c r="I171" s="2"/>
      <c r="J171" s="9" t="str">
        <f t="shared" si="6"/>
        <v>_00</v>
      </c>
      <c r="K171" s="10" t="str">
        <f t="shared" ca="1" si="7"/>
        <v>SSFLAT__20260323_00</v>
      </c>
      <c r="L171" s="10" t="str">
        <f t="shared" ca="1" si="8"/>
        <v>SSFLAT__20260323_0000</v>
      </c>
      <c r="M171" t="b">
        <f>IF(ROW()-ROW($M$1) &lt;= FILLME!$G$4, TRUE, FALSE)</f>
        <v>0</v>
      </c>
      <c r="N171" t="b">
        <f>IF(ROW()-ROW($N$1) &lt;= FILLME!$G$5, TRUE, FALSE)</f>
        <v>0</v>
      </c>
      <c r="O171" t="b">
        <f>IF(ROW()-ROW($O$1) &lt;= FILLME!$G$7, TRUE, FALSE)</f>
        <v>0</v>
      </c>
      <c r="P171" t="b">
        <f>IF(ROW()-ROW($P$1) &lt;= FILLME!$G$6, TRUE, FALSE)</f>
        <v>0</v>
      </c>
      <c r="Q171" t="b">
        <f>IF(ROW()-ROW($Q$1) &lt;= FILLME!$G$8, TRUE, FALSE)</f>
        <v>0</v>
      </c>
      <c r="R171" t="b">
        <f>IF(ROW()-ROW($R$1) &lt;= FILLME!$G$9, TRUE, FALSE)</f>
        <v>0</v>
      </c>
      <c r="S171" t="b">
        <f>IF(ROW()-ROW($S$1) &lt;= FILLME!$G$10, TRUE, FALSE)</f>
        <v>0</v>
      </c>
      <c r="T171" t="b">
        <f>IF(ROW()-ROW($T$1) &lt;= FILLME!$G$11, TRUE, FALSE)</f>
        <v>0</v>
      </c>
    </row>
    <row r="172" spans="1:20" x14ac:dyDescent="0.25">
      <c r="A172" s="7" t="str">
        <f>FILLME!$B$7</f>
        <v>ISCO</v>
      </c>
      <c r="B172" t="str">
        <f>IF(FILLME!$B$3 = "", "", FILLME!$B$3)</f>
        <v>WWS</v>
      </c>
      <c r="C172" t="str">
        <f>IF(FILLME!$B$4 = "", "", FILLME!$B$4)</f>
        <v>SSFLAT</v>
      </c>
      <c r="D172" s="7" t="str">
        <f ca="1">TEXT(FILLME!$B$6,"yyyymmdd")</f>
        <v>20260323</v>
      </c>
      <c r="E172" s="8"/>
      <c r="F172" s="7">
        <f ca="1">IF(FILLME!$B$7="ISCO",FILLME!$B$6+FILLME!$B$11+(FILLME!$B$13*(G172-FILLME!$B$14)),FILLME!$B$6)</f>
        <v>46104.25</v>
      </c>
      <c r="G172" s="8"/>
      <c r="H172" s="8"/>
      <c r="I172" s="2"/>
      <c r="J172" s="9" t="str">
        <f t="shared" si="6"/>
        <v>_00</v>
      </c>
      <c r="K172" s="10" t="str">
        <f t="shared" ca="1" si="7"/>
        <v>SSFLAT__20260323_00</v>
      </c>
      <c r="L172" s="10" t="str">
        <f t="shared" ca="1" si="8"/>
        <v>SSFLAT__20260323_0000</v>
      </c>
      <c r="M172" t="b">
        <f>IF(ROW()-ROW($M$1) &lt;= FILLME!$G$4, TRUE, FALSE)</f>
        <v>0</v>
      </c>
      <c r="N172" t="b">
        <f>IF(ROW()-ROW($N$1) &lt;= FILLME!$G$5, TRUE, FALSE)</f>
        <v>0</v>
      </c>
      <c r="O172" t="b">
        <f>IF(ROW()-ROW($O$1) &lt;= FILLME!$G$7, TRUE, FALSE)</f>
        <v>0</v>
      </c>
      <c r="P172" t="b">
        <f>IF(ROW()-ROW($P$1) &lt;= FILLME!$G$6, TRUE, FALSE)</f>
        <v>0</v>
      </c>
      <c r="Q172" t="b">
        <f>IF(ROW()-ROW($Q$1) &lt;= FILLME!$G$8, TRUE, FALSE)</f>
        <v>0</v>
      </c>
      <c r="R172" t="b">
        <f>IF(ROW()-ROW($R$1) &lt;= FILLME!$G$9, TRUE, FALSE)</f>
        <v>0</v>
      </c>
      <c r="S172" t="b">
        <f>IF(ROW()-ROW($S$1) &lt;= FILLME!$G$10, TRUE, FALSE)</f>
        <v>0</v>
      </c>
      <c r="T172" t="b">
        <f>IF(ROW()-ROW($T$1) &lt;= FILLME!$G$11, TRUE, FALSE)</f>
        <v>0</v>
      </c>
    </row>
    <row r="173" spans="1:20" x14ac:dyDescent="0.25">
      <c r="A173" s="7" t="str">
        <f>FILLME!$B$7</f>
        <v>ISCO</v>
      </c>
      <c r="B173" t="str">
        <f>IF(FILLME!$B$3 = "", "", FILLME!$B$3)</f>
        <v>WWS</v>
      </c>
      <c r="C173" t="str">
        <f>IF(FILLME!$B$4 = "", "", FILLME!$B$4)</f>
        <v>SSFLAT</v>
      </c>
      <c r="D173" s="7" t="str">
        <f ca="1">TEXT(FILLME!$B$6,"yyyymmdd")</f>
        <v>20260323</v>
      </c>
      <c r="E173" s="8"/>
      <c r="F173" s="7">
        <f ca="1">IF(FILLME!$B$7="ISCO",FILLME!$B$6+FILLME!$B$11+(FILLME!$B$13*(G173-FILLME!$B$14)),FILLME!$B$6)</f>
        <v>46104.25</v>
      </c>
      <c r="G173" s="8"/>
      <c r="H173" s="8"/>
      <c r="I173" s="2"/>
      <c r="J173" s="9" t="str">
        <f t="shared" si="6"/>
        <v>_00</v>
      </c>
      <c r="K173" s="10" t="str">
        <f t="shared" ca="1" si="7"/>
        <v>SSFLAT__20260323_00</v>
      </c>
      <c r="L173" s="10" t="str">
        <f t="shared" ca="1" si="8"/>
        <v>SSFLAT__20260323_0000</v>
      </c>
      <c r="M173" t="b">
        <f>IF(ROW()-ROW($M$1) &lt;= FILLME!$G$4, TRUE, FALSE)</f>
        <v>0</v>
      </c>
      <c r="N173" t="b">
        <f>IF(ROW()-ROW($N$1) &lt;= FILLME!$G$5, TRUE, FALSE)</f>
        <v>0</v>
      </c>
      <c r="O173" t="b">
        <f>IF(ROW()-ROW($O$1) &lt;= FILLME!$G$7, TRUE, FALSE)</f>
        <v>0</v>
      </c>
      <c r="P173" t="b">
        <f>IF(ROW()-ROW($P$1) &lt;= FILLME!$G$6, TRUE, FALSE)</f>
        <v>0</v>
      </c>
      <c r="Q173" t="b">
        <f>IF(ROW()-ROW($Q$1) &lt;= FILLME!$G$8, TRUE, FALSE)</f>
        <v>0</v>
      </c>
      <c r="R173" t="b">
        <f>IF(ROW()-ROW($R$1) &lt;= FILLME!$G$9, TRUE, FALSE)</f>
        <v>0</v>
      </c>
      <c r="S173" t="b">
        <f>IF(ROW()-ROW($S$1) &lt;= FILLME!$G$10, TRUE, FALSE)</f>
        <v>0</v>
      </c>
      <c r="T173" t="b">
        <f>IF(ROW()-ROW($T$1) &lt;= FILLME!$G$11, TRUE, FALSE)</f>
        <v>0</v>
      </c>
    </row>
    <row r="174" spans="1:20" x14ac:dyDescent="0.25">
      <c r="A174" s="7" t="str">
        <f>FILLME!$B$7</f>
        <v>ISCO</v>
      </c>
      <c r="B174" t="str">
        <f>IF(FILLME!$B$3 = "", "", FILLME!$B$3)</f>
        <v>WWS</v>
      </c>
      <c r="C174" t="str">
        <f>IF(FILLME!$B$4 = "", "", FILLME!$B$4)</f>
        <v>SSFLAT</v>
      </c>
      <c r="D174" s="7" t="str">
        <f ca="1">TEXT(FILLME!$B$6,"yyyymmdd")</f>
        <v>20260323</v>
      </c>
      <c r="E174" s="8"/>
      <c r="F174" s="7">
        <f ca="1">IF(FILLME!$B$7="ISCO",FILLME!$B$6+FILLME!$B$11+(FILLME!$B$13*(G174-FILLME!$B$14)),FILLME!$B$6)</f>
        <v>46104.25</v>
      </c>
      <c r="G174" s="8"/>
      <c r="H174" s="8"/>
      <c r="I174" s="2"/>
      <c r="J174" s="9" t="str">
        <f t="shared" si="6"/>
        <v>_00</v>
      </c>
      <c r="K174" s="10" t="str">
        <f t="shared" ca="1" si="7"/>
        <v>SSFLAT__20260323_00</v>
      </c>
      <c r="L174" s="10" t="str">
        <f t="shared" ca="1" si="8"/>
        <v>SSFLAT__20260323_0000</v>
      </c>
      <c r="M174" t="b">
        <f>IF(ROW()-ROW($M$1) &lt;= FILLME!$G$4, TRUE, FALSE)</f>
        <v>0</v>
      </c>
      <c r="N174" t="b">
        <f>IF(ROW()-ROW($N$1) &lt;= FILLME!$G$5, TRUE, FALSE)</f>
        <v>0</v>
      </c>
      <c r="O174" t="b">
        <f>IF(ROW()-ROW($O$1) &lt;= FILLME!$G$7, TRUE, FALSE)</f>
        <v>0</v>
      </c>
      <c r="P174" t="b">
        <f>IF(ROW()-ROW($P$1) &lt;= FILLME!$G$6, TRUE, FALSE)</f>
        <v>0</v>
      </c>
      <c r="Q174" t="b">
        <f>IF(ROW()-ROW($Q$1) &lt;= FILLME!$G$8, TRUE, FALSE)</f>
        <v>0</v>
      </c>
      <c r="R174" t="b">
        <f>IF(ROW()-ROW($R$1) &lt;= FILLME!$G$9, TRUE, FALSE)</f>
        <v>0</v>
      </c>
      <c r="S174" t="b">
        <f>IF(ROW()-ROW($S$1) &lt;= FILLME!$G$10, TRUE, FALSE)</f>
        <v>0</v>
      </c>
      <c r="T174" t="b">
        <f>IF(ROW()-ROW($T$1) &lt;= FILLME!$G$11, TRUE, FALSE)</f>
        <v>0</v>
      </c>
    </row>
    <row r="175" spans="1:20" x14ac:dyDescent="0.25">
      <c r="A175" s="7" t="str">
        <f>FILLME!$B$7</f>
        <v>ISCO</v>
      </c>
      <c r="B175" t="str">
        <f>IF(FILLME!$B$3 = "", "", FILLME!$B$3)</f>
        <v>WWS</v>
      </c>
      <c r="C175" t="str">
        <f>IF(FILLME!$B$4 = "", "", FILLME!$B$4)</f>
        <v>SSFLAT</v>
      </c>
      <c r="D175" s="7" t="str">
        <f ca="1">TEXT(FILLME!$B$6,"yyyymmdd")</f>
        <v>20260323</v>
      </c>
      <c r="E175" s="8"/>
      <c r="F175" s="7">
        <f ca="1">IF(FILLME!$B$7="ISCO",FILLME!$B$6+FILLME!$B$11+(FILLME!$B$13*(G175-FILLME!$B$14)),FILLME!$B$6)</f>
        <v>46104.25</v>
      </c>
      <c r="G175" s="8"/>
      <c r="H175" s="8"/>
      <c r="I175" s="2"/>
      <c r="J175" s="9" t="str">
        <f t="shared" si="6"/>
        <v>_00</v>
      </c>
      <c r="K175" s="10" t="str">
        <f t="shared" ca="1" si="7"/>
        <v>SSFLAT__20260323_00</v>
      </c>
      <c r="L175" s="10" t="str">
        <f t="shared" ca="1" si="8"/>
        <v>SSFLAT__20260323_0000</v>
      </c>
      <c r="M175" t="b">
        <f>IF(ROW()-ROW($M$1) &lt;= FILLME!$G$4, TRUE, FALSE)</f>
        <v>0</v>
      </c>
      <c r="N175" t="b">
        <f>IF(ROW()-ROW($N$1) &lt;= FILLME!$G$5, TRUE, FALSE)</f>
        <v>0</v>
      </c>
      <c r="O175" t="b">
        <f>IF(ROW()-ROW($O$1) &lt;= FILLME!$G$7, TRUE, FALSE)</f>
        <v>0</v>
      </c>
      <c r="P175" t="b">
        <f>IF(ROW()-ROW($P$1) &lt;= FILLME!$G$6, TRUE, FALSE)</f>
        <v>0</v>
      </c>
      <c r="Q175" t="b">
        <f>IF(ROW()-ROW($Q$1) &lt;= FILLME!$G$8, TRUE, FALSE)</f>
        <v>0</v>
      </c>
      <c r="R175" t="b">
        <f>IF(ROW()-ROW($R$1) &lt;= FILLME!$G$9, TRUE, FALSE)</f>
        <v>0</v>
      </c>
      <c r="S175" t="b">
        <f>IF(ROW()-ROW($S$1) &lt;= FILLME!$G$10, TRUE, FALSE)</f>
        <v>0</v>
      </c>
      <c r="T175" t="b">
        <f>IF(ROW()-ROW($T$1) &lt;= FILLME!$G$11, TRUE, FALSE)</f>
        <v>0</v>
      </c>
    </row>
    <row r="176" spans="1:20" x14ac:dyDescent="0.25">
      <c r="A176" s="7" t="str">
        <f>FILLME!$B$7</f>
        <v>ISCO</v>
      </c>
      <c r="B176" t="str">
        <f>IF(FILLME!$B$3 = "", "", FILLME!$B$3)</f>
        <v>WWS</v>
      </c>
      <c r="C176" t="str">
        <f>IF(FILLME!$B$4 = "", "", FILLME!$B$4)</f>
        <v>SSFLAT</v>
      </c>
      <c r="D176" s="7" t="str">
        <f ca="1">TEXT(FILLME!$B$6,"yyyymmdd")</f>
        <v>20260323</v>
      </c>
      <c r="E176" s="8"/>
      <c r="F176" s="7">
        <f ca="1">IF(FILLME!$B$7="ISCO",FILLME!$B$6+FILLME!$B$11+(FILLME!$B$13*(G176-FILLME!$B$14)),FILLME!$B$6)</f>
        <v>46104.25</v>
      </c>
      <c r="G176" s="8"/>
      <c r="H176" s="8"/>
      <c r="I176" s="2"/>
      <c r="J176" s="9" t="str">
        <f t="shared" si="6"/>
        <v>_00</v>
      </c>
      <c r="K176" s="10" t="str">
        <f t="shared" ca="1" si="7"/>
        <v>SSFLAT__20260323_00</v>
      </c>
      <c r="L176" s="10" t="str">
        <f t="shared" ca="1" si="8"/>
        <v>SSFLAT__20260323_0000</v>
      </c>
      <c r="M176" t="b">
        <f>IF(ROW()-ROW($M$1) &lt;= FILLME!$G$4, TRUE, FALSE)</f>
        <v>0</v>
      </c>
      <c r="N176" t="b">
        <f>IF(ROW()-ROW($N$1) &lt;= FILLME!$G$5, TRUE, FALSE)</f>
        <v>0</v>
      </c>
      <c r="O176" t="b">
        <f>IF(ROW()-ROW($O$1) &lt;= FILLME!$G$7, TRUE, FALSE)</f>
        <v>0</v>
      </c>
      <c r="P176" t="b">
        <f>IF(ROW()-ROW($P$1) &lt;= FILLME!$G$6, TRUE, FALSE)</f>
        <v>0</v>
      </c>
      <c r="Q176" t="b">
        <f>IF(ROW()-ROW($Q$1) &lt;= FILLME!$G$8, TRUE, FALSE)</f>
        <v>0</v>
      </c>
      <c r="R176" t="b">
        <f>IF(ROW()-ROW($R$1) &lt;= FILLME!$G$9, TRUE, FALSE)</f>
        <v>0</v>
      </c>
      <c r="S176" t="b">
        <f>IF(ROW()-ROW($S$1) &lt;= FILLME!$G$10, TRUE, FALSE)</f>
        <v>0</v>
      </c>
      <c r="T176" t="b">
        <f>IF(ROW()-ROW($T$1) &lt;= FILLME!$G$11, TRUE, FALSE)</f>
        <v>0</v>
      </c>
    </row>
    <row r="177" spans="1:20" x14ac:dyDescent="0.25">
      <c r="A177" s="7" t="str">
        <f>FILLME!$B$7</f>
        <v>ISCO</v>
      </c>
      <c r="B177" t="str">
        <f>IF(FILLME!$B$3 = "", "", FILLME!$B$3)</f>
        <v>WWS</v>
      </c>
      <c r="C177" t="str">
        <f>IF(FILLME!$B$4 = "", "", FILLME!$B$4)</f>
        <v>SSFLAT</v>
      </c>
      <c r="D177" s="7" t="str">
        <f ca="1">TEXT(FILLME!$B$6,"yyyymmdd")</f>
        <v>20260323</v>
      </c>
      <c r="E177" s="8"/>
      <c r="F177" s="7">
        <f ca="1">IF(FILLME!$B$7="ISCO",FILLME!$B$6+FILLME!$B$11+(FILLME!$B$13*(G177-FILLME!$B$14)),FILLME!$B$6)</f>
        <v>46104.25</v>
      </c>
      <c r="G177" s="8"/>
      <c r="H177" s="8"/>
      <c r="I177" s="2"/>
      <c r="J177" s="9" t="str">
        <f t="shared" si="6"/>
        <v>_00</v>
      </c>
      <c r="K177" s="10" t="str">
        <f t="shared" ca="1" si="7"/>
        <v>SSFLAT__20260323_00</v>
      </c>
      <c r="L177" s="10" t="str">
        <f t="shared" ca="1" si="8"/>
        <v>SSFLAT__20260323_0000</v>
      </c>
      <c r="M177" t="b">
        <f>IF(ROW()-ROW($M$1) &lt;= FILLME!$G$4, TRUE, FALSE)</f>
        <v>0</v>
      </c>
      <c r="N177" t="b">
        <f>IF(ROW()-ROW($N$1) &lt;= FILLME!$G$5, TRUE, FALSE)</f>
        <v>0</v>
      </c>
      <c r="O177" t="b">
        <f>IF(ROW()-ROW($O$1) &lt;= FILLME!$G$7, TRUE, FALSE)</f>
        <v>0</v>
      </c>
      <c r="P177" t="b">
        <f>IF(ROW()-ROW($P$1) &lt;= FILLME!$G$6, TRUE, FALSE)</f>
        <v>0</v>
      </c>
      <c r="Q177" t="b">
        <f>IF(ROW()-ROW($Q$1) &lt;= FILLME!$G$8, TRUE, FALSE)</f>
        <v>0</v>
      </c>
      <c r="R177" t="b">
        <f>IF(ROW()-ROW($R$1) &lt;= FILLME!$G$9, TRUE, FALSE)</f>
        <v>0</v>
      </c>
      <c r="S177" t="b">
        <f>IF(ROW()-ROW($S$1) &lt;= FILLME!$G$10, TRUE, FALSE)</f>
        <v>0</v>
      </c>
      <c r="T177" t="b">
        <f>IF(ROW()-ROW($T$1) &lt;= FILLME!$G$11, TRUE, FALSE)</f>
        <v>0</v>
      </c>
    </row>
    <row r="178" spans="1:20" x14ac:dyDescent="0.25">
      <c r="A178" s="7" t="str">
        <f>FILLME!$B$7</f>
        <v>ISCO</v>
      </c>
      <c r="B178" t="str">
        <f>IF(FILLME!$B$3 = "", "", FILLME!$B$3)</f>
        <v>WWS</v>
      </c>
      <c r="C178" t="str">
        <f>IF(FILLME!$B$4 = "", "", FILLME!$B$4)</f>
        <v>SSFLAT</v>
      </c>
      <c r="D178" s="7" t="str">
        <f ca="1">TEXT(FILLME!$B$6,"yyyymmdd")</f>
        <v>20260323</v>
      </c>
      <c r="E178" s="8"/>
      <c r="F178" s="7">
        <f ca="1">IF(FILLME!$B$7="ISCO",FILLME!$B$6+FILLME!$B$11+(FILLME!$B$13*(G178-FILLME!$B$14)),FILLME!$B$6)</f>
        <v>46104.25</v>
      </c>
      <c r="G178" s="8"/>
      <c r="H178" s="8"/>
      <c r="I178" s="2"/>
      <c r="J178" s="9" t="str">
        <f t="shared" si="6"/>
        <v>_00</v>
      </c>
      <c r="K178" s="10" t="str">
        <f t="shared" ca="1" si="7"/>
        <v>SSFLAT__20260323_00</v>
      </c>
      <c r="L178" s="10" t="str">
        <f t="shared" ca="1" si="8"/>
        <v>SSFLAT__20260323_0000</v>
      </c>
      <c r="M178" t="b">
        <f>IF(ROW()-ROW($M$1) &lt;= FILLME!$G$4, TRUE, FALSE)</f>
        <v>0</v>
      </c>
      <c r="N178" t="b">
        <f>IF(ROW()-ROW($N$1) &lt;= FILLME!$G$5, TRUE, FALSE)</f>
        <v>0</v>
      </c>
      <c r="O178" t="b">
        <f>IF(ROW()-ROW($O$1) &lt;= FILLME!$G$7, TRUE, FALSE)</f>
        <v>0</v>
      </c>
      <c r="P178" t="b">
        <f>IF(ROW()-ROW($P$1) &lt;= FILLME!$G$6, TRUE, FALSE)</f>
        <v>0</v>
      </c>
      <c r="Q178" t="b">
        <f>IF(ROW()-ROW($Q$1) &lt;= FILLME!$G$8, TRUE, FALSE)</f>
        <v>0</v>
      </c>
      <c r="R178" t="b">
        <f>IF(ROW()-ROW($R$1) &lt;= FILLME!$G$9, TRUE, FALSE)</f>
        <v>0</v>
      </c>
      <c r="S178" t="b">
        <f>IF(ROW()-ROW($S$1) &lt;= FILLME!$G$10, TRUE, FALSE)</f>
        <v>0</v>
      </c>
      <c r="T178" t="b">
        <f>IF(ROW()-ROW($T$1) &lt;= FILLME!$G$11, TRUE, FALSE)</f>
        <v>0</v>
      </c>
    </row>
    <row r="179" spans="1:20" x14ac:dyDescent="0.25">
      <c r="A179" s="7" t="str">
        <f>FILLME!$B$7</f>
        <v>ISCO</v>
      </c>
      <c r="B179" t="str">
        <f>IF(FILLME!$B$3 = "", "", FILLME!$B$3)</f>
        <v>WWS</v>
      </c>
      <c r="C179" t="str">
        <f>IF(FILLME!$B$4 = "", "", FILLME!$B$4)</f>
        <v>SSFLAT</v>
      </c>
      <c r="D179" s="7" t="str">
        <f ca="1">TEXT(FILLME!$B$6,"yyyymmdd")</f>
        <v>20260323</v>
      </c>
      <c r="E179" s="8"/>
      <c r="F179" s="7">
        <f ca="1">IF(FILLME!$B$7="ISCO",FILLME!$B$6+FILLME!$B$11+(FILLME!$B$13*(G179-FILLME!$B$14)),FILLME!$B$6)</f>
        <v>46104.25</v>
      </c>
      <c r="G179" s="8"/>
      <c r="H179" s="8"/>
      <c r="I179" s="2"/>
      <c r="J179" s="9" t="str">
        <f t="shared" si="6"/>
        <v>_00</v>
      </c>
      <c r="K179" s="10" t="str">
        <f t="shared" ca="1" si="7"/>
        <v>SSFLAT__20260323_00</v>
      </c>
      <c r="L179" s="10" t="str">
        <f t="shared" ca="1" si="8"/>
        <v>SSFLAT__20260323_0000</v>
      </c>
      <c r="M179" t="b">
        <f>IF(ROW()-ROW($M$1) &lt;= FILLME!$G$4, TRUE, FALSE)</f>
        <v>0</v>
      </c>
      <c r="N179" t="b">
        <f>IF(ROW()-ROW($N$1) &lt;= FILLME!$G$5, TRUE, FALSE)</f>
        <v>0</v>
      </c>
      <c r="O179" t="b">
        <f>IF(ROW()-ROW($O$1) &lt;= FILLME!$G$7, TRUE, FALSE)</f>
        <v>0</v>
      </c>
      <c r="P179" t="b">
        <f>IF(ROW()-ROW($P$1) &lt;= FILLME!$G$6, TRUE, FALSE)</f>
        <v>0</v>
      </c>
      <c r="Q179" t="b">
        <f>IF(ROW()-ROW($Q$1) &lt;= FILLME!$G$8, TRUE, FALSE)</f>
        <v>0</v>
      </c>
      <c r="R179" t="b">
        <f>IF(ROW()-ROW($R$1) &lt;= FILLME!$G$9, TRUE, FALSE)</f>
        <v>0</v>
      </c>
      <c r="S179" t="b">
        <f>IF(ROW()-ROW($S$1) &lt;= FILLME!$G$10, TRUE, FALSE)</f>
        <v>0</v>
      </c>
      <c r="T179" t="b">
        <f>IF(ROW()-ROW($T$1) &lt;= FILLME!$G$11, TRUE, FALSE)</f>
        <v>0</v>
      </c>
    </row>
    <row r="180" spans="1:20" x14ac:dyDescent="0.25">
      <c r="A180" s="7" t="str">
        <f>FILLME!$B$7</f>
        <v>ISCO</v>
      </c>
      <c r="B180" t="str">
        <f>IF(FILLME!$B$3 = "", "", FILLME!$B$3)</f>
        <v>WWS</v>
      </c>
      <c r="C180" t="str">
        <f>IF(FILLME!$B$4 = "", "", FILLME!$B$4)</f>
        <v>SSFLAT</v>
      </c>
      <c r="D180" s="7" t="str">
        <f ca="1">TEXT(FILLME!$B$6,"yyyymmdd")</f>
        <v>20260323</v>
      </c>
      <c r="E180" s="8"/>
      <c r="F180" s="7">
        <f ca="1">IF(FILLME!$B$7="ISCO",FILLME!$B$6+FILLME!$B$11+(FILLME!$B$13*(G180-FILLME!$B$14)),FILLME!$B$6)</f>
        <v>46104.25</v>
      </c>
      <c r="G180" s="8"/>
      <c r="H180" s="8"/>
      <c r="I180" s="2"/>
      <c r="J180" s="9" t="str">
        <f t="shared" si="6"/>
        <v>_00</v>
      </c>
      <c r="K180" s="10" t="str">
        <f t="shared" ca="1" si="7"/>
        <v>SSFLAT__20260323_00</v>
      </c>
      <c r="L180" s="10" t="str">
        <f t="shared" ca="1" si="8"/>
        <v>SSFLAT__20260323_0000</v>
      </c>
      <c r="M180" t="b">
        <f>IF(ROW()-ROW($M$1) &lt;= FILLME!$G$4, TRUE, FALSE)</f>
        <v>0</v>
      </c>
      <c r="N180" t="b">
        <f>IF(ROW()-ROW($N$1) &lt;= FILLME!$G$5, TRUE, FALSE)</f>
        <v>0</v>
      </c>
      <c r="O180" t="b">
        <f>IF(ROW()-ROW($O$1) &lt;= FILLME!$G$7, TRUE, FALSE)</f>
        <v>0</v>
      </c>
      <c r="P180" t="b">
        <f>IF(ROW()-ROW($P$1) &lt;= FILLME!$G$6, TRUE, FALSE)</f>
        <v>0</v>
      </c>
      <c r="Q180" t="b">
        <f>IF(ROW()-ROW($Q$1) &lt;= FILLME!$G$8, TRUE, FALSE)</f>
        <v>0</v>
      </c>
      <c r="R180" t="b">
        <f>IF(ROW()-ROW($R$1) &lt;= FILLME!$G$9, TRUE, FALSE)</f>
        <v>0</v>
      </c>
      <c r="S180" t="b">
        <f>IF(ROW()-ROW($S$1) &lt;= FILLME!$G$10, TRUE, FALSE)</f>
        <v>0</v>
      </c>
      <c r="T180" t="b">
        <f>IF(ROW()-ROW($T$1) &lt;= FILLME!$G$11, TRUE, FALSE)</f>
        <v>0</v>
      </c>
    </row>
    <row r="181" spans="1:20" x14ac:dyDescent="0.25">
      <c r="A181" s="7" t="str">
        <f>FILLME!$B$7</f>
        <v>ISCO</v>
      </c>
      <c r="B181" t="str">
        <f>IF(FILLME!$B$3 = "", "", FILLME!$B$3)</f>
        <v>WWS</v>
      </c>
      <c r="C181" t="str">
        <f>IF(FILLME!$B$4 = "", "", FILLME!$B$4)</f>
        <v>SSFLAT</v>
      </c>
      <c r="D181" s="7" t="str">
        <f ca="1">TEXT(FILLME!$B$6,"yyyymmdd")</f>
        <v>20260323</v>
      </c>
      <c r="E181" s="8"/>
      <c r="F181" s="7">
        <f ca="1">IF(FILLME!$B$7="ISCO",FILLME!$B$6+FILLME!$B$11+(FILLME!$B$13*(G181-FILLME!$B$14)),FILLME!$B$6)</f>
        <v>46104.25</v>
      </c>
      <c r="G181" s="8"/>
      <c r="H181" s="8"/>
      <c r="I181" s="2"/>
      <c r="J181" s="9" t="str">
        <f t="shared" si="6"/>
        <v>_00</v>
      </c>
      <c r="K181" s="10" t="str">
        <f t="shared" ca="1" si="7"/>
        <v>SSFLAT__20260323_00</v>
      </c>
      <c r="L181" s="10" t="str">
        <f t="shared" ca="1" si="8"/>
        <v>SSFLAT__20260323_0000</v>
      </c>
      <c r="M181" t="b">
        <f>IF(ROW()-ROW($M$1) &lt;= FILLME!$G$4, TRUE, FALSE)</f>
        <v>0</v>
      </c>
      <c r="N181" t="b">
        <f>IF(ROW()-ROW($N$1) &lt;= FILLME!$G$5, TRUE, FALSE)</f>
        <v>0</v>
      </c>
      <c r="O181" t="b">
        <f>IF(ROW()-ROW($O$1) &lt;= FILLME!$G$7, TRUE, FALSE)</f>
        <v>0</v>
      </c>
      <c r="P181" t="b">
        <f>IF(ROW()-ROW($P$1) &lt;= FILLME!$G$6, TRUE, FALSE)</f>
        <v>0</v>
      </c>
      <c r="Q181" t="b">
        <f>IF(ROW()-ROW($Q$1) &lt;= FILLME!$G$8, TRUE, FALSE)</f>
        <v>0</v>
      </c>
      <c r="R181" t="b">
        <f>IF(ROW()-ROW($R$1) &lt;= FILLME!$G$9, TRUE, FALSE)</f>
        <v>0</v>
      </c>
      <c r="S181" t="b">
        <f>IF(ROW()-ROW($S$1) &lt;= FILLME!$G$10, TRUE, FALSE)</f>
        <v>0</v>
      </c>
      <c r="T181" t="b">
        <f>IF(ROW()-ROW($T$1) &lt;= FILLME!$G$11, TRUE, FALSE)</f>
        <v>0</v>
      </c>
    </row>
    <row r="182" spans="1:20" x14ac:dyDescent="0.25">
      <c r="A182" s="7" t="str">
        <f>FILLME!$B$7</f>
        <v>ISCO</v>
      </c>
      <c r="B182" t="str">
        <f>IF(FILLME!$B$3 = "", "", FILLME!$B$3)</f>
        <v>WWS</v>
      </c>
      <c r="C182" t="str">
        <f>IF(FILLME!$B$4 = "", "", FILLME!$B$4)</f>
        <v>SSFLAT</v>
      </c>
      <c r="D182" s="7" t="str">
        <f ca="1">TEXT(FILLME!$B$6,"yyyymmdd")</f>
        <v>20260323</v>
      </c>
      <c r="E182" s="8"/>
      <c r="F182" s="7">
        <f ca="1">IF(FILLME!$B$7="ISCO",FILLME!$B$6+FILLME!$B$11+(FILLME!$B$13*(G182-FILLME!$B$14)),FILLME!$B$6)</f>
        <v>46104.25</v>
      </c>
      <c r="G182" s="8"/>
      <c r="H182" s="8"/>
      <c r="I182" s="2"/>
      <c r="J182" s="9" t="str">
        <f t="shared" si="6"/>
        <v>_00</v>
      </c>
      <c r="K182" s="10" t="str">
        <f t="shared" ca="1" si="7"/>
        <v>SSFLAT__20260323_00</v>
      </c>
      <c r="L182" s="10" t="str">
        <f t="shared" ca="1" si="8"/>
        <v>SSFLAT__20260323_0000</v>
      </c>
      <c r="M182" t="b">
        <f>IF(ROW()-ROW($M$1) &lt;= FILLME!$G$4, TRUE, FALSE)</f>
        <v>0</v>
      </c>
      <c r="N182" t="b">
        <f>IF(ROW()-ROW($N$1) &lt;= FILLME!$G$5, TRUE, FALSE)</f>
        <v>0</v>
      </c>
      <c r="O182" t="b">
        <f>IF(ROW()-ROW($O$1) &lt;= FILLME!$G$7, TRUE, FALSE)</f>
        <v>0</v>
      </c>
      <c r="P182" t="b">
        <f>IF(ROW()-ROW($P$1) &lt;= FILLME!$G$6, TRUE, FALSE)</f>
        <v>0</v>
      </c>
      <c r="Q182" t="b">
        <f>IF(ROW()-ROW($Q$1) &lt;= FILLME!$G$8, TRUE, FALSE)</f>
        <v>0</v>
      </c>
      <c r="R182" t="b">
        <f>IF(ROW()-ROW($R$1) &lt;= FILLME!$G$9, TRUE, FALSE)</f>
        <v>0</v>
      </c>
      <c r="S182" t="b">
        <f>IF(ROW()-ROW($S$1) &lt;= FILLME!$G$10, TRUE, FALSE)</f>
        <v>0</v>
      </c>
      <c r="T182" t="b">
        <f>IF(ROW()-ROW($T$1) &lt;= FILLME!$G$11, TRUE, FALSE)</f>
        <v>0</v>
      </c>
    </row>
    <row r="183" spans="1:20" x14ac:dyDescent="0.25">
      <c r="A183" s="7" t="str">
        <f>FILLME!$B$7</f>
        <v>ISCO</v>
      </c>
      <c r="B183" t="str">
        <f>IF(FILLME!$B$3 = "", "", FILLME!$B$3)</f>
        <v>WWS</v>
      </c>
      <c r="C183" t="str">
        <f>IF(FILLME!$B$4 = "", "", FILLME!$B$4)</f>
        <v>SSFLAT</v>
      </c>
      <c r="D183" s="7" t="str">
        <f ca="1">TEXT(FILLME!$B$6,"yyyymmdd")</f>
        <v>20260323</v>
      </c>
      <c r="E183" s="8"/>
      <c r="F183" s="7">
        <f ca="1">IF(FILLME!$B$7="ISCO",FILLME!$B$6+FILLME!$B$11+(FILLME!$B$13*(G183-FILLME!$B$14)),FILLME!$B$6)</f>
        <v>46104.25</v>
      </c>
      <c r="G183" s="8"/>
      <c r="H183" s="8"/>
      <c r="I183" s="2"/>
      <c r="J183" s="9" t="str">
        <f t="shared" si="6"/>
        <v>_00</v>
      </c>
      <c r="K183" s="10" t="str">
        <f t="shared" ca="1" si="7"/>
        <v>SSFLAT__20260323_00</v>
      </c>
      <c r="L183" s="10" t="str">
        <f t="shared" ca="1" si="8"/>
        <v>SSFLAT__20260323_0000</v>
      </c>
      <c r="M183" t="b">
        <f>IF(ROW()-ROW($M$1) &lt;= FILLME!$G$4, TRUE, FALSE)</f>
        <v>0</v>
      </c>
      <c r="N183" t="b">
        <f>IF(ROW()-ROW($N$1) &lt;= FILLME!$G$5, TRUE, FALSE)</f>
        <v>0</v>
      </c>
      <c r="O183" t="b">
        <f>IF(ROW()-ROW($O$1) &lt;= FILLME!$G$7, TRUE, FALSE)</f>
        <v>0</v>
      </c>
      <c r="P183" t="b">
        <f>IF(ROW()-ROW($P$1) &lt;= FILLME!$G$6, TRUE, FALSE)</f>
        <v>0</v>
      </c>
      <c r="Q183" t="b">
        <f>IF(ROW()-ROW($Q$1) &lt;= FILLME!$G$8, TRUE, FALSE)</f>
        <v>0</v>
      </c>
      <c r="R183" t="b">
        <f>IF(ROW()-ROW($R$1) &lt;= FILLME!$G$9, TRUE, FALSE)</f>
        <v>0</v>
      </c>
      <c r="S183" t="b">
        <f>IF(ROW()-ROW($S$1) &lt;= FILLME!$G$10, TRUE, FALSE)</f>
        <v>0</v>
      </c>
      <c r="T183" t="b">
        <f>IF(ROW()-ROW($T$1) &lt;= FILLME!$G$11, TRUE, FALSE)</f>
        <v>0</v>
      </c>
    </row>
    <row r="184" spans="1:20" x14ac:dyDescent="0.25">
      <c r="A184" s="7" t="str">
        <f>FILLME!$B$7</f>
        <v>ISCO</v>
      </c>
      <c r="B184" t="str">
        <f>IF(FILLME!$B$3 = "", "", FILLME!$B$3)</f>
        <v>WWS</v>
      </c>
      <c r="C184" t="str">
        <f>IF(FILLME!$B$4 = "", "", FILLME!$B$4)</f>
        <v>SSFLAT</v>
      </c>
      <c r="D184" s="7" t="str">
        <f ca="1">TEXT(FILLME!$B$6,"yyyymmdd")</f>
        <v>20260323</v>
      </c>
      <c r="E184" s="8"/>
      <c r="F184" s="7">
        <f ca="1">IF(FILLME!$B$7="ISCO",FILLME!$B$6+FILLME!$B$11+(FILLME!$B$13*(G184-FILLME!$B$14)),FILLME!$B$6)</f>
        <v>46104.25</v>
      </c>
      <c r="G184" s="8"/>
      <c r="H184" s="8"/>
      <c r="I184" s="2"/>
      <c r="J184" s="9" t="str">
        <f t="shared" si="6"/>
        <v>_00</v>
      </c>
      <c r="K184" s="10" t="str">
        <f t="shared" ca="1" si="7"/>
        <v>SSFLAT__20260323_00</v>
      </c>
      <c r="L184" s="10" t="str">
        <f t="shared" ca="1" si="8"/>
        <v>SSFLAT__20260323_0000</v>
      </c>
      <c r="M184" t="b">
        <f>IF(ROW()-ROW($M$1) &lt;= FILLME!$G$4, TRUE, FALSE)</f>
        <v>0</v>
      </c>
      <c r="N184" t="b">
        <f>IF(ROW()-ROW($N$1) &lt;= FILLME!$G$5, TRUE, FALSE)</f>
        <v>0</v>
      </c>
      <c r="O184" t="b">
        <f>IF(ROW()-ROW($O$1) &lt;= FILLME!$G$7, TRUE, FALSE)</f>
        <v>0</v>
      </c>
      <c r="P184" t="b">
        <f>IF(ROW()-ROW($P$1) &lt;= FILLME!$G$6, TRUE, FALSE)</f>
        <v>0</v>
      </c>
      <c r="Q184" t="b">
        <f>IF(ROW()-ROW($Q$1) &lt;= FILLME!$G$8, TRUE, FALSE)</f>
        <v>0</v>
      </c>
      <c r="R184" t="b">
        <f>IF(ROW()-ROW($R$1) &lt;= FILLME!$G$9, TRUE, FALSE)</f>
        <v>0</v>
      </c>
      <c r="S184" t="b">
        <f>IF(ROW()-ROW($S$1) &lt;= FILLME!$G$10, TRUE, FALSE)</f>
        <v>0</v>
      </c>
      <c r="T184" t="b">
        <f>IF(ROW()-ROW($T$1) &lt;= FILLME!$G$11, TRUE, FALSE)</f>
        <v>0</v>
      </c>
    </row>
    <row r="185" spans="1:20" x14ac:dyDescent="0.25">
      <c r="A185" s="7" t="str">
        <f>FILLME!$B$7</f>
        <v>ISCO</v>
      </c>
      <c r="B185" t="str">
        <f>IF(FILLME!$B$3 = "", "", FILLME!$B$3)</f>
        <v>WWS</v>
      </c>
      <c r="C185" t="str">
        <f>IF(FILLME!$B$4 = "", "", FILLME!$B$4)</f>
        <v>SSFLAT</v>
      </c>
      <c r="D185" s="7" t="str">
        <f ca="1">TEXT(FILLME!$B$6,"yyyymmdd")</f>
        <v>20260323</v>
      </c>
      <c r="E185" s="8"/>
      <c r="F185" s="7">
        <f ca="1">IF(FILLME!$B$7="ISCO",FILLME!$B$6+FILLME!$B$11+(FILLME!$B$13*(G185-FILLME!$B$14)),FILLME!$B$6)</f>
        <v>46104.25</v>
      </c>
      <c r="G185" s="8"/>
      <c r="H185" s="8"/>
      <c r="I185" s="2"/>
      <c r="J185" s="9" t="str">
        <f t="shared" si="6"/>
        <v>_00</v>
      </c>
      <c r="K185" s="10" t="str">
        <f t="shared" ca="1" si="7"/>
        <v>SSFLAT__20260323_00</v>
      </c>
      <c r="L185" s="10" t="str">
        <f t="shared" ca="1" si="8"/>
        <v>SSFLAT__20260323_0000</v>
      </c>
      <c r="M185" t="b">
        <f>IF(ROW()-ROW($M$1) &lt;= FILLME!$G$4, TRUE, FALSE)</f>
        <v>0</v>
      </c>
      <c r="N185" t="b">
        <f>IF(ROW()-ROW($N$1) &lt;= FILLME!$G$5, TRUE, FALSE)</f>
        <v>0</v>
      </c>
      <c r="O185" t="b">
        <f>IF(ROW()-ROW($O$1) &lt;= FILLME!$G$7, TRUE, FALSE)</f>
        <v>0</v>
      </c>
      <c r="P185" t="b">
        <f>IF(ROW()-ROW($P$1) &lt;= FILLME!$G$6, TRUE, FALSE)</f>
        <v>0</v>
      </c>
      <c r="Q185" t="b">
        <f>IF(ROW()-ROW($Q$1) &lt;= FILLME!$G$8, TRUE, FALSE)</f>
        <v>0</v>
      </c>
      <c r="R185" t="b">
        <f>IF(ROW()-ROW($R$1) &lt;= FILLME!$G$9, TRUE, FALSE)</f>
        <v>0</v>
      </c>
      <c r="S185" t="b">
        <f>IF(ROW()-ROW($S$1) &lt;= FILLME!$G$10, TRUE, FALSE)</f>
        <v>0</v>
      </c>
      <c r="T185" t="b">
        <f>IF(ROW()-ROW($T$1) &lt;= FILLME!$G$11, TRUE, FALSE)</f>
        <v>0</v>
      </c>
    </row>
    <row r="186" spans="1:20" x14ac:dyDescent="0.25">
      <c r="A186" s="7" t="str">
        <f>FILLME!$B$7</f>
        <v>ISCO</v>
      </c>
      <c r="B186" t="str">
        <f>IF(FILLME!$B$3 = "", "", FILLME!$B$3)</f>
        <v>WWS</v>
      </c>
      <c r="C186" t="str">
        <f>IF(FILLME!$B$4 = "", "", FILLME!$B$4)</f>
        <v>SSFLAT</v>
      </c>
      <c r="D186" s="7" t="str">
        <f ca="1">TEXT(FILLME!$B$6,"yyyymmdd")</f>
        <v>20260323</v>
      </c>
      <c r="E186" s="8"/>
      <c r="F186" s="7">
        <f ca="1">IF(FILLME!$B$7="ISCO",FILLME!$B$6+FILLME!$B$11+(FILLME!$B$13*(G186-FILLME!$B$14)),FILLME!$B$6)</f>
        <v>46104.25</v>
      </c>
      <c r="G186" s="8"/>
      <c r="H186" s="8"/>
      <c r="I186" s="2"/>
      <c r="J186" s="9" t="str">
        <f t="shared" si="6"/>
        <v>_00</v>
      </c>
      <c r="K186" s="10" t="str">
        <f t="shared" ca="1" si="7"/>
        <v>SSFLAT__20260323_00</v>
      </c>
      <c r="L186" s="10" t="str">
        <f t="shared" ca="1" si="8"/>
        <v>SSFLAT__20260323_0000</v>
      </c>
      <c r="M186" t="b">
        <f>IF(ROW()-ROW($M$1) &lt;= FILLME!$G$4, TRUE, FALSE)</f>
        <v>0</v>
      </c>
      <c r="N186" t="b">
        <f>IF(ROW()-ROW($N$1) &lt;= FILLME!$G$5, TRUE, FALSE)</f>
        <v>0</v>
      </c>
      <c r="O186" t="b">
        <f>IF(ROW()-ROW($O$1) &lt;= FILLME!$G$7, TRUE, FALSE)</f>
        <v>0</v>
      </c>
      <c r="P186" t="b">
        <f>IF(ROW()-ROW($P$1) &lt;= FILLME!$G$6, TRUE, FALSE)</f>
        <v>0</v>
      </c>
      <c r="Q186" t="b">
        <f>IF(ROW()-ROW($Q$1) &lt;= FILLME!$G$8, TRUE, FALSE)</f>
        <v>0</v>
      </c>
      <c r="R186" t="b">
        <f>IF(ROW()-ROW($R$1) &lt;= FILLME!$G$9, TRUE, FALSE)</f>
        <v>0</v>
      </c>
      <c r="S186" t="b">
        <f>IF(ROW()-ROW($S$1) &lt;= FILLME!$G$10, TRUE, FALSE)</f>
        <v>0</v>
      </c>
      <c r="T186" t="b">
        <f>IF(ROW()-ROW($T$1) &lt;= FILLME!$G$11, TRUE, FALSE)</f>
        <v>0</v>
      </c>
    </row>
    <row r="187" spans="1:20" x14ac:dyDescent="0.25">
      <c r="A187" s="7" t="str">
        <f>FILLME!$B$7</f>
        <v>ISCO</v>
      </c>
      <c r="B187" t="str">
        <f>IF(FILLME!$B$3 = "", "", FILLME!$B$3)</f>
        <v>WWS</v>
      </c>
      <c r="C187" t="str">
        <f>IF(FILLME!$B$4 = "", "", FILLME!$B$4)</f>
        <v>SSFLAT</v>
      </c>
      <c r="D187" s="7" t="str">
        <f ca="1">TEXT(FILLME!$B$6,"yyyymmdd")</f>
        <v>20260323</v>
      </c>
      <c r="E187" s="8"/>
      <c r="F187" s="7">
        <f ca="1">IF(FILLME!$B$7="ISCO",FILLME!$B$6+FILLME!$B$11+(FILLME!$B$13*(G187-FILLME!$B$14)),FILLME!$B$6)</f>
        <v>46104.25</v>
      </c>
      <c r="G187" s="8"/>
      <c r="H187" s="8"/>
      <c r="I187" s="2"/>
      <c r="J187" s="9" t="str">
        <f t="shared" si="6"/>
        <v>_00</v>
      </c>
      <c r="K187" s="10" t="str">
        <f t="shared" ca="1" si="7"/>
        <v>SSFLAT__20260323_00</v>
      </c>
      <c r="L187" s="10" t="str">
        <f t="shared" ca="1" si="8"/>
        <v>SSFLAT__20260323_0000</v>
      </c>
      <c r="M187" t="b">
        <f>IF(ROW()-ROW($M$1) &lt;= FILLME!$G$4, TRUE, FALSE)</f>
        <v>0</v>
      </c>
      <c r="N187" t="b">
        <f>IF(ROW()-ROW($N$1) &lt;= FILLME!$G$5, TRUE, FALSE)</f>
        <v>0</v>
      </c>
      <c r="O187" t="b">
        <f>IF(ROW()-ROW($O$1) &lt;= FILLME!$G$7, TRUE, FALSE)</f>
        <v>0</v>
      </c>
      <c r="P187" t="b">
        <f>IF(ROW()-ROW($P$1) &lt;= FILLME!$G$6, TRUE, FALSE)</f>
        <v>0</v>
      </c>
      <c r="Q187" t="b">
        <f>IF(ROW()-ROW($Q$1) &lt;= FILLME!$G$8, TRUE, FALSE)</f>
        <v>0</v>
      </c>
      <c r="R187" t="b">
        <f>IF(ROW()-ROW($R$1) &lt;= FILLME!$G$9, TRUE, FALSE)</f>
        <v>0</v>
      </c>
      <c r="S187" t="b">
        <f>IF(ROW()-ROW($S$1) &lt;= FILLME!$G$10, TRUE, FALSE)</f>
        <v>0</v>
      </c>
      <c r="T187" t="b">
        <f>IF(ROW()-ROW($T$1) &lt;= FILLME!$G$11, TRUE, FALSE)</f>
        <v>0</v>
      </c>
    </row>
    <row r="188" spans="1:20" x14ac:dyDescent="0.25">
      <c r="A188" s="7" t="str">
        <f>FILLME!$B$7</f>
        <v>ISCO</v>
      </c>
      <c r="B188" t="str">
        <f>IF(FILLME!$B$3 = "", "", FILLME!$B$3)</f>
        <v>WWS</v>
      </c>
      <c r="C188" t="str">
        <f>IF(FILLME!$B$4 = "", "", FILLME!$B$4)</f>
        <v>SSFLAT</v>
      </c>
      <c r="D188" s="7" t="str">
        <f ca="1">TEXT(FILLME!$B$6,"yyyymmdd")</f>
        <v>20260323</v>
      </c>
      <c r="E188" s="8"/>
      <c r="F188" s="7">
        <f ca="1">IF(FILLME!$B$7="ISCO",FILLME!$B$6+FILLME!$B$11+(FILLME!$B$13*(G188-FILLME!$B$14)),FILLME!$B$6)</f>
        <v>46104.25</v>
      </c>
      <c r="G188" s="8"/>
      <c r="H188" s="8"/>
      <c r="I188" s="2"/>
      <c r="J188" s="9" t="str">
        <f t="shared" si="6"/>
        <v>_00</v>
      </c>
      <c r="K188" s="10" t="str">
        <f t="shared" ca="1" si="7"/>
        <v>SSFLAT__20260323_00</v>
      </c>
      <c r="L188" s="10" t="str">
        <f t="shared" ca="1" si="8"/>
        <v>SSFLAT__20260323_0000</v>
      </c>
      <c r="M188" t="b">
        <f>IF(ROW()-ROW($M$1) &lt;= FILLME!$G$4, TRUE, FALSE)</f>
        <v>0</v>
      </c>
      <c r="N188" t="b">
        <f>IF(ROW()-ROW($N$1) &lt;= FILLME!$G$5, TRUE, FALSE)</f>
        <v>0</v>
      </c>
      <c r="O188" t="b">
        <f>IF(ROW()-ROW($O$1) &lt;= FILLME!$G$7, TRUE, FALSE)</f>
        <v>0</v>
      </c>
      <c r="P188" t="b">
        <f>IF(ROW()-ROW($P$1) &lt;= FILLME!$G$6, TRUE, FALSE)</f>
        <v>0</v>
      </c>
      <c r="Q188" t="b">
        <f>IF(ROW()-ROW($Q$1) &lt;= FILLME!$G$8, TRUE, FALSE)</f>
        <v>0</v>
      </c>
      <c r="R188" t="b">
        <f>IF(ROW()-ROW($R$1) &lt;= FILLME!$G$9, TRUE, FALSE)</f>
        <v>0</v>
      </c>
      <c r="S188" t="b">
        <f>IF(ROW()-ROW($S$1) &lt;= FILLME!$G$10, TRUE, FALSE)</f>
        <v>0</v>
      </c>
      <c r="T188" t="b">
        <f>IF(ROW()-ROW($T$1) &lt;= FILLME!$G$11, TRUE, FALSE)</f>
        <v>0</v>
      </c>
    </row>
    <row r="189" spans="1:20" x14ac:dyDescent="0.25">
      <c r="A189" s="7" t="str">
        <f>FILLME!$B$7</f>
        <v>ISCO</v>
      </c>
      <c r="B189" t="str">
        <f>IF(FILLME!$B$3 = "", "", FILLME!$B$3)</f>
        <v>WWS</v>
      </c>
      <c r="C189" t="str">
        <f>IF(FILLME!$B$4 = "", "", FILLME!$B$4)</f>
        <v>SSFLAT</v>
      </c>
      <c r="D189" s="7" t="str">
        <f ca="1">TEXT(FILLME!$B$6,"yyyymmdd")</f>
        <v>20260323</v>
      </c>
      <c r="E189" s="8"/>
      <c r="F189" s="7">
        <f ca="1">IF(FILLME!$B$7="ISCO",FILLME!$B$6+FILLME!$B$11+(FILLME!$B$13*(G189-FILLME!$B$14)),FILLME!$B$6)</f>
        <v>46104.25</v>
      </c>
      <c r="G189" s="8"/>
      <c r="H189" s="8"/>
      <c r="I189" s="2"/>
      <c r="J189" s="9" t="str">
        <f t="shared" si="6"/>
        <v>_00</v>
      </c>
      <c r="K189" s="10" t="str">
        <f t="shared" ca="1" si="7"/>
        <v>SSFLAT__20260323_00</v>
      </c>
      <c r="L189" s="10" t="str">
        <f t="shared" ca="1" si="8"/>
        <v>SSFLAT__20260323_0000</v>
      </c>
      <c r="M189" t="b">
        <f>IF(ROW()-ROW($M$1) &lt;= FILLME!$G$4, TRUE, FALSE)</f>
        <v>0</v>
      </c>
      <c r="N189" t="b">
        <f>IF(ROW()-ROW($N$1) &lt;= FILLME!$G$5, TRUE, FALSE)</f>
        <v>0</v>
      </c>
      <c r="O189" t="b">
        <f>IF(ROW()-ROW($O$1) &lt;= FILLME!$G$7, TRUE, FALSE)</f>
        <v>0</v>
      </c>
      <c r="P189" t="b">
        <f>IF(ROW()-ROW($P$1) &lt;= FILLME!$G$6, TRUE, FALSE)</f>
        <v>0</v>
      </c>
      <c r="Q189" t="b">
        <f>IF(ROW()-ROW($Q$1) &lt;= FILLME!$G$8, TRUE, FALSE)</f>
        <v>0</v>
      </c>
      <c r="R189" t="b">
        <f>IF(ROW()-ROW($R$1) &lt;= FILLME!$G$9, TRUE, FALSE)</f>
        <v>0</v>
      </c>
      <c r="S189" t="b">
        <f>IF(ROW()-ROW($S$1) &lt;= FILLME!$G$10, TRUE, FALSE)</f>
        <v>0</v>
      </c>
      <c r="T189" t="b">
        <f>IF(ROW()-ROW($T$1) &lt;= FILLME!$G$11, TRUE, FALSE)</f>
        <v>0</v>
      </c>
    </row>
    <row r="190" spans="1:20" x14ac:dyDescent="0.25">
      <c r="A190" s="7" t="str">
        <f>FILLME!$B$7</f>
        <v>ISCO</v>
      </c>
      <c r="B190" t="str">
        <f>IF(FILLME!$B$3 = "", "", FILLME!$B$3)</f>
        <v>WWS</v>
      </c>
      <c r="C190" t="str">
        <f>IF(FILLME!$B$4 = "", "", FILLME!$B$4)</f>
        <v>SSFLAT</v>
      </c>
      <c r="D190" s="7" t="str">
        <f ca="1">TEXT(FILLME!$B$6,"yyyymmdd")</f>
        <v>20260323</v>
      </c>
      <c r="E190" s="8"/>
      <c r="F190" s="7">
        <f ca="1">IF(FILLME!$B$7="ISCO",FILLME!$B$6+FILLME!$B$11+(FILLME!$B$13*(G190-FILLME!$B$14)),FILLME!$B$6)</f>
        <v>46104.25</v>
      </c>
      <c r="G190" s="8"/>
      <c r="H190" s="8"/>
      <c r="I190" s="2"/>
      <c r="J190" s="9" t="str">
        <f t="shared" si="6"/>
        <v>_00</v>
      </c>
      <c r="K190" s="10" t="str">
        <f t="shared" ca="1" si="7"/>
        <v>SSFLAT__20260323_00</v>
      </c>
      <c r="L190" s="10" t="str">
        <f t="shared" ca="1" si="8"/>
        <v>SSFLAT__20260323_0000</v>
      </c>
      <c r="M190" t="b">
        <f>IF(ROW()-ROW($M$1) &lt;= FILLME!$G$4, TRUE, FALSE)</f>
        <v>0</v>
      </c>
      <c r="N190" t="b">
        <f>IF(ROW()-ROW($N$1) &lt;= FILLME!$G$5, TRUE, FALSE)</f>
        <v>0</v>
      </c>
      <c r="O190" t="b">
        <f>IF(ROW()-ROW($O$1) &lt;= FILLME!$G$7, TRUE, FALSE)</f>
        <v>0</v>
      </c>
      <c r="P190" t="b">
        <f>IF(ROW()-ROW($P$1) &lt;= FILLME!$G$6, TRUE, FALSE)</f>
        <v>0</v>
      </c>
      <c r="Q190" t="b">
        <f>IF(ROW()-ROW($Q$1) &lt;= FILLME!$G$8, TRUE, FALSE)</f>
        <v>0</v>
      </c>
      <c r="R190" t="b">
        <f>IF(ROW()-ROW($R$1) &lt;= FILLME!$G$9, TRUE, FALSE)</f>
        <v>0</v>
      </c>
      <c r="S190" t="b">
        <f>IF(ROW()-ROW($S$1) &lt;= FILLME!$G$10, TRUE, FALSE)</f>
        <v>0</v>
      </c>
      <c r="T190" t="b">
        <f>IF(ROW()-ROW($T$1) &lt;= FILLME!$G$11, TRUE, FALSE)</f>
        <v>0</v>
      </c>
    </row>
    <row r="191" spans="1:20" x14ac:dyDescent="0.25">
      <c r="A191" s="7" t="str">
        <f>FILLME!$B$7</f>
        <v>ISCO</v>
      </c>
      <c r="B191" t="str">
        <f>IF(FILLME!$B$3 = "", "", FILLME!$B$3)</f>
        <v>WWS</v>
      </c>
      <c r="C191" t="str">
        <f>IF(FILLME!$B$4 = "", "", FILLME!$B$4)</f>
        <v>SSFLAT</v>
      </c>
      <c r="D191" s="7" t="str">
        <f ca="1">TEXT(FILLME!$B$6,"yyyymmdd")</f>
        <v>20260323</v>
      </c>
      <c r="E191" s="8"/>
      <c r="F191" s="7">
        <f ca="1">IF(FILLME!$B$7="ISCO",FILLME!$B$6+FILLME!$B$11+(FILLME!$B$13*(G191-FILLME!$B$14)),FILLME!$B$6)</f>
        <v>46104.25</v>
      </c>
      <c r="G191" s="8"/>
      <c r="H191" s="8"/>
      <c r="I191" s="2"/>
      <c r="J191" s="9" t="str">
        <f t="shared" si="6"/>
        <v>_00</v>
      </c>
      <c r="K191" s="10" t="str">
        <f t="shared" ca="1" si="7"/>
        <v>SSFLAT__20260323_00</v>
      </c>
      <c r="L191" s="10" t="str">
        <f t="shared" ca="1" si="8"/>
        <v>SSFLAT__20260323_0000</v>
      </c>
      <c r="M191" t="b">
        <f>IF(ROW()-ROW($M$1) &lt;= FILLME!$G$4, TRUE, FALSE)</f>
        <v>0</v>
      </c>
      <c r="N191" t="b">
        <f>IF(ROW()-ROW($N$1) &lt;= FILLME!$G$5, TRUE, FALSE)</f>
        <v>0</v>
      </c>
      <c r="O191" t="b">
        <f>IF(ROW()-ROW($O$1) &lt;= FILLME!$G$7, TRUE, FALSE)</f>
        <v>0</v>
      </c>
      <c r="P191" t="b">
        <f>IF(ROW()-ROW($P$1) &lt;= FILLME!$G$6, TRUE, FALSE)</f>
        <v>0</v>
      </c>
      <c r="Q191" t="b">
        <f>IF(ROW()-ROW($Q$1) &lt;= FILLME!$G$8, TRUE, FALSE)</f>
        <v>0</v>
      </c>
      <c r="R191" t="b">
        <f>IF(ROW()-ROW($R$1) &lt;= FILLME!$G$9, TRUE, FALSE)</f>
        <v>0</v>
      </c>
      <c r="S191" t="b">
        <f>IF(ROW()-ROW($S$1) &lt;= FILLME!$G$10, TRUE, FALSE)</f>
        <v>0</v>
      </c>
      <c r="T191" t="b">
        <f>IF(ROW()-ROW($T$1) &lt;= FILLME!$G$11, TRUE, FALSE)</f>
        <v>0</v>
      </c>
    </row>
    <row r="192" spans="1:20" x14ac:dyDescent="0.25">
      <c r="A192" s="7" t="str">
        <f>FILLME!$B$7</f>
        <v>ISCO</v>
      </c>
      <c r="B192" t="str">
        <f>IF(FILLME!$B$3 = "", "", FILLME!$B$3)</f>
        <v>WWS</v>
      </c>
      <c r="C192" t="str">
        <f>IF(FILLME!$B$4 = "", "", FILLME!$B$4)</f>
        <v>SSFLAT</v>
      </c>
      <c r="D192" s="7" t="str">
        <f ca="1">TEXT(FILLME!$B$6,"yyyymmdd")</f>
        <v>20260323</v>
      </c>
      <c r="E192" s="8"/>
      <c r="F192" s="7">
        <f ca="1">IF(FILLME!$B$7="ISCO",FILLME!$B$6+FILLME!$B$11+(FILLME!$B$13*(G192-FILLME!$B$14)),FILLME!$B$6)</f>
        <v>46104.25</v>
      </c>
      <c r="G192" s="8"/>
      <c r="H192" s="8"/>
      <c r="I192" s="2"/>
      <c r="J192" s="9" t="str">
        <f t="shared" si="6"/>
        <v>_00</v>
      </c>
      <c r="K192" s="10" t="str">
        <f t="shared" ca="1" si="7"/>
        <v>SSFLAT__20260323_00</v>
      </c>
      <c r="L192" s="10" t="str">
        <f t="shared" ca="1" si="8"/>
        <v>SSFLAT__20260323_0000</v>
      </c>
      <c r="M192" t="b">
        <f>IF(ROW()-ROW($M$1) &lt;= FILLME!$G$4, TRUE, FALSE)</f>
        <v>0</v>
      </c>
      <c r="N192" t="b">
        <f>IF(ROW()-ROW($N$1) &lt;= FILLME!$G$5, TRUE, FALSE)</f>
        <v>0</v>
      </c>
      <c r="O192" t="b">
        <f>IF(ROW()-ROW($O$1) &lt;= FILLME!$G$7, TRUE, FALSE)</f>
        <v>0</v>
      </c>
      <c r="P192" t="b">
        <f>IF(ROW()-ROW($P$1) &lt;= FILLME!$G$6, TRUE, FALSE)</f>
        <v>0</v>
      </c>
      <c r="Q192" t="b">
        <f>IF(ROW()-ROW($Q$1) &lt;= FILLME!$G$8, TRUE, FALSE)</f>
        <v>0</v>
      </c>
      <c r="R192" t="b">
        <f>IF(ROW()-ROW($R$1) &lt;= FILLME!$G$9, TRUE, FALSE)</f>
        <v>0</v>
      </c>
      <c r="S192" t="b">
        <f>IF(ROW()-ROW($S$1) &lt;= FILLME!$G$10, TRUE, FALSE)</f>
        <v>0</v>
      </c>
      <c r="T192" t="b">
        <f>IF(ROW()-ROW($T$1) &lt;= FILLME!$G$11, TRUE, FALSE)</f>
        <v>0</v>
      </c>
    </row>
    <row r="193" spans="1:20" x14ac:dyDescent="0.25">
      <c r="A193" s="7" t="str">
        <f>FILLME!$B$7</f>
        <v>ISCO</v>
      </c>
      <c r="B193" t="str">
        <f>IF(FILLME!$B$3 = "", "", FILLME!$B$3)</f>
        <v>WWS</v>
      </c>
      <c r="C193" t="str">
        <f>IF(FILLME!$B$4 = "", "", FILLME!$B$4)</f>
        <v>SSFLAT</v>
      </c>
      <c r="D193" s="7" t="str">
        <f ca="1">TEXT(FILLME!$B$6,"yyyymmdd")</f>
        <v>20260323</v>
      </c>
      <c r="E193" s="8"/>
      <c r="F193" s="7">
        <f ca="1">IF(FILLME!$B$7="ISCO",FILLME!$B$6+FILLME!$B$11+(FILLME!$B$13*(G193-FILLME!$B$14)),FILLME!$B$6)</f>
        <v>46104.25</v>
      </c>
      <c r="G193" s="8"/>
      <c r="H193" s="8"/>
      <c r="I193" s="2"/>
      <c r="J193" s="9" t="str">
        <f t="shared" si="6"/>
        <v>_00</v>
      </c>
      <c r="K193" s="10" t="str">
        <f t="shared" ca="1" si="7"/>
        <v>SSFLAT__20260323_00</v>
      </c>
      <c r="L193" s="10" t="str">
        <f t="shared" ca="1" si="8"/>
        <v>SSFLAT__20260323_0000</v>
      </c>
      <c r="M193" t="b">
        <f>IF(ROW()-ROW($M$1) &lt;= FILLME!$G$4, TRUE, FALSE)</f>
        <v>0</v>
      </c>
      <c r="N193" t="b">
        <f>IF(ROW()-ROW($N$1) &lt;= FILLME!$G$5, TRUE, FALSE)</f>
        <v>0</v>
      </c>
      <c r="O193" t="b">
        <f>IF(ROW()-ROW($O$1) &lt;= FILLME!$G$7, TRUE, FALSE)</f>
        <v>0</v>
      </c>
      <c r="P193" t="b">
        <f>IF(ROW()-ROW($P$1) &lt;= FILLME!$G$6, TRUE, FALSE)</f>
        <v>0</v>
      </c>
      <c r="Q193" t="b">
        <f>IF(ROW()-ROW($Q$1) &lt;= FILLME!$G$8, TRUE, FALSE)</f>
        <v>0</v>
      </c>
      <c r="R193" t="b">
        <f>IF(ROW()-ROW($R$1) &lt;= FILLME!$G$9, TRUE, FALSE)</f>
        <v>0</v>
      </c>
      <c r="S193" t="b">
        <f>IF(ROW()-ROW($S$1) &lt;= FILLME!$G$10, TRUE, FALSE)</f>
        <v>0</v>
      </c>
      <c r="T193" t="b">
        <f>IF(ROW()-ROW($T$1) &lt;= FILLME!$G$11, TRUE, FALSE)</f>
        <v>0</v>
      </c>
    </row>
    <row r="194" spans="1:20" x14ac:dyDescent="0.25">
      <c r="A194" s="7" t="str">
        <f>FILLME!$B$7</f>
        <v>ISCO</v>
      </c>
      <c r="B194" t="str">
        <f>IF(FILLME!$B$3 = "", "", FILLME!$B$3)</f>
        <v>WWS</v>
      </c>
      <c r="C194" t="str">
        <f>IF(FILLME!$B$4 = "", "", FILLME!$B$4)</f>
        <v>SSFLAT</v>
      </c>
      <c r="D194" s="7" t="str">
        <f ca="1">TEXT(FILLME!$B$6,"yyyymmdd")</f>
        <v>20260323</v>
      </c>
      <c r="E194" s="8"/>
      <c r="F194" s="7">
        <f ca="1">IF(FILLME!$B$7="ISCO",FILLME!$B$6+FILLME!$B$11+(FILLME!$B$13*(G194-FILLME!$B$14)),FILLME!$B$6)</f>
        <v>46104.25</v>
      </c>
      <c r="G194" s="8"/>
      <c r="H194" s="8"/>
      <c r="I194" s="2"/>
      <c r="J194" s="9" t="str">
        <f t="shared" si="6"/>
        <v>_00</v>
      </c>
      <c r="K194" s="10" t="str">
        <f t="shared" ca="1" si="7"/>
        <v>SSFLAT__20260323_00</v>
      </c>
      <c r="L194" s="10" t="str">
        <f t="shared" ca="1" si="8"/>
        <v>SSFLAT__20260323_0000</v>
      </c>
      <c r="M194" t="b">
        <f>IF(ROW()-ROW($M$1) &lt;= FILLME!$G$4, TRUE, FALSE)</f>
        <v>0</v>
      </c>
      <c r="N194" t="b">
        <f>IF(ROW()-ROW($N$1) &lt;= FILLME!$G$5, TRUE, FALSE)</f>
        <v>0</v>
      </c>
      <c r="O194" t="b">
        <f>IF(ROW()-ROW($O$1) &lt;= FILLME!$G$7, TRUE, FALSE)</f>
        <v>0</v>
      </c>
      <c r="P194" t="b">
        <f>IF(ROW()-ROW($P$1) &lt;= FILLME!$G$6, TRUE, FALSE)</f>
        <v>0</v>
      </c>
      <c r="Q194" t="b">
        <f>IF(ROW()-ROW($Q$1) &lt;= FILLME!$G$8, TRUE, FALSE)</f>
        <v>0</v>
      </c>
      <c r="R194" t="b">
        <f>IF(ROW()-ROW($R$1) &lt;= FILLME!$G$9, TRUE, FALSE)</f>
        <v>0</v>
      </c>
      <c r="S194" t="b">
        <f>IF(ROW()-ROW($S$1) &lt;= FILLME!$G$10, TRUE, FALSE)</f>
        <v>0</v>
      </c>
      <c r="T194" t="b">
        <f>IF(ROW()-ROW($T$1) &lt;= FILLME!$G$11, TRUE, FALSE)</f>
        <v>0</v>
      </c>
    </row>
    <row r="195" spans="1:20" x14ac:dyDescent="0.25">
      <c r="A195" s="7" t="str">
        <f>FILLME!$B$7</f>
        <v>ISCO</v>
      </c>
      <c r="B195" t="str">
        <f>IF(FILLME!$B$3 = "", "", FILLME!$B$3)</f>
        <v>WWS</v>
      </c>
      <c r="C195" t="str">
        <f>IF(FILLME!$B$4 = "", "", FILLME!$B$4)</f>
        <v>SSFLAT</v>
      </c>
      <c r="D195" s="7" t="str">
        <f ca="1">TEXT(FILLME!$B$6,"yyyymmdd")</f>
        <v>20260323</v>
      </c>
      <c r="E195" s="8"/>
      <c r="F195" s="7">
        <f ca="1">IF(FILLME!$B$7="ISCO",FILLME!$B$6+FILLME!$B$11+(FILLME!$B$13*(G195-FILLME!$B$14)),FILLME!$B$6)</f>
        <v>46104.25</v>
      </c>
      <c r="G195" s="8"/>
      <c r="H195" s="8"/>
      <c r="I195" s="2"/>
      <c r="J195" s="9" t="str">
        <f t="shared" ref="J195:J258" si="9">CONCATENATE(I195,"_",TEXT(G195,"00"))</f>
        <v>_00</v>
      </c>
      <c r="K195" s="10" t="str">
        <f t="shared" ref="K195:K258" ca="1" si="10">CONCATENATE(C195,"_", I195,"_",D195,"_",TEXT(G195,"00"))</f>
        <v>SSFLAT__20260323_00</v>
      </c>
      <c r="L195" s="10" t="str">
        <f t="shared" ref="L195:L258" ca="1" si="11">CONCATENATE(C195,"_", I195,"_",TEXT(F195, "yyyymmdd"),"_",TEXT(E195, "hhmm"))</f>
        <v>SSFLAT__20260323_0000</v>
      </c>
      <c r="M195" t="b">
        <f>IF(ROW()-ROW($M$1) &lt;= FILLME!$G$4, TRUE, FALSE)</f>
        <v>0</v>
      </c>
      <c r="N195" t="b">
        <f>IF(ROW()-ROW($N$1) &lt;= FILLME!$G$5, TRUE, FALSE)</f>
        <v>0</v>
      </c>
      <c r="O195" t="b">
        <f>IF(ROW()-ROW($O$1) &lt;= FILLME!$G$7, TRUE, FALSE)</f>
        <v>0</v>
      </c>
      <c r="P195" t="b">
        <f>IF(ROW()-ROW($P$1) &lt;= FILLME!$G$6, TRUE, FALSE)</f>
        <v>0</v>
      </c>
      <c r="Q195" t="b">
        <f>IF(ROW()-ROW($Q$1) &lt;= FILLME!$G$8, TRUE, FALSE)</f>
        <v>0</v>
      </c>
      <c r="R195" t="b">
        <f>IF(ROW()-ROW($R$1) &lt;= FILLME!$G$9, TRUE, FALSE)</f>
        <v>0</v>
      </c>
      <c r="S195" t="b">
        <f>IF(ROW()-ROW($S$1) &lt;= FILLME!$G$10, TRUE, FALSE)</f>
        <v>0</v>
      </c>
      <c r="T195" t="b">
        <f>IF(ROW()-ROW($T$1) &lt;= FILLME!$G$11, TRUE, FALSE)</f>
        <v>0</v>
      </c>
    </row>
    <row r="196" spans="1:20" x14ac:dyDescent="0.25">
      <c r="A196" s="7" t="str">
        <f>FILLME!$B$7</f>
        <v>ISCO</v>
      </c>
      <c r="B196" t="str">
        <f>IF(FILLME!$B$3 = "", "", FILLME!$B$3)</f>
        <v>WWS</v>
      </c>
      <c r="C196" t="str">
        <f>IF(FILLME!$B$4 = "", "", FILLME!$B$4)</f>
        <v>SSFLAT</v>
      </c>
      <c r="D196" s="7" t="str">
        <f ca="1">TEXT(FILLME!$B$6,"yyyymmdd")</f>
        <v>20260323</v>
      </c>
      <c r="E196" s="8"/>
      <c r="F196" s="7">
        <f ca="1">IF(FILLME!$B$7="ISCO",FILLME!$B$6+FILLME!$B$11+(FILLME!$B$13*(G196-FILLME!$B$14)),FILLME!$B$6)</f>
        <v>46104.25</v>
      </c>
      <c r="G196" s="8"/>
      <c r="H196" s="8"/>
      <c r="I196" s="2"/>
      <c r="J196" s="9" t="str">
        <f t="shared" si="9"/>
        <v>_00</v>
      </c>
      <c r="K196" s="10" t="str">
        <f t="shared" ca="1" si="10"/>
        <v>SSFLAT__20260323_00</v>
      </c>
      <c r="L196" s="10" t="str">
        <f t="shared" ca="1" si="11"/>
        <v>SSFLAT__20260323_0000</v>
      </c>
      <c r="M196" t="b">
        <f>IF(ROW()-ROW($M$1) &lt;= FILLME!$G$4, TRUE, FALSE)</f>
        <v>0</v>
      </c>
      <c r="N196" t="b">
        <f>IF(ROW()-ROW($N$1) &lt;= FILLME!$G$5, TRUE, FALSE)</f>
        <v>0</v>
      </c>
      <c r="O196" t="b">
        <f>IF(ROW()-ROW($O$1) &lt;= FILLME!$G$7, TRUE, FALSE)</f>
        <v>0</v>
      </c>
      <c r="P196" t="b">
        <f>IF(ROW()-ROW($P$1) &lt;= FILLME!$G$6, TRUE, FALSE)</f>
        <v>0</v>
      </c>
      <c r="Q196" t="b">
        <f>IF(ROW()-ROW($Q$1) &lt;= FILLME!$G$8, TRUE, FALSE)</f>
        <v>0</v>
      </c>
      <c r="R196" t="b">
        <f>IF(ROW()-ROW($R$1) &lt;= FILLME!$G$9, TRUE, FALSE)</f>
        <v>0</v>
      </c>
      <c r="S196" t="b">
        <f>IF(ROW()-ROW($S$1) &lt;= FILLME!$G$10, TRUE, FALSE)</f>
        <v>0</v>
      </c>
      <c r="T196" t="b">
        <f>IF(ROW()-ROW($T$1) &lt;= FILLME!$G$11, TRUE, FALSE)</f>
        <v>0</v>
      </c>
    </row>
    <row r="197" spans="1:20" x14ac:dyDescent="0.25">
      <c r="A197" s="7" t="str">
        <f>FILLME!$B$7</f>
        <v>ISCO</v>
      </c>
      <c r="B197" t="str">
        <f>IF(FILLME!$B$3 = "", "", FILLME!$B$3)</f>
        <v>WWS</v>
      </c>
      <c r="C197" t="str">
        <f>IF(FILLME!$B$4 = "", "", FILLME!$B$4)</f>
        <v>SSFLAT</v>
      </c>
      <c r="D197" s="7" t="str">
        <f ca="1">TEXT(FILLME!$B$6,"yyyymmdd")</f>
        <v>20260323</v>
      </c>
      <c r="E197" s="8"/>
      <c r="F197" s="7">
        <f ca="1">IF(FILLME!$B$7="ISCO",FILLME!$B$6+FILLME!$B$11+(FILLME!$B$13*(G197-FILLME!$B$14)),FILLME!$B$6)</f>
        <v>46104.25</v>
      </c>
      <c r="G197" s="8"/>
      <c r="H197" s="8"/>
      <c r="I197" s="2"/>
      <c r="J197" s="9" t="str">
        <f t="shared" si="9"/>
        <v>_00</v>
      </c>
      <c r="K197" s="10" t="str">
        <f t="shared" ca="1" si="10"/>
        <v>SSFLAT__20260323_00</v>
      </c>
      <c r="L197" s="10" t="str">
        <f t="shared" ca="1" si="11"/>
        <v>SSFLAT__20260323_0000</v>
      </c>
      <c r="M197" t="b">
        <f>IF(ROW()-ROW($M$1) &lt;= FILLME!$G$4, TRUE, FALSE)</f>
        <v>0</v>
      </c>
      <c r="N197" t="b">
        <f>IF(ROW()-ROW($N$1) &lt;= FILLME!$G$5, TRUE, FALSE)</f>
        <v>0</v>
      </c>
      <c r="O197" t="b">
        <f>IF(ROW()-ROW($O$1) &lt;= FILLME!$G$7, TRUE, FALSE)</f>
        <v>0</v>
      </c>
      <c r="P197" t="b">
        <f>IF(ROW()-ROW($P$1) &lt;= FILLME!$G$6, TRUE, FALSE)</f>
        <v>0</v>
      </c>
      <c r="Q197" t="b">
        <f>IF(ROW()-ROW($Q$1) &lt;= FILLME!$G$8, TRUE, FALSE)</f>
        <v>0</v>
      </c>
      <c r="R197" t="b">
        <f>IF(ROW()-ROW($R$1) &lt;= FILLME!$G$9, TRUE, FALSE)</f>
        <v>0</v>
      </c>
      <c r="S197" t="b">
        <f>IF(ROW()-ROW($S$1) &lt;= FILLME!$G$10, TRUE, FALSE)</f>
        <v>0</v>
      </c>
      <c r="T197" t="b">
        <f>IF(ROW()-ROW($T$1) &lt;= FILLME!$G$11, TRUE, FALSE)</f>
        <v>0</v>
      </c>
    </row>
    <row r="198" spans="1:20" x14ac:dyDescent="0.25">
      <c r="A198" s="7" t="str">
        <f>FILLME!$B$7</f>
        <v>ISCO</v>
      </c>
      <c r="B198" t="str">
        <f>IF(FILLME!$B$3 = "", "", FILLME!$B$3)</f>
        <v>WWS</v>
      </c>
      <c r="C198" t="str">
        <f>IF(FILLME!$B$4 = "", "", FILLME!$B$4)</f>
        <v>SSFLAT</v>
      </c>
      <c r="D198" s="7" t="str">
        <f ca="1">TEXT(FILLME!$B$6,"yyyymmdd")</f>
        <v>20260323</v>
      </c>
      <c r="E198" s="8"/>
      <c r="F198" s="7">
        <f ca="1">IF(FILLME!$B$7="ISCO",FILLME!$B$6+FILLME!$B$11+(FILLME!$B$13*(G198-FILLME!$B$14)),FILLME!$B$6)</f>
        <v>46104.25</v>
      </c>
      <c r="G198" s="8"/>
      <c r="H198" s="8"/>
      <c r="I198" s="2"/>
      <c r="J198" s="9" t="str">
        <f t="shared" si="9"/>
        <v>_00</v>
      </c>
      <c r="K198" s="10" t="str">
        <f t="shared" ca="1" si="10"/>
        <v>SSFLAT__20260323_00</v>
      </c>
      <c r="L198" s="10" t="str">
        <f t="shared" ca="1" si="11"/>
        <v>SSFLAT__20260323_0000</v>
      </c>
      <c r="M198" t="b">
        <f>IF(ROW()-ROW($M$1) &lt;= FILLME!$G$4, TRUE, FALSE)</f>
        <v>0</v>
      </c>
      <c r="N198" t="b">
        <f>IF(ROW()-ROW($N$1) &lt;= FILLME!$G$5, TRUE, FALSE)</f>
        <v>0</v>
      </c>
      <c r="O198" t="b">
        <f>IF(ROW()-ROW($O$1) &lt;= FILLME!$G$7, TRUE, FALSE)</f>
        <v>0</v>
      </c>
      <c r="P198" t="b">
        <f>IF(ROW()-ROW($P$1) &lt;= FILLME!$G$6, TRUE, FALSE)</f>
        <v>0</v>
      </c>
      <c r="Q198" t="b">
        <f>IF(ROW()-ROW($Q$1) &lt;= FILLME!$G$8, TRUE, FALSE)</f>
        <v>0</v>
      </c>
      <c r="R198" t="b">
        <f>IF(ROW()-ROW($R$1) &lt;= FILLME!$G$9, TRUE, FALSE)</f>
        <v>0</v>
      </c>
      <c r="S198" t="b">
        <f>IF(ROW()-ROW($S$1) &lt;= FILLME!$G$10, TRUE, FALSE)</f>
        <v>0</v>
      </c>
      <c r="T198" t="b">
        <f>IF(ROW()-ROW($T$1) &lt;= FILLME!$G$11, TRUE, FALSE)</f>
        <v>0</v>
      </c>
    </row>
    <row r="199" spans="1:20" x14ac:dyDescent="0.25">
      <c r="A199" s="7" t="str">
        <f>FILLME!$B$7</f>
        <v>ISCO</v>
      </c>
      <c r="B199" t="str">
        <f>IF(FILLME!$B$3 = "", "", FILLME!$B$3)</f>
        <v>WWS</v>
      </c>
      <c r="C199" t="str">
        <f>IF(FILLME!$B$4 = "", "", FILLME!$B$4)</f>
        <v>SSFLAT</v>
      </c>
      <c r="D199" s="7" t="str">
        <f ca="1">TEXT(FILLME!$B$6,"yyyymmdd")</f>
        <v>20260323</v>
      </c>
      <c r="E199" s="8"/>
      <c r="F199" s="7">
        <f ca="1">IF(FILLME!$B$7="ISCO",FILLME!$B$6+FILLME!$B$11+(FILLME!$B$13*(G199-FILLME!$B$14)),FILLME!$B$6)</f>
        <v>46104.25</v>
      </c>
      <c r="G199" s="8"/>
      <c r="H199" s="8"/>
      <c r="I199" s="2"/>
      <c r="J199" s="9" t="str">
        <f t="shared" si="9"/>
        <v>_00</v>
      </c>
      <c r="K199" s="10" t="str">
        <f t="shared" ca="1" si="10"/>
        <v>SSFLAT__20260323_00</v>
      </c>
      <c r="L199" s="10" t="str">
        <f t="shared" ca="1" si="11"/>
        <v>SSFLAT__20260323_0000</v>
      </c>
      <c r="M199" t="b">
        <f>IF(ROW()-ROW($M$1) &lt;= FILLME!$G$4, TRUE, FALSE)</f>
        <v>0</v>
      </c>
      <c r="N199" t="b">
        <f>IF(ROW()-ROW($N$1) &lt;= FILLME!$G$5, TRUE, FALSE)</f>
        <v>0</v>
      </c>
      <c r="O199" t="b">
        <f>IF(ROW()-ROW($O$1) &lt;= FILLME!$G$7, TRUE, FALSE)</f>
        <v>0</v>
      </c>
      <c r="P199" t="b">
        <f>IF(ROW()-ROW($P$1) &lt;= FILLME!$G$6, TRUE, FALSE)</f>
        <v>0</v>
      </c>
      <c r="Q199" t="b">
        <f>IF(ROW()-ROW($Q$1) &lt;= FILLME!$G$8, TRUE, FALSE)</f>
        <v>0</v>
      </c>
      <c r="R199" t="b">
        <f>IF(ROW()-ROW($R$1) &lt;= FILLME!$G$9, TRUE, FALSE)</f>
        <v>0</v>
      </c>
      <c r="S199" t="b">
        <f>IF(ROW()-ROW($S$1) &lt;= FILLME!$G$10, TRUE, FALSE)</f>
        <v>0</v>
      </c>
      <c r="T199" t="b">
        <f>IF(ROW()-ROW($T$1) &lt;= FILLME!$G$11, TRUE, FALSE)</f>
        <v>0</v>
      </c>
    </row>
    <row r="200" spans="1:20" x14ac:dyDescent="0.25">
      <c r="A200" s="7" t="str">
        <f>FILLME!$B$7</f>
        <v>ISCO</v>
      </c>
      <c r="B200" t="str">
        <f>IF(FILLME!$B$3 = "", "", FILLME!$B$3)</f>
        <v>WWS</v>
      </c>
      <c r="C200" t="str">
        <f>IF(FILLME!$B$4 = "", "", FILLME!$B$4)</f>
        <v>SSFLAT</v>
      </c>
      <c r="D200" s="7" t="str">
        <f ca="1">TEXT(FILLME!$B$6,"yyyymmdd")</f>
        <v>20260323</v>
      </c>
      <c r="E200" s="8"/>
      <c r="F200" s="7">
        <f ca="1">IF(FILLME!$B$7="ISCO",FILLME!$B$6+FILLME!$B$11+(FILLME!$B$13*(G200-FILLME!$B$14)),FILLME!$B$6)</f>
        <v>46104.25</v>
      </c>
      <c r="G200" s="8"/>
      <c r="H200" s="8"/>
      <c r="I200" s="2"/>
      <c r="J200" s="9" t="str">
        <f t="shared" si="9"/>
        <v>_00</v>
      </c>
      <c r="K200" s="10" t="str">
        <f t="shared" ca="1" si="10"/>
        <v>SSFLAT__20260323_00</v>
      </c>
      <c r="L200" s="10" t="str">
        <f t="shared" ca="1" si="11"/>
        <v>SSFLAT__20260323_0000</v>
      </c>
      <c r="M200" t="b">
        <f>IF(ROW()-ROW($M$1) &lt;= FILLME!$G$4, TRUE, FALSE)</f>
        <v>0</v>
      </c>
      <c r="N200" t="b">
        <f>IF(ROW()-ROW($N$1) &lt;= FILLME!$G$5, TRUE, FALSE)</f>
        <v>0</v>
      </c>
      <c r="O200" t="b">
        <f>IF(ROW()-ROW($O$1) &lt;= FILLME!$G$7, TRUE, FALSE)</f>
        <v>0</v>
      </c>
      <c r="P200" t="b">
        <f>IF(ROW()-ROW($P$1) &lt;= FILLME!$G$6, TRUE, FALSE)</f>
        <v>0</v>
      </c>
      <c r="Q200" t="b">
        <f>IF(ROW()-ROW($Q$1) &lt;= FILLME!$G$8, TRUE, FALSE)</f>
        <v>0</v>
      </c>
      <c r="R200" t="b">
        <f>IF(ROW()-ROW($R$1) &lt;= FILLME!$G$9, TRUE, FALSE)</f>
        <v>0</v>
      </c>
      <c r="S200" t="b">
        <f>IF(ROW()-ROW($S$1) &lt;= FILLME!$G$10, TRUE, FALSE)</f>
        <v>0</v>
      </c>
      <c r="T200" t="b">
        <f>IF(ROW()-ROW($T$1) &lt;= FILLME!$G$11, TRUE, FALSE)</f>
        <v>0</v>
      </c>
    </row>
    <row r="201" spans="1:20" x14ac:dyDescent="0.25">
      <c r="A201" s="7" t="str">
        <f>FILLME!$B$7</f>
        <v>ISCO</v>
      </c>
      <c r="B201" t="str">
        <f>IF(FILLME!$B$3 = "", "", FILLME!$B$3)</f>
        <v>WWS</v>
      </c>
      <c r="C201" t="str">
        <f>IF(FILLME!$B$4 = "", "", FILLME!$B$4)</f>
        <v>SSFLAT</v>
      </c>
      <c r="D201" s="7" t="str">
        <f ca="1">TEXT(FILLME!$B$6,"yyyymmdd")</f>
        <v>20260323</v>
      </c>
      <c r="E201" s="8"/>
      <c r="F201" s="7">
        <f ca="1">IF(FILLME!$B$7="ISCO",FILLME!$B$6+FILLME!$B$11+(FILLME!$B$13*(G201-FILLME!$B$14)),FILLME!$B$6)</f>
        <v>46104.25</v>
      </c>
      <c r="G201" s="8"/>
      <c r="H201" s="8"/>
      <c r="I201" s="2"/>
      <c r="J201" s="9" t="str">
        <f t="shared" si="9"/>
        <v>_00</v>
      </c>
      <c r="K201" s="10" t="str">
        <f t="shared" ca="1" si="10"/>
        <v>SSFLAT__20260323_00</v>
      </c>
      <c r="L201" s="10" t="str">
        <f t="shared" ca="1" si="11"/>
        <v>SSFLAT__20260323_0000</v>
      </c>
      <c r="M201" t="b">
        <f>IF(ROW()-ROW($M$1) &lt;= FILLME!$G$4, TRUE, FALSE)</f>
        <v>0</v>
      </c>
      <c r="N201" t="b">
        <f>IF(ROW()-ROW($N$1) &lt;= FILLME!$G$5, TRUE, FALSE)</f>
        <v>0</v>
      </c>
      <c r="O201" t="b">
        <f>IF(ROW()-ROW($O$1) &lt;= FILLME!$G$7, TRUE, FALSE)</f>
        <v>0</v>
      </c>
      <c r="P201" t="b">
        <f>IF(ROW()-ROW($P$1) &lt;= FILLME!$G$6, TRUE, FALSE)</f>
        <v>0</v>
      </c>
      <c r="Q201" t="b">
        <f>IF(ROW()-ROW($Q$1) &lt;= FILLME!$G$8, TRUE, FALSE)</f>
        <v>0</v>
      </c>
      <c r="R201" t="b">
        <f>IF(ROW()-ROW($R$1) &lt;= FILLME!$G$9, TRUE, FALSE)</f>
        <v>0</v>
      </c>
      <c r="S201" t="b">
        <f>IF(ROW()-ROW($S$1) &lt;= FILLME!$G$10, TRUE, FALSE)</f>
        <v>0</v>
      </c>
      <c r="T201" t="b">
        <f>IF(ROW()-ROW($T$1) &lt;= FILLME!$G$11, TRUE, FALSE)</f>
        <v>0</v>
      </c>
    </row>
    <row r="202" spans="1:20" x14ac:dyDescent="0.25">
      <c r="A202" s="7" t="str">
        <f>FILLME!$B$7</f>
        <v>ISCO</v>
      </c>
      <c r="B202" t="str">
        <f>IF(FILLME!$B$3 = "", "", FILLME!$B$3)</f>
        <v>WWS</v>
      </c>
      <c r="C202" t="str">
        <f>IF(FILLME!$B$4 = "", "", FILLME!$B$4)</f>
        <v>SSFLAT</v>
      </c>
      <c r="D202" s="7" t="str">
        <f ca="1">TEXT(FILLME!$B$6,"yyyymmdd")</f>
        <v>20260323</v>
      </c>
      <c r="E202" s="8"/>
      <c r="F202" s="7">
        <f ca="1">IF(FILLME!$B$7="ISCO",FILLME!$B$6+FILLME!$B$11+(FILLME!$B$13*(G202-FILLME!$B$14)),FILLME!$B$6)</f>
        <v>46104.25</v>
      </c>
      <c r="G202" s="8"/>
      <c r="H202" s="8"/>
      <c r="I202" s="2"/>
      <c r="J202" s="9" t="str">
        <f t="shared" si="9"/>
        <v>_00</v>
      </c>
      <c r="K202" s="10" t="str">
        <f t="shared" ca="1" si="10"/>
        <v>SSFLAT__20260323_00</v>
      </c>
      <c r="L202" s="10" t="str">
        <f t="shared" ca="1" si="11"/>
        <v>SSFLAT__20260323_0000</v>
      </c>
      <c r="M202" t="b">
        <f>IF(ROW()-ROW($M$1) &lt;= FILLME!$G$4, TRUE, FALSE)</f>
        <v>0</v>
      </c>
      <c r="N202" t="b">
        <f>IF(ROW()-ROW($N$1) &lt;= FILLME!$G$5, TRUE, FALSE)</f>
        <v>0</v>
      </c>
      <c r="O202" t="b">
        <f>IF(ROW()-ROW($O$1) &lt;= FILLME!$G$7, TRUE, FALSE)</f>
        <v>0</v>
      </c>
      <c r="P202" t="b">
        <f>IF(ROW()-ROW($P$1) &lt;= FILLME!$G$6, TRUE, FALSE)</f>
        <v>0</v>
      </c>
      <c r="Q202" t="b">
        <f>IF(ROW()-ROW($Q$1) &lt;= FILLME!$G$8, TRUE, FALSE)</f>
        <v>0</v>
      </c>
      <c r="R202" t="b">
        <f>IF(ROW()-ROW($R$1) &lt;= FILLME!$G$9, TRUE, FALSE)</f>
        <v>0</v>
      </c>
      <c r="S202" t="b">
        <f>IF(ROW()-ROW($S$1) &lt;= FILLME!$G$10, TRUE, FALSE)</f>
        <v>0</v>
      </c>
      <c r="T202" t="b">
        <f>IF(ROW()-ROW($T$1) &lt;= FILLME!$G$11, TRUE, FALSE)</f>
        <v>0</v>
      </c>
    </row>
    <row r="203" spans="1:20" x14ac:dyDescent="0.25">
      <c r="A203" s="7" t="str">
        <f>FILLME!$B$7</f>
        <v>ISCO</v>
      </c>
      <c r="B203" t="str">
        <f>IF(FILLME!$B$3 = "", "", FILLME!$B$3)</f>
        <v>WWS</v>
      </c>
      <c r="C203" t="str">
        <f>IF(FILLME!$B$4 = "", "", FILLME!$B$4)</f>
        <v>SSFLAT</v>
      </c>
      <c r="D203" s="7" t="str">
        <f ca="1">TEXT(FILLME!$B$6,"yyyymmdd")</f>
        <v>20260323</v>
      </c>
      <c r="E203" s="8"/>
      <c r="F203" s="7">
        <f ca="1">IF(FILLME!$B$7="ISCO",FILLME!$B$6+FILLME!$B$11+(FILLME!$B$13*(G203-FILLME!$B$14)),FILLME!$B$6)</f>
        <v>46104.25</v>
      </c>
      <c r="G203" s="8"/>
      <c r="H203" s="8"/>
      <c r="I203" s="2"/>
      <c r="J203" s="9" t="str">
        <f t="shared" si="9"/>
        <v>_00</v>
      </c>
      <c r="K203" s="10" t="str">
        <f t="shared" ca="1" si="10"/>
        <v>SSFLAT__20260323_00</v>
      </c>
      <c r="L203" s="10" t="str">
        <f t="shared" ca="1" si="11"/>
        <v>SSFLAT__20260323_0000</v>
      </c>
      <c r="M203" t="b">
        <f>IF(ROW()-ROW($M$1) &lt;= FILLME!$G$4, TRUE, FALSE)</f>
        <v>0</v>
      </c>
      <c r="N203" t="b">
        <f>IF(ROW()-ROW($N$1) &lt;= FILLME!$G$5, TRUE, FALSE)</f>
        <v>0</v>
      </c>
      <c r="O203" t="b">
        <f>IF(ROW()-ROW($O$1) &lt;= FILLME!$G$7, TRUE, FALSE)</f>
        <v>0</v>
      </c>
      <c r="P203" t="b">
        <f>IF(ROW()-ROW($P$1) &lt;= FILLME!$G$6, TRUE, FALSE)</f>
        <v>0</v>
      </c>
      <c r="Q203" t="b">
        <f>IF(ROW()-ROW($Q$1) &lt;= FILLME!$G$8, TRUE, FALSE)</f>
        <v>0</v>
      </c>
      <c r="R203" t="b">
        <f>IF(ROW()-ROW($R$1) &lt;= FILLME!$G$9, TRUE, FALSE)</f>
        <v>0</v>
      </c>
      <c r="S203" t="b">
        <f>IF(ROW()-ROW($S$1) &lt;= FILLME!$G$10, TRUE, FALSE)</f>
        <v>0</v>
      </c>
      <c r="T203" t="b">
        <f>IF(ROW()-ROW($T$1) &lt;= FILLME!$G$11, TRUE, FALSE)</f>
        <v>0</v>
      </c>
    </row>
    <row r="204" spans="1:20" x14ac:dyDescent="0.25">
      <c r="A204" s="7" t="str">
        <f>FILLME!$B$7</f>
        <v>ISCO</v>
      </c>
      <c r="B204" t="str">
        <f>IF(FILLME!$B$3 = "", "", FILLME!$B$3)</f>
        <v>WWS</v>
      </c>
      <c r="C204" t="str">
        <f>IF(FILLME!$B$4 = "", "", FILLME!$B$4)</f>
        <v>SSFLAT</v>
      </c>
      <c r="D204" s="7" t="str">
        <f ca="1">TEXT(FILLME!$B$6,"yyyymmdd")</f>
        <v>20260323</v>
      </c>
      <c r="E204" s="8"/>
      <c r="F204" s="7">
        <f ca="1">IF(FILLME!$B$7="ISCO",FILLME!$B$6+FILLME!$B$11+(FILLME!$B$13*(G204-FILLME!$B$14)),FILLME!$B$6)</f>
        <v>46104.25</v>
      </c>
      <c r="G204" s="8"/>
      <c r="H204" s="8"/>
      <c r="I204" s="2"/>
      <c r="J204" s="9" t="str">
        <f t="shared" si="9"/>
        <v>_00</v>
      </c>
      <c r="K204" s="10" t="str">
        <f t="shared" ca="1" si="10"/>
        <v>SSFLAT__20260323_00</v>
      </c>
      <c r="L204" s="10" t="str">
        <f t="shared" ca="1" si="11"/>
        <v>SSFLAT__20260323_0000</v>
      </c>
      <c r="M204" t="b">
        <f>IF(ROW()-ROW($M$1) &lt;= FILLME!$G$4, TRUE, FALSE)</f>
        <v>0</v>
      </c>
      <c r="N204" t="b">
        <f>IF(ROW()-ROW($N$1) &lt;= FILLME!$G$5, TRUE, FALSE)</f>
        <v>0</v>
      </c>
      <c r="O204" t="b">
        <f>IF(ROW()-ROW($O$1) &lt;= FILLME!$G$7, TRUE, FALSE)</f>
        <v>0</v>
      </c>
      <c r="P204" t="b">
        <f>IF(ROW()-ROW($P$1) &lt;= FILLME!$G$6, TRUE, FALSE)</f>
        <v>0</v>
      </c>
      <c r="Q204" t="b">
        <f>IF(ROW()-ROW($Q$1) &lt;= FILLME!$G$8, TRUE, FALSE)</f>
        <v>0</v>
      </c>
      <c r="R204" t="b">
        <f>IF(ROW()-ROW($R$1) &lt;= FILLME!$G$9, TRUE, FALSE)</f>
        <v>0</v>
      </c>
      <c r="S204" t="b">
        <f>IF(ROW()-ROW($S$1) &lt;= FILLME!$G$10, TRUE, FALSE)</f>
        <v>0</v>
      </c>
      <c r="T204" t="b">
        <f>IF(ROW()-ROW($T$1) &lt;= FILLME!$G$11, TRUE, FALSE)</f>
        <v>0</v>
      </c>
    </row>
    <row r="205" spans="1:20" x14ac:dyDescent="0.25">
      <c r="A205" s="7" t="str">
        <f>FILLME!$B$7</f>
        <v>ISCO</v>
      </c>
      <c r="B205" t="str">
        <f>IF(FILLME!$B$3 = "", "", FILLME!$B$3)</f>
        <v>WWS</v>
      </c>
      <c r="C205" t="str">
        <f>IF(FILLME!$B$4 = "", "", FILLME!$B$4)</f>
        <v>SSFLAT</v>
      </c>
      <c r="D205" s="7" t="str">
        <f ca="1">TEXT(FILLME!$B$6,"yyyymmdd")</f>
        <v>20260323</v>
      </c>
      <c r="E205" s="8"/>
      <c r="F205" s="7">
        <f ca="1">IF(FILLME!$B$7="ISCO",FILLME!$B$6+FILLME!$B$11+(FILLME!$B$13*(G205-FILLME!$B$14)),FILLME!$B$6)</f>
        <v>46104.25</v>
      </c>
      <c r="G205" s="8"/>
      <c r="H205" s="8"/>
      <c r="I205" s="2"/>
      <c r="J205" s="9" t="str">
        <f t="shared" si="9"/>
        <v>_00</v>
      </c>
      <c r="K205" s="10" t="str">
        <f t="shared" ca="1" si="10"/>
        <v>SSFLAT__20260323_00</v>
      </c>
      <c r="L205" s="10" t="str">
        <f t="shared" ca="1" si="11"/>
        <v>SSFLAT__20260323_0000</v>
      </c>
      <c r="M205" t="b">
        <f>IF(ROW()-ROW($M$1) &lt;= FILLME!$G$4, TRUE, FALSE)</f>
        <v>0</v>
      </c>
      <c r="N205" t="b">
        <f>IF(ROW()-ROW($N$1) &lt;= FILLME!$G$5, TRUE, FALSE)</f>
        <v>0</v>
      </c>
      <c r="O205" t="b">
        <f>IF(ROW()-ROW($O$1) &lt;= FILLME!$G$7, TRUE, FALSE)</f>
        <v>0</v>
      </c>
      <c r="P205" t="b">
        <f>IF(ROW()-ROW($P$1) &lt;= FILLME!$G$6, TRUE, FALSE)</f>
        <v>0</v>
      </c>
      <c r="Q205" t="b">
        <f>IF(ROW()-ROW($Q$1) &lt;= FILLME!$G$8, TRUE, FALSE)</f>
        <v>0</v>
      </c>
      <c r="R205" t="b">
        <f>IF(ROW()-ROW($R$1) &lt;= FILLME!$G$9, TRUE, FALSE)</f>
        <v>0</v>
      </c>
      <c r="S205" t="b">
        <f>IF(ROW()-ROW($S$1) &lt;= FILLME!$G$10, TRUE, FALSE)</f>
        <v>0</v>
      </c>
      <c r="T205" t="b">
        <f>IF(ROW()-ROW($T$1) &lt;= FILLME!$G$11, TRUE, FALSE)</f>
        <v>0</v>
      </c>
    </row>
    <row r="206" spans="1:20" x14ac:dyDescent="0.25">
      <c r="A206" s="7" t="str">
        <f>FILLME!$B$7</f>
        <v>ISCO</v>
      </c>
      <c r="B206" t="str">
        <f>IF(FILLME!$B$3 = "", "", FILLME!$B$3)</f>
        <v>WWS</v>
      </c>
      <c r="C206" t="str">
        <f>IF(FILLME!$B$4 = "", "", FILLME!$B$4)</f>
        <v>SSFLAT</v>
      </c>
      <c r="D206" s="7" t="str">
        <f ca="1">TEXT(FILLME!$B$6,"yyyymmdd")</f>
        <v>20260323</v>
      </c>
      <c r="E206" s="8"/>
      <c r="F206" s="7">
        <f ca="1">IF(FILLME!$B$7="ISCO",FILLME!$B$6+FILLME!$B$11+(FILLME!$B$13*(G206-FILLME!$B$14)),FILLME!$B$6)</f>
        <v>46104.25</v>
      </c>
      <c r="G206" s="8"/>
      <c r="H206" s="8"/>
      <c r="I206" s="2"/>
      <c r="J206" s="9" t="str">
        <f t="shared" si="9"/>
        <v>_00</v>
      </c>
      <c r="K206" s="10" t="str">
        <f t="shared" ca="1" si="10"/>
        <v>SSFLAT__20260323_00</v>
      </c>
      <c r="L206" s="10" t="str">
        <f t="shared" ca="1" si="11"/>
        <v>SSFLAT__20260323_0000</v>
      </c>
      <c r="M206" t="b">
        <f>IF(ROW()-ROW($M$1) &lt;= FILLME!$G$4, TRUE, FALSE)</f>
        <v>0</v>
      </c>
      <c r="N206" t="b">
        <f>IF(ROW()-ROW($N$1) &lt;= FILLME!$G$5, TRUE, FALSE)</f>
        <v>0</v>
      </c>
      <c r="O206" t="b">
        <f>IF(ROW()-ROW($O$1) &lt;= FILLME!$G$7, TRUE, FALSE)</f>
        <v>0</v>
      </c>
      <c r="P206" t="b">
        <f>IF(ROW()-ROW($P$1) &lt;= FILLME!$G$6, TRUE, FALSE)</f>
        <v>0</v>
      </c>
      <c r="Q206" t="b">
        <f>IF(ROW()-ROW($Q$1) &lt;= FILLME!$G$8, TRUE, FALSE)</f>
        <v>0</v>
      </c>
      <c r="R206" t="b">
        <f>IF(ROW()-ROW($R$1) &lt;= FILLME!$G$9, TRUE, FALSE)</f>
        <v>0</v>
      </c>
      <c r="S206" t="b">
        <f>IF(ROW()-ROW($S$1) &lt;= FILLME!$G$10, TRUE, FALSE)</f>
        <v>0</v>
      </c>
      <c r="T206" t="b">
        <f>IF(ROW()-ROW($T$1) &lt;= FILLME!$G$11, TRUE, FALSE)</f>
        <v>0</v>
      </c>
    </row>
    <row r="207" spans="1:20" x14ac:dyDescent="0.25">
      <c r="A207" s="7" t="str">
        <f>FILLME!$B$7</f>
        <v>ISCO</v>
      </c>
      <c r="B207" t="str">
        <f>IF(FILLME!$B$3 = "", "", FILLME!$B$3)</f>
        <v>WWS</v>
      </c>
      <c r="C207" t="str">
        <f>IF(FILLME!$B$4 = "", "", FILLME!$B$4)</f>
        <v>SSFLAT</v>
      </c>
      <c r="D207" s="7" t="str">
        <f ca="1">TEXT(FILLME!$B$6,"yyyymmdd")</f>
        <v>20260323</v>
      </c>
      <c r="E207" s="8"/>
      <c r="F207" s="7">
        <f ca="1">IF(FILLME!$B$7="ISCO",FILLME!$B$6+FILLME!$B$11+(FILLME!$B$13*(G207-FILLME!$B$14)),FILLME!$B$6)</f>
        <v>46104.25</v>
      </c>
      <c r="G207" s="8"/>
      <c r="H207" s="8"/>
      <c r="I207" s="2"/>
      <c r="J207" s="9" t="str">
        <f t="shared" si="9"/>
        <v>_00</v>
      </c>
      <c r="K207" s="10" t="str">
        <f t="shared" ca="1" si="10"/>
        <v>SSFLAT__20260323_00</v>
      </c>
      <c r="L207" s="10" t="str">
        <f t="shared" ca="1" si="11"/>
        <v>SSFLAT__20260323_0000</v>
      </c>
      <c r="M207" t="b">
        <f>IF(ROW()-ROW($M$1) &lt;= FILLME!$G$4, TRUE, FALSE)</f>
        <v>0</v>
      </c>
      <c r="N207" t="b">
        <f>IF(ROW()-ROW($N$1) &lt;= FILLME!$G$5, TRUE, FALSE)</f>
        <v>0</v>
      </c>
      <c r="O207" t="b">
        <f>IF(ROW()-ROW($O$1) &lt;= FILLME!$G$7, TRUE, FALSE)</f>
        <v>0</v>
      </c>
      <c r="P207" t="b">
        <f>IF(ROW()-ROW($P$1) &lt;= FILLME!$G$6, TRUE, FALSE)</f>
        <v>0</v>
      </c>
      <c r="Q207" t="b">
        <f>IF(ROW()-ROW($Q$1) &lt;= FILLME!$G$8, TRUE, FALSE)</f>
        <v>0</v>
      </c>
      <c r="R207" t="b">
        <f>IF(ROW()-ROW($R$1) &lt;= FILLME!$G$9, TRUE, FALSE)</f>
        <v>0</v>
      </c>
      <c r="S207" t="b">
        <f>IF(ROW()-ROW($S$1) &lt;= FILLME!$G$10, TRUE, FALSE)</f>
        <v>0</v>
      </c>
      <c r="T207" t="b">
        <f>IF(ROW()-ROW($T$1) &lt;= FILLME!$G$11, TRUE, FALSE)</f>
        <v>0</v>
      </c>
    </row>
    <row r="208" spans="1:20" x14ac:dyDescent="0.25">
      <c r="A208" s="7" t="str">
        <f>FILLME!$B$7</f>
        <v>ISCO</v>
      </c>
      <c r="B208" t="str">
        <f>IF(FILLME!$B$3 = "", "", FILLME!$B$3)</f>
        <v>WWS</v>
      </c>
      <c r="C208" t="str">
        <f>IF(FILLME!$B$4 = "", "", FILLME!$B$4)</f>
        <v>SSFLAT</v>
      </c>
      <c r="D208" s="7" t="str">
        <f ca="1">TEXT(FILLME!$B$6,"yyyymmdd")</f>
        <v>20260323</v>
      </c>
      <c r="E208" s="8"/>
      <c r="F208" s="7">
        <f ca="1">IF(FILLME!$B$7="ISCO",FILLME!$B$6+FILLME!$B$11+(FILLME!$B$13*(G208-FILLME!$B$14)),FILLME!$B$6)</f>
        <v>46104.25</v>
      </c>
      <c r="G208" s="8"/>
      <c r="H208" s="8"/>
      <c r="I208" s="2"/>
      <c r="J208" s="9" t="str">
        <f t="shared" si="9"/>
        <v>_00</v>
      </c>
      <c r="K208" s="10" t="str">
        <f t="shared" ca="1" si="10"/>
        <v>SSFLAT__20260323_00</v>
      </c>
      <c r="L208" s="10" t="str">
        <f t="shared" ca="1" si="11"/>
        <v>SSFLAT__20260323_0000</v>
      </c>
      <c r="M208" t="b">
        <f>IF(ROW()-ROW($M$1) &lt;= FILLME!$G$4, TRUE, FALSE)</f>
        <v>0</v>
      </c>
      <c r="N208" t="b">
        <f>IF(ROW()-ROW($N$1) &lt;= FILLME!$G$5, TRUE, FALSE)</f>
        <v>0</v>
      </c>
      <c r="O208" t="b">
        <f>IF(ROW()-ROW($O$1) &lt;= FILLME!$G$7, TRUE, FALSE)</f>
        <v>0</v>
      </c>
      <c r="P208" t="b">
        <f>IF(ROW()-ROW($P$1) &lt;= FILLME!$G$6, TRUE, FALSE)</f>
        <v>0</v>
      </c>
      <c r="Q208" t="b">
        <f>IF(ROW()-ROW($Q$1) &lt;= FILLME!$G$8, TRUE, FALSE)</f>
        <v>0</v>
      </c>
      <c r="R208" t="b">
        <f>IF(ROW()-ROW($R$1) &lt;= FILLME!$G$9, TRUE, FALSE)</f>
        <v>0</v>
      </c>
      <c r="S208" t="b">
        <f>IF(ROW()-ROW($S$1) &lt;= FILLME!$G$10, TRUE, FALSE)</f>
        <v>0</v>
      </c>
      <c r="T208" t="b">
        <f>IF(ROW()-ROW($T$1) &lt;= FILLME!$G$11, TRUE, FALSE)</f>
        <v>0</v>
      </c>
    </row>
    <row r="209" spans="1:20" x14ac:dyDescent="0.25">
      <c r="A209" s="7" t="str">
        <f>FILLME!$B$7</f>
        <v>ISCO</v>
      </c>
      <c r="B209" t="str">
        <f>IF(FILLME!$B$3 = "", "", FILLME!$B$3)</f>
        <v>WWS</v>
      </c>
      <c r="C209" t="str">
        <f>IF(FILLME!$B$4 = "", "", FILLME!$B$4)</f>
        <v>SSFLAT</v>
      </c>
      <c r="D209" s="7" t="str">
        <f ca="1">TEXT(FILLME!$B$6,"yyyymmdd")</f>
        <v>20260323</v>
      </c>
      <c r="E209" s="8"/>
      <c r="F209" s="7">
        <f ca="1">IF(FILLME!$B$7="ISCO",FILLME!$B$6+FILLME!$B$11+(FILLME!$B$13*(G209-FILLME!$B$14)),FILLME!$B$6)</f>
        <v>46104.25</v>
      </c>
      <c r="G209" s="8"/>
      <c r="H209" s="8"/>
      <c r="I209" s="2"/>
      <c r="J209" s="9" t="str">
        <f t="shared" si="9"/>
        <v>_00</v>
      </c>
      <c r="K209" s="10" t="str">
        <f t="shared" ca="1" si="10"/>
        <v>SSFLAT__20260323_00</v>
      </c>
      <c r="L209" s="10" t="str">
        <f t="shared" ca="1" si="11"/>
        <v>SSFLAT__20260323_0000</v>
      </c>
      <c r="M209" t="b">
        <f>IF(ROW()-ROW($M$1) &lt;= FILLME!$G$4, TRUE, FALSE)</f>
        <v>0</v>
      </c>
      <c r="N209" t="b">
        <f>IF(ROW()-ROW($N$1) &lt;= FILLME!$G$5, TRUE, FALSE)</f>
        <v>0</v>
      </c>
      <c r="O209" t="b">
        <f>IF(ROW()-ROW($O$1) &lt;= FILLME!$G$7, TRUE, FALSE)</f>
        <v>0</v>
      </c>
      <c r="P209" t="b">
        <f>IF(ROW()-ROW($P$1) &lt;= FILLME!$G$6, TRUE, FALSE)</f>
        <v>0</v>
      </c>
      <c r="Q209" t="b">
        <f>IF(ROW()-ROW($Q$1) &lt;= FILLME!$G$8, TRUE, FALSE)</f>
        <v>0</v>
      </c>
      <c r="R209" t="b">
        <f>IF(ROW()-ROW($R$1) &lt;= FILLME!$G$9, TRUE, FALSE)</f>
        <v>0</v>
      </c>
      <c r="S209" t="b">
        <f>IF(ROW()-ROW($S$1) &lt;= FILLME!$G$10, TRUE, FALSE)</f>
        <v>0</v>
      </c>
      <c r="T209" t="b">
        <f>IF(ROW()-ROW($T$1) &lt;= FILLME!$G$11, TRUE, FALSE)</f>
        <v>0</v>
      </c>
    </row>
    <row r="210" spans="1:20" x14ac:dyDescent="0.25">
      <c r="A210" s="7" t="str">
        <f>FILLME!$B$7</f>
        <v>ISCO</v>
      </c>
      <c r="B210" t="str">
        <f>IF(FILLME!$B$3 = "", "", FILLME!$B$3)</f>
        <v>WWS</v>
      </c>
      <c r="C210" t="str">
        <f>IF(FILLME!$B$4 = "", "", FILLME!$B$4)</f>
        <v>SSFLAT</v>
      </c>
      <c r="D210" s="7" t="str">
        <f ca="1">TEXT(FILLME!$B$6,"yyyymmdd")</f>
        <v>20260323</v>
      </c>
      <c r="E210" s="8"/>
      <c r="F210" s="7">
        <f ca="1">IF(FILLME!$B$7="ISCO",FILLME!$B$6+FILLME!$B$11+(FILLME!$B$13*(G210-FILLME!$B$14)),FILLME!$B$6)</f>
        <v>46104.25</v>
      </c>
      <c r="G210" s="8"/>
      <c r="H210" s="8"/>
      <c r="I210" s="2"/>
      <c r="J210" s="9" t="str">
        <f t="shared" si="9"/>
        <v>_00</v>
      </c>
      <c r="K210" s="10" t="str">
        <f t="shared" ca="1" si="10"/>
        <v>SSFLAT__20260323_00</v>
      </c>
      <c r="L210" s="10" t="str">
        <f t="shared" ca="1" si="11"/>
        <v>SSFLAT__20260323_0000</v>
      </c>
      <c r="M210" t="b">
        <f>IF(ROW()-ROW($M$1) &lt;= FILLME!$G$4, TRUE, FALSE)</f>
        <v>0</v>
      </c>
      <c r="N210" t="b">
        <f>IF(ROW()-ROW($N$1) &lt;= FILLME!$G$5, TRUE, FALSE)</f>
        <v>0</v>
      </c>
      <c r="O210" t="b">
        <f>IF(ROW()-ROW($O$1) &lt;= FILLME!$G$7, TRUE, FALSE)</f>
        <v>0</v>
      </c>
      <c r="P210" t="b">
        <f>IF(ROW()-ROW($P$1) &lt;= FILLME!$G$6, TRUE, FALSE)</f>
        <v>0</v>
      </c>
      <c r="Q210" t="b">
        <f>IF(ROW()-ROW($Q$1) &lt;= FILLME!$G$8, TRUE, FALSE)</f>
        <v>0</v>
      </c>
      <c r="R210" t="b">
        <f>IF(ROW()-ROW($R$1) &lt;= FILLME!$G$9, TRUE, FALSE)</f>
        <v>0</v>
      </c>
      <c r="S210" t="b">
        <f>IF(ROW()-ROW($S$1) &lt;= FILLME!$G$10, TRUE, FALSE)</f>
        <v>0</v>
      </c>
      <c r="T210" t="b">
        <f>IF(ROW()-ROW($T$1) &lt;= FILLME!$G$11, TRUE, FALSE)</f>
        <v>0</v>
      </c>
    </row>
    <row r="211" spans="1:20" x14ac:dyDescent="0.25">
      <c r="A211" s="7" t="str">
        <f>FILLME!$B$7</f>
        <v>ISCO</v>
      </c>
      <c r="B211" t="str">
        <f>IF(FILLME!$B$3 = "", "", FILLME!$B$3)</f>
        <v>WWS</v>
      </c>
      <c r="C211" t="str">
        <f>IF(FILLME!$B$4 = "", "", FILLME!$B$4)</f>
        <v>SSFLAT</v>
      </c>
      <c r="D211" s="7" t="str">
        <f ca="1">TEXT(FILLME!$B$6,"yyyymmdd")</f>
        <v>20260323</v>
      </c>
      <c r="E211" s="8"/>
      <c r="F211" s="7">
        <f ca="1">IF(FILLME!$B$7="ISCO",FILLME!$B$6+FILLME!$B$11+(FILLME!$B$13*(G211-FILLME!$B$14)),FILLME!$B$6)</f>
        <v>46104.25</v>
      </c>
      <c r="G211" s="8"/>
      <c r="H211" s="8"/>
      <c r="I211" s="2"/>
      <c r="J211" s="9" t="str">
        <f t="shared" si="9"/>
        <v>_00</v>
      </c>
      <c r="K211" s="10" t="str">
        <f t="shared" ca="1" si="10"/>
        <v>SSFLAT__20260323_00</v>
      </c>
      <c r="L211" s="10" t="str">
        <f t="shared" ca="1" si="11"/>
        <v>SSFLAT__20260323_0000</v>
      </c>
      <c r="M211" t="b">
        <f>IF(ROW()-ROW($M$1) &lt;= FILLME!$G$4, TRUE, FALSE)</f>
        <v>0</v>
      </c>
      <c r="N211" t="b">
        <f>IF(ROW()-ROW($N$1) &lt;= FILLME!$G$5, TRUE, FALSE)</f>
        <v>0</v>
      </c>
      <c r="O211" t="b">
        <f>IF(ROW()-ROW($O$1) &lt;= FILLME!$G$7, TRUE, FALSE)</f>
        <v>0</v>
      </c>
      <c r="P211" t="b">
        <f>IF(ROW()-ROW($P$1) &lt;= FILLME!$G$6, TRUE, FALSE)</f>
        <v>0</v>
      </c>
      <c r="Q211" t="b">
        <f>IF(ROW()-ROW($Q$1) &lt;= FILLME!$G$8, TRUE, FALSE)</f>
        <v>0</v>
      </c>
      <c r="R211" t="b">
        <f>IF(ROW()-ROW($R$1) &lt;= FILLME!$G$9, TRUE, FALSE)</f>
        <v>0</v>
      </c>
      <c r="S211" t="b">
        <f>IF(ROW()-ROW($S$1) &lt;= FILLME!$G$10, TRUE, FALSE)</f>
        <v>0</v>
      </c>
      <c r="T211" t="b">
        <f>IF(ROW()-ROW($T$1) &lt;= FILLME!$G$11, TRUE, FALSE)</f>
        <v>0</v>
      </c>
    </row>
    <row r="212" spans="1:20" x14ac:dyDescent="0.25">
      <c r="A212" s="7" t="str">
        <f>FILLME!$B$7</f>
        <v>ISCO</v>
      </c>
      <c r="B212" t="str">
        <f>IF(FILLME!$B$3 = "", "", FILLME!$B$3)</f>
        <v>WWS</v>
      </c>
      <c r="C212" t="str">
        <f>IF(FILLME!$B$4 = "", "", FILLME!$B$4)</f>
        <v>SSFLAT</v>
      </c>
      <c r="D212" s="7" t="str">
        <f ca="1">TEXT(FILLME!$B$6,"yyyymmdd")</f>
        <v>20260323</v>
      </c>
      <c r="E212" s="8"/>
      <c r="F212" s="7">
        <f ca="1">IF(FILLME!$B$7="ISCO",FILLME!$B$6+FILLME!$B$11+(FILLME!$B$13*(G212-FILLME!$B$14)),FILLME!$B$6)</f>
        <v>46104.25</v>
      </c>
      <c r="G212" s="8"/>
      <c r="H212" s="8"/>
      <c r="I212" s="2"/>
      <c r="J212" s="9" t="str">
        <f t="shared" si="9"/>
        <v>_00</v>
      </c>
      <c r="K212" s="10" t="str">
        <f t="shared" ca="1" si="10"/>
        <v>SSFLAT__20260323_00</v>
      </c>
      <c r="L212" s="10" t="str">
        <f t="shared" ca="1" si="11"/>
        <v>SSFLAT__20260323_0000</v>
      </c>
      <c r="M212" t="b">
        <f>IF(ROW()-ROW($M$1) &lt;= FILLME!$G$4, TRUE, FALSE)</f>
        <v>0</v>
      </c>
      <c r="N212" t="b">
        <f>IF(ROW()-ROW($N$1) &lt;= FILLME!$G$5, TRUE, FALSE)</f>
        <v>0</v>
      </c>
      <c r="O212" t="b">
        <f>IF(ROW()-ROW($O$1) &lt;= FILLME!$G$7, TRUE, FALSE)</f>
        <v>0</v>
      </c>
      <c r="P212" t="b">
        <f>IF(ROW()-ROW($P$1) &lt;= FILLME!$G$6, TRUE, FALSE)</f>
        <v>0</v>
      </c>
      <c r="Q212" t="b">
        <f>IF(ROW()-ROW($Q$1) &lt;= FILLME!$G$8, TRUE, FALSE)</f>
        <v>0</v>
      </c>
      <c r="R212" t="b">
        <f>IF(ROW()-ROW($R$1) &lt;= FILLME!$G$9, TRUE, FALSE)</f>
        <v>0</v>
      </c>
      <c r="S212" t="b">
        <f>IF(ROW()-ROW($S$1) &lt;= FILLME!$G$10, TRUE, FALSE)</f>
        <v>0</v>
      </c>
      <c r="T212" t="b">
        <f>IF(ROW()-ROW($T$1) &lt;= FILLME!$G$11, TRUE, FALSE)</f>
        <v>0</v>
      </c>
    </row>
    <row r="213" spans="1:20" x14ac:dyDescent="0.25">
      <c r="A213" s="7" t="str">
        <f>FILLME!$B$7</f>
        <v>ISCO</v>
      </c>
      <c r="B213" t="str">
        <f>IF(FILLME!$B$3 = "", "", FILLME!$B$3)</f>
        <v>WWS</v>
      </c>
      <c r="C213" t="str">
        <f>IF(FILLME!$B$4 = "", "", FILLME!$B$4)</f>
        <v>SSFLAT</v>
      </c>
      <c r="D213" s="7" t="str">
        <f ca="1">TEXT(FILLME!$B$6,"yyyymmdd")</f>
        <v>20260323</v>
      </c>
      <c r="E213" s="8"/>
      <c r="F213" s="7">
        <f ca="1">IF(FILLME!$B$7="ISCO",FILLME!$B$6+FILLME!$B$11+(FILLME!$B$13*(G213-FILLME!$B$14)),FILLME!$B$6)</f>
        <v>46104.25</v>
      </c>
      <c r="G213" s="8"/>
      <c r="H213" s="8"/>
      <c r="I213" s="2"/>
      <c r="J213" s="9" t="str">
        <f t="shared" si="9"/>
        <v>_00</v>
      </c>
      <c r="K213" s="10" t="str">
        <f t="shared" ca="1" si="10"/>
        <v>SSFLAT__20260323_00</v>
      </c>
      <c r="L213" s="10" t="str">
        <f t="shared" ca="1" si="11"/>
        <v>SSFLAT__20260323_0000</v>
      </c>
      <c r="M213" t="b">
        <f>IF(ROW()-ROW($M$1) &lt;= FILLME!$G$4, TRUE, FALSE)</f>
        <v>0</v>
      </c>
      <c r="N213" t="b">
        <f>IF(ROW()-ROW($N$1) &lt;= FILLME!$G$5, TRUE, FALSE)</f>
        <v>0</v>
      </c>
      <c r="O213" t="b">
        <f>IF(ROW()-ROW($O$1) &lt;= FILLME!$G$7, TRUE, FALSE)</f>
        <v>0</v>
      </c>
      <c r="P213" t="b">
        <f>IF(ROW()-ROW($P$1) &lt;= FILLME!$G$6, TRUE, FALSE)</f>
        <v>0</v>
      </c>
      <c r="Q213" t="b">
        <f>IF(ROW()-ROW($Q$1) &lt;= FILLME!$G$8, TRUE, FALSE)</f>
        <v>0</v>
      </c>
      <c r="R213" t="b">
        <f>IF(ROW()-ROW($R$1) &lt;= FILLME!$G$9, TRUE, FALSE)</f>
        <v>0</v>
      </c>
      <c r="S213" t="b">
        <f>IF(ROW()-ROW($S$1) &lt;= FILLME!$G$10, TRUE, FALSE)</f>
        <v>0</v>
      </c>
      <c r="T213" t="b">
        <f>IF(ROW()-ROW($T$1) &lt;= FILLME!$G$11, TRUE, FALSE)</f>
        <v>0</v>
      </c>
    </row>
    <row r="214" spans="1:20" x14ac:dyDescent="0.25">
      <c r="A214" s="7" t="str">
        <f>FILLME!$B$7</f>
        <v>ISCO</v>
      </c>
      <c r="B214" t="str">
        <f>IF(FILLME!$B$3 = "", "", FILLME!$B$3)</f>
        <v>WWS</v>
      </c>
      <c r="C214" t="str">
        <f>IF(FILLME!$B$4 = "", "", FILLME!$B$4)</f>
        <v>SSFLAT</v>
      </c>
      <c r="D214" s="7" t="str">
        <f ca="1">TEXT(FILLME!$B$6,"yyyymmdd")</f>
        <v>20260323</v>
      </c>
      <c r="E214" s="8"/>
      <c r="F214" s="7">
        <f ca="1">IF(FILLME!$B$7="ISCO",FILLME!$B$6+FILLME!$B$11+(FILLME!$B$13*(G214-FILLME!$B$14)),FILLME!$B$6)</f>
        <v>46104.25</v>
      </c>
      <c r="G214" s="8"/>
      <c r="H214" s="8"/>
      <c r="I214" s="2"/>
      <c r="J214" s="9" t="str">
        <f t="shared" si="9"/>
        <v>_00</v>
      </c>
      <c r="K214" s="10" t="str">
        <f t="shared" ca="1" si="10"/>
        <v>SSFLAT__20260323_00</v>
      </c>
      <c r="L214" s="10" t="str">
        <f t="shared" ca="1" si="11"/>
        <v>SSFLAT__20260323_0000</v>
      </c>
      <c r="M214" t="b">
        <f>IF(ROW()-ROW($M$1) &lt;= FILLME!$G$4, TRUE, FALSE)</f>
        <v>0</v>
      </c>
      <c r="N214" t="b">
        <f>IF(ROW()-ROW($N$1) &lt;= FILLME!$G$5, TRUE, FALSE)</f>
        <v>0</v>
      </c>
      <c r="O214" t="b">
        <f>IF(ROW()-ROW($O$1) &lt;= FILLME!$G$7, TRUE, FALSE)</f>
        <v>0</v>
      </c>
      <c r="P214" t="b">
        <f>IF(ROW()-ROW($P$1) &lt;= FILLME!$G$6, TRUE, FALSE)</f>
        <v>0</v>
      </c>
      <c r="Q214" t="b">
        <f>IF(ROW()-ROW($Q$1) &lt;= FILLME!$G$8, TRUE, FALSE)</f>
        <v>0</v>
      </c>
      <c r="R214" t="b">
        <f>IF(ROW()-ROW($R$1) &lt;= FILLME!$G$9, TRUE, FALSE)</f>
        <v>0</v>
      </c>
      <c r="S214" t="b">
        <f>IF(ROW()-ROW($S$1) &lt;= FILLME!$G$10, TRUE, FALSE)</f>
        <v>0</v>
      </c>
      <c r="T214" t="b">
        <f>IF(ROW()-ROW($T$1) &lt;= FILLME!$G$11, TRUE, FALSE)</f>
        <v>0</v>
      </c>
    </row>
    <row r="215" spans="1:20" x14ac:dyDescent="0.25">
      <c r="A215" s="7" t="str">
        <f>FILLME!$B$7</f>
        <v>ISCO</v>
      </c>
      <c r="B215" t="str">
        <f>IF(FILLME!$B$3 = "", "", FILLME!$B$3)</f>
        <v>WWS</v>
      </c>
      <c r="C215" t="str">
        <f>IF(FILLME!$B$4 = "", "", FILLME!$B$4)</f>
        <v>SSFLAT</v>
      </c>
      <c r="D215" s="7" t="str">
        <f ca="1">TEXT(FILLME!$B$6,"yyyymmdd")</f>
        <v>20260323</v>
      </c>
      <c r="E215" s="8"/>
      <c r="F215" s="7">
        <f ca="1">IF(FILLME!$B$7="ISCO",FILLME!$B$6+FILLME!$B$11+(FILLME!$B$13*(G215-FILLME!$B$14)),FILLME!$B$6)</f>
        <v>46104.25</v>
      </c>
      <c r="G215" s="8"/>
      <c r="H215" s="8"/>
      <c r="I215" s="2"/>
      <c r="J215" s="9" t="str">
        <f t="shared" si="9"/>
        <v>_00</v>
      </c>
      <c r="K215" s="10" t="str">
        <f t="shared" ca="1" si="10"/>
        <v>SSFLAT__20260323_00</v>
      </c>
      <c r="L215" s="10" t="str">
        <f t="shared" ca="1" si="11"/>
        <v>SSFLAT__20260323_0000</v>
      </c>
      <c r="M215" t="b">
        <f>IF(ROW()-ROW($M$1) &lt;= FILLME!$G$4, TRUE, FALSE)</f>
        <v>0</v>
      </c>
      <c r="N215" t="b">
        <f>IF(ROW()-ROW($N$1) &lt;= FILLME!$G$5, TRUE, FALSE)</f>
        <v>0</v>
      </c>
      <c r="O215" t="b">
        <f>IF(ROW()-ROW($O$1) &lt;= FILLME!$G$7, TRUE, FALSE)</f>
        <v>0</v>
      </c>
      <c r="P215" t="b">
        <f>IF(ROW()-ROW($P$1) &lt;= FILLME!$G$6, TRUE, FALSE)</f>
        <v>0</v>
      </c>
      <c r="Q215" t="b">
        <f>IF(ROW()-ROW($Q$1) &lt;= FILLME!$G$8, TRUE, FALSE)</f>
        <v>0</v>
      </c>
      <c r="R215" t="b">
        <f>IF(ROW()-ROW($R$1) &lt;= FILLME!$G$9, TRUE, FALSE)</f>
        <v>0</v>
      </c>
      <c r="S215" t="b">
        <f>IF(ROW()-ROW($S$1) &lt;= FILLME!$G$10, TRUE, FALSE)</f>
        <v>0</v>
      </c>
      <c r="T215" t="b">
        <f>IF(ROW()-ROW($T$1) &lt;= FILLME!$G$11, TRUE, FALSE)</f>
        <v>0</v>
      </c>
    </row>
    <row r="216" spans="1:20" x14ac:dyDescent="0.25">
      <c r="A216" s="7" t="str">
        <f>FILLME!$B$7</f>
        <v>ISCO</v>
      </c>
      <c r="B216" t="str">
        <f>IF(FILLME!$B$3 = "", "", FILLME!$B$3)</f>
        <v>WWS</v>
      </c>
      <c r="C216" t="str">
        <f>IF(FILLME!$B$4 = "", "", FILLME!$B$4)</f>
        <v>SSFLAT</v>
      </c>
      <c r="D216" s="7" t="str">
        <f ca="1">TEXT(FILLME!$B$6,"yyyymmdd")</f>
        <v>20260323</v>
      </c>
      <c r="E216" s="8"/>
      <c r="F216" s="7">
        <f ca="1">IF(FILLME!$B$7="ISCO",FILLME!$B$6+FILLME!$B$11+(FILLME!$B$13*(G216-FILLME!$B$14)),FILLME!$B$6)</f>
        <v>46104.25</v>
      </c>
      <c r="G216" s="8"/>
      <c r="H216" s="8"/>
      <c r="I216" s="2"/>
      <c r="J216" s="9" t="str">
        <f t="shared" si="9"/>
        <v>_00</v>
      </c>
      <c r="K216" s="10" t="str">
        <f t="shared" ca="1" si="10"/>
        <v>SSFLAT__20260323_00</v>
      </c>
      <c r="L216" s="10" t="str">
        <f t="shared" ca="1" si="11"/>
        <v>SSFLAT__20260323_0000</v>
      </c>
      <c r="M216" t="b">
        <f>IF(ROW()-ROW($M$1) &lt;= FILLME!$G$4, TRUE, FALSE)</f>
        <v>0</v>
      </c>
      <c r="N216" t="b">
        <f>IF(ROW()-ROW($N$1) &lt;= FILLME!$G$5, TRUE, FALSE)</f>
        <v>0</v>
      </c>
      <c r="O216" t="b">
        <f>IF(ROW()-ROW($O$1) &lt;= FILLME!$G$7, TRUE, FALSE)</f>
        <v>0</v>
      </c>
      <c r="P216" t="b">
        <f>IF(ROW()-ROW($P$1) &lt;= FILLME!$G$6, TRUE, FALSE)</f>
        <v>0</v>
      </c>
      <c r="Q216" t="b">
        <f>IF(ROW()-ROW($Q$1) &lt;= FILLME!$G$8, TRUE, FALSE)</f>
        <v>0</v>
      </c>
      <c r="R216" t="b">
        <f>IF(ROW()-ROW($R$1) &lt;= FILLME!$G$9, TRUE, FALSE)</f>
        <v>0</v>
      </c>
      <c r="S216" t="b">
        <f>IF(ROW()-ROW($S$1) &lt;= FILLME!$G$10, TRUE, FALSE)</f>
        <v>0</v>
      </c>
      <c r="T216" t="b">
        <f>IF(ROW()-ROW($T$1) &lt;= FILLME!$G$11, TRUE, FALSE)</f>
        <v>0</v>
      </c>
    </row>
    <row r="217" spans="1:20" x14ac:dyDescent="0.25">
      <c r="A217" s="7" t="str">
        <f>FILLME!$B$7</f>
        <v>ISCO</v>
      </c>
      <c r="B217" t="str">
        <f>IF(FILLME!$B$3 = "", "", FILLME!$B$3)</f>
        <v>WWS</v>
      </c>
      <c r="C217" t="str">
        <f>IF(FILLME!$B$4 = "", "", FILLME!$B$4)</f>
        <v>SSFLAT</v>
      </c>
      <c r="D217" s="7" t="str">
        <f ca="1">TEXT(FILLME!$B$6,"yyyymmdd")</f>
        <v>20260323</v>
      </c>
      <c r="E217" s="8"/>
      <c r="F217" s="7">
        <f ca="1">IF(FILLME!$B$7="ISCO",FILLME!$B$6+FILLME!$B$11+(FILLME!$B$13*(G217-FILLME!$B$14)),FILLME!$B$6)</f>
        <v>46104.25</v>
      </c>
      <c r="G217" s="8"/>
      <c r="H217" s="8"/>
      <c r="I217" s="2"/>
      <c r="J217" s="9" t="str">
        <f t="shared" si="9"/>
        <v>_00</v>
      </c>
      <c r="K217" s="10" t="str">
        <f t="shared" ca="1" si="10"/>
        <v>SSFLAT__20260323_00</v>
      </c>
      <c r="L217" s="10" t="str">
        <f t="shared" ca="1" si="11"/>
        <v>SSFLAT__20260323_0000</v>
      </c>
      <c r="M217" t="b">
        <f>IF(ROW()-ROW($M$1) &lt;= FILLME!$G$4, TRUE, FALSE)</f>
        <v>0</v>
      </c>
      <c r="N217" t="b">
        <f>IF(ROW()-ROW($N$1) &lt;= FILLME!$G$5, TRUE, FALSE)</f>
        <v>0</v>
      </c>
      <c r="O217" t="b">
        <f>IF(ROW()-ROW($O$1) &lt;= FILLME!$G$7, TRUE, FALSE)</f>
        <v>0</v>
      </c>
      <c r="P217" t="b">
        <f>IF(ROW()-ROW($P$1) &lt;= FILLME!$G$6, TRUE, FALSE)</f>
        <v>0</v>
      </c>
      <c r="Q217" t="b">
        <f>IF(ROW()-ROW($Q$1) &lt;= FILLME!$G$8, TRUE, FALSE)</f>
        <v>0</v>
      </c>
      <c r="R217" t="b">
        <f>IF(ROW()-ROW($R$1) &lt;= FILLME!$G$9, TRUE, FALSE)</f>
        <v>0</v>
      </c>
      <c r="S217" t="b">
        <f>IF(ROW()-ROW($S$1) &lt;= FILLME!$G$10, TRUE, FALSE)</f>
        <v>0</v>
      </c>
      <c r="T217" t="b">
        <f>IF(ROW()-ROW($T$1) &lt;= FILLME!$G$11, TRUE, FALSE)</f>
        <v>0</v>
      </c>
    </row>
    <row r="218" spans="1:20" x14ac:dyDescent="0.25">
      <c r="A218" s="7" t="str">
        <f>FILLME!$B$7</f>
        <v>ISCO</v>
      </c>
      <c r="B218" t="str">
        <f>IF(FILLME!$B$3 = "", "", FILLME!$B$3)</f>
        <v>WWS</v>
      </c>
      <c r="C218" t="str">
        <f>IF(FILLME!$B$4 = "", "", FILLME!$B$4)</f>
        <v>SSFLAT</v>
      </c>
      <c r="D218" s="7" t="str">
        <f ca="1">TEXT(FILLME!$B$6,"yyyymmdd")</f>
        <v>20260323</v>
      </c>
      <c r="E218" s="8"/>
      <c r="F218" s="7">
        <f ca="1">IF(FILLME!$B$7="ISCO",FILLME!$B$6+FILLME!$B$11+(FILLME!$B$13*(G218-FILLME!$B$14)),FILLME!$B$6)</f>
        <v>46104.25</v>
      </c>
      <c r="G218" s="8"/>
      <c r="H218" s="8"/>
      <c r="I218" s="2"/>
      <c r="J218" s="9" t="str">
        <f t="shared" si="9"/>
        <v>_00</v>
      </c>
      <c r="K218" s="10" t="str">
        <f t="shared" ca="1" si="10"/>
        <v>SSFLAT__20260323_00</v>
      </c>
      <c r="L218" s="10" t="str">
        <f t="shared" ca="1" si="11"/>
        <v>SSFLAT__20260323_0000</v>
      </c>
      <c r="M218" t="b">
        <f>IF(ROW()-ROW($M$1) &lt;= FILLME!$G$4, TRUE, FALSE)</f>
        <v>0</v>
      </c>
      <c r="N218" t="b">
        <f>IF(ROW()-ROW($N$1) &lt;= FILLME!$G$5, TRUE, FALSE)</f>
        <v>0</v>
      </c>
      <c r="O218" t="b">
        <f>IF(ROW()-ROW($O$1) &lt;= FILLME!$G$7, TRUE, FALSE)</f>
        <v>0</v>
      </c>
      <c r="P218" t="b">
        <f>IF(ROW()-ROW($P$1) &lt;= FILLME!$G$6, TRUE, FALSE)</f>
        <v>0</v>
      </c>
      <c r="Q218" t="b">
        <f>IF(ROW()-ROW($Q$1) &lt;= FILLME!$G$8, TRUE, FALSE)</f>
        <v>0</v>
      </c>
      <c r="R218" t="b">
        <f>IF(ROW()-ROW($R$1) &lt;= FILLME!$G$9, TRUE, FALSE)</f>
        <v>0</v>
      </c>
      <c r="S218" t="b">
        <f>IF(ROW()-ROW($S$1) &lt;= FILLME!$G$10, TRUE, FALSE)</f>
        <v>0</v>
      </c>
      <c r="T218" t="b">
        <f>IF(ROW()-ROW($T$1) &lt;= FILLME!$G$11, TRUE, FALSE)</f>
        <v>0</v>
      </c>
    </row>
    <row r="219" spans="1:20" x14ac:dyDescent="0.25">
      <c r="A219" s="7" t="str">
        <f>FILLME!$B$7</f>
        <v>ISCO</v>
      </c>
      <c r="B219" t="str">
        <f>IF(FILLME!$B$3 = "", "", FILLME!$B$3)</f>
        <v>WWS</v>
      </c>
      <c r="C219" t="str">
        <f>IF(FILLME!$B$4 = "", "", FILLME!$B$4)</f>
        <v>SSFLAT</v>
      </c>
      <c r="D219" s="7" t="str">
        <f ca="1">TEXT(FILLME!$B$6,"yyyymmdd")</f>
        <v>20260323</v>
      </c>
      <c r="E219" s="8"/>
      <c r="F219" s="7">
        <f ca="1">IF(FILLME!$B$7="ISCO",FILLME!$B$6+FILLME!$B$11+(FILLME!$B$13*(G219-FILLME!$B$14)),FILLME!$B$6)</f>
        <v>46104.25</v>
      </c>
      <c r="G219" s="8"/>
      <c r="H219" s="8"/>
      <c r="I219" s="2"/>
      <c r="J219" s="9" t="str">
        <f t="shared" si="9"/>
        <v>_00</v>
      </c>
      <c r="K219" s="10" t="str">
        <f t="shared" ca="1" si="10"/>
        <v>SSFLAT__20260323_00</v>
      </c>
      <c r="L219" s="10" t="str">
        <f t="shared" ca="1" si="11"/>
        <v>SSFLAT__20260323_0000</v>
      </c>
      <c r="M219" t="b">
        <f>IF(ROW()-ROW($M$1) &lt;= FILLME!$G$4, TRUE, FALSE)</f>
        <v>0</v>
      </c>
      <c r="N219" t="b">
        <f>IF(ROW()-ROW($N$1) &lt;= FILLME!$G$5, TRUE, FALSE)</f>
        <v>0</v>
      </c>
      <c r="O219" t="b">
        <f>IF(ROW()-ROW($O$1) &lt;= FILLME!$G$7, TRUE, FALSE)</f>
        <v>0</v>
      </c>
      <c r="P219" t="b">
        <f>IF(ROW()-ROW($P$1) &lt;= FILLME!$G$6, TRUE, FALSE)</f>
        <v>0</v>
      </c>
      <c r="Q219" t="b">
        <f>IF(ROW()-ROW($Q$1) &lt;= FILLME!$G$8, TRUE, FALSE)</f>
        <v>0</v>
      </c>
      <c r="R219" t="b">
        <f>IF(ROW()-ROW($R$1) &lt;= FILLME!$G$9, TRUE, FALSE)</f>
        <v>0</v>
      </c>
      <c r="S219" t="b">
        <f>IF(ROW()-ROW($S$1) &lt;= FILLME!$G$10, TRUE, FALSE)</f>
        <v>0</v>
      </c>
      <c r="T219" t="b">
        <f>IF(ROW()-ROW($T$1) &lt;= FILLME!$G$11, TRUE, FALSE)</f>
        <v>0</v>
      </c>
    </row>
    <row r="220" spans="1:20" x14ac:dyDescent="0.25">
      <c r="A220" s="7" t="str">
        <f>FILLME!$B$7</f>
        <v>ISCO</v>
      </c>
      <c r="B220" t="str">
        <f>IF(FILLME!$B$3 = "", "", FILLME!$B$3)</f>
        <v>WWS</v>
      </c>
      <c r="C220" t="str">
        <f>IF(FILLME!$B$4 = "", "", FILLME!$B$4)</f>
        <v>SSFLAT</v>
      </c>
      <c r="D220" s="7" t="str">
        <f ca="1">TEXT(FILLME!$B$6,"yyyymmdd")</f>
        <v>20260323</v>
      </c>
      <c r="E220" s="8"/>
      <c r="F220" s="7">
        <f ca="1">IF(FILLME!$B$7="ISCO",FILLME!$B$6+FILLME!$B$11+(FILLME!$B$13*(G220-FILLME!$B$14)),FILLME!$B$6)</f>
        <v>46104.25</v>
      </c>
      <c r="G220" s="8"/>
      <c r="H220" s="8"/>
      <c r="I220" s="2"/>
      <c r="J220" s="9" t="str">
        <f t="shared" si="9"/>
        <v>_00</v>
      </c>
      <c r="K220" s="10" t="str">
        <f t="shared" ca="1" si="10"/>
        <v>SSFLAT__20260323_00</v>
      </c>
      <c r="L220" s="10" t="str">
        <f t="shared" ca="1" si="11"/>
        <v>SSFLAT__20260323_0000</v>
      </c>
      <c r="M220" t="b">
        <f>IF(ROW()-ROW($M$1) &lt;= FILLME!$G$4, TRUE, FALSE)</f>
        <v>0</v>
      </c>
      <c r="N220" t="b">
        <f>IF(ROW()-ROW($N$1) &lt;= FILLME!$G$5, TRUE, FALSE)</f>
        <v>0</v>
      </c>
      <c r="O220" t="b">
        <f>IF(ROW()-ROW($O$1) &lt;= FILLME!$G$7, TRUE, FALSE)</f>
        <v>0</v>
      </c>
      <c r="P220" t="b">
        <f>IF(ROW()-ROW($P$1) &lt;= FILLME!$G$6, TRUE, FALSE)</f>
        <v>0</v>
      </c>
      <c r="Q220" t="b">
        <f>IF(ROW()-ROW($Q$1) &lt;= FILLME!$G$8, TRUE, FALSE)</f>
        <v>0</v>
      </c>
      <c r="R220" t="b">
        <f>IF(ROW()-ROW($R$1) &lt;= FILLME!$G$9, TRUE, FALSE)</f>
        <v>0</v>
      </c>
      <c r="S220" t="b">
        <f>IF(ROW()-ROW($S$1) &lt;= FILLME!$G$10, TRUE, FALSE)</f>
        <v>0</v>
      </c>
      <c r="T220" t="b">
        <f>IF(ROW()-ROW($T$1) &lt;= FILLME!$G$11, TRUE, FALSE)</f>
        <v>0</v>
      </c>
    </row>
    <row r="221" spans="1:20" x14ac:dyDescent="0.25">
      <c r="A221" s="7" t="str">
        <f>FILLME!$B$7</f>
        <v>ISCO</v>
      </c>
      <c r="B221" t="str">
        <f>IF(FILLME!$B$3 = "", "", FILLME!$B$3)</f>
        <v>WWS</v>
      </c>
      <c r="C221" t="str">
        <f>IF(FILLME!$B$4 = "", "", FILLME!$B$4)</f>
        <v>SSFLAT</v>
      </c>
      <c r="D221" s="7" t="str">
        <f ca="1">TEXT(FILLME!$B$6,"yyyymmdd")</f>
        <v>20260323</v>
      </c>
      <c r="E221" s="8"/>
      <c r="F221" s="7">
        <f ca="1">IF(FILLME!$B$7="ISCO",FILLME!$B$6+FILLME!$B$11+(FILLME!$B$13*(G221-FILLME!$B$14)),FILLME!$B$6)</f>
        <v>46104.25</v>
      </c>
      <c r="G221" s="8"/>
      <c r="H221" s="8"/>
      <c r="I221" s="2"/>
      <c r="J221" s="9" t="str">
        <f t="shared" si="9"/>
        <v>_00</v>
      </c>
      <c r="K221" s="10" t="str">
        <f t="shared" ca="1" si="10"/>
        <v>SSFLAT__20260323_00</v>
      </c>
      <c r="L221" s="10" t="str">
        <f t="shared" ca="1" si="11"/>
        <v>SSFLAT__20260323_0000</v>
      </c>
      <c r="M221" t="b">
        <f>IF(ROW()-ROW($M$1) &lt;= FILLME!$G$4, TRUE, FALSE)</f>
        <v>0</v>
      </c>
      <c r="N221" t="b">
        <f>IF(ROW()-ROW($N$1) &lt;= FILLME!$G$5, TRUE, FALSE)</f>
        <v>0</v>
      </c>
      <c r="O221" t="b">
        <f>IF(ROW()-ROW($O$1) &lt;= FILLME!$G$7, TRUE, FALSE)</f>
        <v>0</v>
      </c>
      <c r="P221" t="b">
        <f>IF(ROW()-ROW($P$1) &lt;= FILLME!$G$6, TRUE, FALSE)</f>
        <v>0</v>
      </c>
      <c r="Q221" t="b">
        <f>IF(ROW()-ROW($Q$1) &lt;= FILLME!$G$8, TRUE, FALSE)</f>
        <v>0</v>
      </c>
      <c r="R221" t="b">
        <f>IF(ROW()-ROW($R$1) &lt;= FILLME!$G$9, TRUE, FALSE)</f>
        <v>0</v>
      </c>
      <c r="S221" t="b">
        <f>IF(ROW()-ROW($S$1) &lt;= FILLME!$G$10, TRUE, FALSE)</f>
        <v>0</v>
      </c>
      <c r="T221" t="b">
        <f>IF(ROW()-ROW($T$1) &lt;= FILLME!$G$11, TRUE, FALSE)</f>
        <v>0</v>
      </c>
    </row>
    <row r="222" spans="1:20" x14ac:dyDescent="0.25">
      <c r="A222" s="7" t="str">
        <f>FILLME!$B$7</f>
        <v>ISCO</v>
      </c>
      <c r="B222" t="str">
        <f>IF(FILLME!$B$3 = "", "", FILLME!$B$3)</f>
        <v>WWS</v>
      </c>
      <c r="C222" t="str">
        <f>IF(FILLME!$B$4 = "", "", FILLME!$B$4)</f>
        <v>SSFLAT</v>
      </c>
      <c r="D222" s="7" t="str">
        <f ca="1">TEXT(FILLME!$B$6,"yyyymmdd")</f>
        <v>20260323</v>
      </c>
      <c r="E222" s="8"/>
      <c r="F222" s="7">
        <f ca="1">IF(FILLME!$B$7="ISCO",FILLME!$B$6+FILLME!$B$11+(FILLME!$B$13*(G222-FILLME!$B$14)),FILLME!$B$6)</f>
        <v>46104.25</v>
      </c>
      <c r="G222" s="8"/>
      <c r="H222" s="8"/>
      <c r="I222" s="2"/>
      <c r="J222" s="9" t="str">
        <f t="shared" si="9"/>
        <v>_00</v>
      </c>
      <c r="K222" s="10" t="str">
        <f t="shared" ca="1" si="10"/>
        <v>SSFLAT__20260323_00</v>
      </c>
      <c r="L222" s="10" t="str">
        <f t="shared" ca="1" si="11"/>
        <v>SSFLAT__20260323_0000</v>
      </c>
      <c r="M222" t="b">
        <f>IF(ROW()-ROW($M$1) &lt;= FILLME!$G$4, TRUE, FALSE)</f>
        <v>0</v>
      </c>
      <c r="N222" t="b">
        <f>IF(ROW()-ROW($N$1) &lt;= FILLME!$G$5, TRUE, FALSE)</f>
        <v>0</v>
      </c>
      <c r="O222" t="b">
        <f>IF(ROW()-ROW($O$1) &lt;= FILLME!$G$7, TRUE, FALSE)</f>
        <v>0</v>
      </c>
      <c r="P222" t="b">
        <f>IF(ROW()-ROW($P$1) &lt;= FILLME!$G$6, TRUE, FALSE)</f>
        <v>0</v>
      </c>
      <c r="Q222" t="b">
        <f>IF(ROW()-ROW($Q$1) &lt;= FILLME!$G$8, TRUE, FALSE)</f>
        <v>0</v>
      </c>
      <c r="R222" t="b">
        <f>IF(ROW()-ROW($R$1) &lt;= FILLME!$G$9, TRUE, FALSE)</f>
        <v>0</v>
      </c>
      <c r="S222" t="b">
        <f>IF(ROW()-ROW($S$1) &lt;= FILLME!$G$10, TRUE, FALSE)</f>
        <v>0</v>
      </c>
      <c r="T222" t="b">
        <f>IF(ROW()-ROW($T$1) &lt;= FILLME!$G$11, TRUE, FALSE)</f>
        <v>0</v>
      </c>
    </row>
    <row r="223" spans="1:20" x14ac:dyDescent="0.25">
      <c r="A223" s="7" t="str">
        <f>FILLME!$B$7</f>
        <v>ISCO</v>
      </c>
      <c r="B223" t="str">
        <f>IF(FILLME!$B$3 = "", "", FILLME!$B$3)</f>
        <v>WWS</v>
      </c>
      <c r="C223" t="str">
        <f>IF(FILLME!$B$4 = "", "", FILLME!$B$4)</f>
        <v>SSFLAT</v>
      </c>
      <c r="D223" s="7" t="str">
        <f ca="1">TEXT(FILLME!$B$6,"yyyymmdd")</f>
        <v>20260323</v>
      </c>
      <c r="E223" s="8"/>
      <c r="F223" s="7">
        <f ca="1">IF(FILLME!$B$7="ISCO",FILLME!$B$6+FILLME!$B$11+(FILLME!$B$13*(G223-FILLME!$B$14)),FILLME!$B$6)</f>
        <v>46104.25</v>
      </c>
      <c r="G223" s="8"/>
      <c r="H223" s="8"/>
      <c r="I223" s="2"/>
      <c r="J223" s="9" t="str">
        <f t="shared" si="9"/>
        <v>_00</v>
      </c>
      <c r="K223" s="10" t="str">
        <f t="shared" ca="1" si="10"/>
        <v>SSFLAT__20260323_00</v>
      </c>
      <c r="L223" s="10" t="str">
        <f t="shared" ca="1" si="11"/>
        <v>SSFLAT__20260323_0000</v>
      </c>
      <c r="M223" t="b">
        <f>IF(ROW()-ROW($M$1) &lt;= FILLME!$G$4, TRUE, FALSE)</f>
        <v>0</v>
      </c>
      <c r="N223" t="b">
        <f>IF(ROW()-ROW($N$1) &lt;= FILLME!$G$5, TRUE, FALSE)</f>
        <v>0</v>
      </c>
      <c r="O223" t="b">
        <f>IF(ROW()-ROW($O$1) &lt;= FILLME!$G$7, TRUE, FALSE)</f>
        <v>0</v>
      </c>
      <c r="P223" t="b">
        <f>IF(ROW()-ROW($P$1) &lt;= FILLME!$G$6, TRUE, FALSE)</f>
        <v>0</v>
      </c>
      <c r="Q223" t="b">
        <f>IF(ROW()-ROW($Q$1) &lt;= FILLME!$G$8, TRUE, FALSE)</f>
        <v>0</v>
      </c>
      <c r="R223" t="b">
        <f>IF(ROW()-ROW($R$1) &lt;= FILLME!$G$9, TRUE, FALSE)</f>
        <v>0</v>
      </c>
      <c r="S223" t="b">
        <f>IF(ROW()-ROW($S$1) &lt;= FILLME!$G$10, TRUE, FALSE)</f>
        <v>0</v>
      </c>
      <c r="T223" t="b">
        <f>IF(ROW()-ROW($T$1) &lt;= FILLME!$G$11, TRUE, FALSE)</f>
        <v>0</v>
      </c>
    </row>
    <row r="224" spans="1:20" x14ac:dyDescent="0.25">
      <c r="A224" s="7" t="str">
        <f>FILLME!$B$7</f>
        <v>ISCO</v>
      </c>
      <c r="B224" t="str">
        <f>IF(FILLME!$B$3 = "", "", FILLME!$B$3)</f>
        <v>WWS</v>
      </c>
      <c r="C224" t="str">
        <f>IF(FILLME!$B$4 = "", "", FILLME!$B$4)</f>
        <v>SSFLAT</v>
      </c>
      <c r="D224" s="7" t="str">
        <f ca="1">TEXT(FILLME!$B$6,"yyyymmdd")</f>
        <v>20260323</v>
      </c>
      <c r="E224" s="8"/>
      <c r="F224" s="7">
        <f ca="1">IF(FILLME!$B$7="ISCO",FILLME!$B$6+FILLME!$B$11+(FILLME!$B$13*(G224-FILLME!$B$14)),FILLME!$B$6)</f>
        <v>46104.25</v>
      </c>
      <c r="G224" s="8"/>
      <c r="H224" s="8"/>
      <c r="I224" s="2"/>
      <c r="J224" s="9" t="str">
        <f t="shared" si="9"/>
        <v>_00</v>
      </c>
      <c r="K224" s="10" t="str">
        <f t="shared" ca="1" si="10"/>
        <v>SSFLAT__20260323_00</v>
      </c>
      <c r="L224" s="10" t="str">
        <f t="shared" ca="1" si="11"/>
        <v>SSFLAT__20260323_0000</v>
      </c>
      <c r="M224" t="b">
        <f>IF(ROW()-ROW($M$1) &lt;= FILLME!$G$4, TRUE, FALSE)</f>
        <v>0</v>
      </c>
      <c r="N224" t="b">
        <f>IF(ROW()-ROW($N$1) &lt;= FILLME!$G$5, TRUE, FALSE)</f>
        <v>0</v>
      </c>
      <c r="O224" t="b">
        <f>IF(ROW()-ROW($O$1) &lt;= FILLME!$G$7, TRUE, FALSE)</f>
        <v>0</v>
      </c>
      <c r="P224" t="b">
        <f>IF(ROW()-ROW($P$1) &lt;= FILLME!$G$6, TRUE, FALSE)</f>
        <v>0</v>
      </c>
      <c r="Q224" t="b">
        <f>IF(ROW()-ROW($Q$1) &lt;= FILLME!$G$8, TRUE, FALSE)</f>
        <v>0</v>
      </c>
      <c r="R224" t="b">
        <f>IF(ROW()-ROW($R$1) &lt;= FILLME!$G$9, TRUE, FALSE)</f>
        <v>0</v>
      </c>
      <c r="S224" t="b">
        <f>IF(ROW()-ROW($S$1) &lt;= FILLME!$G$10, TRUE, FALSE)</f>
        <v>0</v>
      </c>
      <c r="T224" t="b">
        <f>IF(ROW()-ROW($T$1) &lt;= FILLME!$G$11, TRUE, FALSE)</f>
        <v>0</v>
      </c>
    </row>
    <row r="225" spans="1:20" x14ac:dyDescent="0.25">
      <c r="A225" s="7" t="str">
        <f>FILLME!$B$7</f>
        <v>ISCO</v>
      </c>
      <c r="B225" t="str">
        <f>IF(FILLME!$B$3 = "", "", FILLME!$B$3)</f>
        <v>WWS</v>
      </c>
      <c r="C225" t="str">
        <f>IF(FILLME!$B$4 = "", "", FILLME!$B$4)</f>
        <v>SSFLAT</v>
      </c>
      <c r="D225" s="7" t="str">
        <f ca="1">TEXT(FILLME!$B$6,"yyyymmdd")</f>
        <v>20260323</v>
      </c>
      <c r="E225" s="8"/>
      <c r="F225" s="7">
        <f ca="1">IF(FILLME!$B$7="ISCO",FILLME!$B$6+FILLME!$B$11+(FILLME!$B$13*(G225-FILLME!$B$14)),FILLME!$B$6)</f>
        <v>46104.25</v>
      </c>
      <c r="G225" s="8"/>
      <c r="H225" s="8"/>
      <c r="I225" s="2"/>
      <c r="J225" s="9" t="str">
        <f t="shared" si="9"/>
        <v>_00</v>
      </c>
      <c r="K225" s="10" t="str">
        <f t="shared" ca="1" si="10"/>
        <v>SSFLAT__20260323_00</v>
      </c>
      <c r="L225" s="10" t="str">
        <f t="shared" ca="1" si="11"/>
        <v>SSFLAT__20260323_0000</v>
      </c>
      <c r="M225" t="b">
        <f>IF(ROW()-ROW($M$1) &lt;= FILLME!$G$4, TRUE, FALSE)</f>
        <v>0</v>
      </c>
      <c r="N225" t="b">
        <f>IF(ROW()-ROW($N$1) &lt;= FILLME!$G$5, TRUE, FALSE)</f>
        <v>0</v>
      </c>
      <c r="O225" t="b">
        <f>IF(ROW()-ROW($O$1) &lt;= FILLME!$G$7, TRUE, FALSE)</f>
        <v>0</v>
      </c>
      <c r="P225" t="b">
        <f>IF(ROW()-ROW($P$1) &lt;= FILLME!$G$6, TRUE, FALSE)</f>
        <v>0</v>
      </c>
      <c r="Q225" t="b">
        <f>IF(ROW()-ROW($Q$1) &lt;= FILLME!$G$8, TRUE, FALSE)</f>
        <v>0</v>
      </c>
      <c r="R225" t="b">
        <f>IF(ROW()-ROW($R$1) &lt;= FILLME!$G$9, TRUE, FALSE)</f>
        <v>0</v>
      </c>
      <c r="S225" t="b">
        <f>IF(ROW()-ROW($S$1) &lt;= FILLME!$G$10, TRUE, FALSE)</f>
        <v>0</v>
      </c>
      <c r="T225" t="b">
        <f>IF(ROW()-ROW($T$1) &lt;= FILLME!$G$11, TRUE, FALSE)</f>
        <v>0</v>
      </c>
    </row>
    <row r="226" spans="1:20" x14ac:dyDescent="0.25">
      <c r="A226" s="7" t="str">
        <f>FILLME!$B$7</f>
        <v>ISCO</v>
      </c>
      <c r="B226" t="str">
        <f>IF(FILLME!$B$3 = "", "", FILLME!$B$3)</f>
        <v>WWS</v>
      </c>
      <c r="C226" t="str">
        <f>IF(FILLME!$B$4 = "", "", FILLME!$B$4)</f>
        <v>SSFLAT</v>
      </c>
      <c r="D226" s="7" t="str">
        <f ca="1">TEXT(FILLME!$B$6,"yyyymmdd")</f>
        <v>20260323</v>
      </c>
      <c r="E226" s="8"/>
      <c r="F226" s="7">
        <f ca="1">IF(FILLME!$B$7="ISCO",FILLME!$B$6+FILLME!$B$11+(FILLME!$B$13*(G226-FILLME!$B$14)),FILLME!$B$6)</f>
        <v>46104.25</v>
      </c>
      <c r="G226" s="8"/>
      <c r="H226" s="8"/>
      <c r="I226" s="2"/>
      <c r="J226" s="9" t="str">
        <f t="shared" si="9"/>
        <v>_00</v>
      </c>
      <c r="K226" s="10" t="str">
        <f t="shared" ca="1" si="10"/>
        <v>SSFLAT__20260323_00</v>
      </c>
      <c r="L226" s="10" t="str">
        <f t="shared" ca="1" si="11"/>
        <v>SSFLAT__20260323_0000</v>
      </c>
      <c r="M226" t="b">
        <f>IF(ROW()-ROW($M$1) &lt;= FILLME!$G$4, TRUE, FALSE)</f>
        <v>0</v>
      </c>
      <c r="N226" t="b">
        <f>IF(ROW()-ROW($N$1) &lt;= FILLME!$G$5, TRUE, FALSE)</f>
        <v>0</v>
      </c>
      <c r="O226" t="b">
        <f>IF(ROW()-ROW($O$1) &lt;= FILLME!$G$7, TRUE, FALSE)</f>
        <v>0</v>
      </c>
      <c r="P226" t="b">
        <f>IF(ROW()-ROW($P$1) &lt;= FILLME!$G$6, TRUE, FALSE)</f>
        <v>0</v>
      </c>
      <c r="Q226" t="b">
        <f>IF(ROW()-ROW($Q$1) &lt;= FILLME!$G$8, TRUE, FALSE)</f>
        <v>0</v>
      </c>
      <c r="R226" t="b">
        <f>IF(ROW()-ROW($R$1) &lt;= FILLME!$G$9, TRUE, FALSE)</f>
        <v>0</v>
      </c>
      <c r="S226" t="b">
        <f>IF(ROW()-ROW($S$1) &lt;= FILLME!$G$10, TRUE, FALSE)</f>
        <v>0</v>
      </c>
      <c r="T226" t="b">
        <f>IF(ROW()-ROW($T$1) &lt;= FILLME!$G$11, TRUE, FALSE)</f>
        <v>0</v>
      </c>
    </row>
    <row r="227" spans="1:20" x14ac:dyDescent="0.25">
      <c r="A227" s="7" t="str">
        <f>FILLME!$B$7</f>
        <v>ISCO</v>
      </c>
      <c r="B227" t="str">
        <f>IF(FILLME!$B$3 = "", "", FILLME!$B$3)</f>
        <v>WWS</v>
      </c>
      <c r="C227" t="str">
        <f>IF(FILLME!$B$4 = "", "", FILLME!$B$4)</f>
        <v>SSFLAT</v>
      </c>
      <c r="D227" s="7" t="str">
        <f ca="1">TEXT(FILLME!$B$6,"yyyymmdd")</f>
        <v>20260323</v>
      </c>
      <c r="E227" s="8"/>
      <c r="F227" s="7">
        <f ca="1">IF(FILLME!$B$7="ISCO",FILLME!$B$6+FILLME!$B$11+(FILLME!$B$13*(G227-FILLME!$B$14)),FILLME!$B$6)</f>
        <v>46104.25</v>
      </c>
      <c r="G227" s="8"/>
      <c r="H227" s="8"/>
      <c r="I227" s="2"/>
      <c r="J227" s="9" t="str">
        <f t="shared" si="9"/>
        <v>_00</v>
      </c>
      <c r="K227" s="10" t="str">
        <f t="shared" ca="1" si="10"/>
        <v>SSFLAT__20260323_00</v>
      </c>
      <c r="L227" s="10" t="str">
        <f t="shared" ca="1" si="11"/>
        <v>SSFLAT__20260323_0000</v>
      </c>
      <c r="M227" t="b">
        <f>IF(ROW()-ROW($M$1) &lt;= FILLME!$G$4, TRUE, FALSE)</f>
        <v>0</v>
      </c>
      <c r="N227" t="b">
        <f>IF(ROW()-ROW($N$1) &lt;= FILLME!$G$5, TRUE, FALSE)</f>
        <v>0</v>
      </c>
      <c r="O227" t="b">
        <f>IF(ROW()-ROW($O$1) &lt;= FILLME!$G$7, TRUE, FALSE)</f>
        <v>0</v>
      </c>
      <c r="P227" t="b">
        <f>IF(ROW()-ROW($P$1) &lt;= FILLME!$G$6, TRUE, FALSE)</f>
        <v>0</v>
      </c>
      <c r="Q227" t="b">
        <f>IF(ROW()-ROW($Q$1) &lt;= FILLME!$G$8, TRUE, FALSE)</f>
        <v>0</v>
      </c>
      <c r="R227" t="b">
        <f>IF(ROW()-ROW($R$1) &lt;= FILLME!$G$9, TRUE, FALSE)</f>
        <v>0</v>
      </c>
      <c r="S227" t="b">
        <f>IF(ROW()-ROW($S$1) &lt;= FILLME!$G$10, TRUE, FALSE)</f>
        <v>0</v>
      </c>
      <c r="T227" t="b">
        <f>IF(ROW()-ROW($T$1) &lt;= FILLME!$G$11, TRUE, FALSE)</f>
        <v>0</v>
      </c>
    </row>
    <row r="228" spans="1:20" x14ac:dyDescent="0.25">
      <c r="A228" s="7" t="str">
        <f>FILLME!$B$7</f>
        <v>ISCO</v>
      </c>
      <c r="B228" t="str">
        <f>IF(FILLME!$B$3 = "", "", FILLME!$B$3)</f>
        <v>WWS</v>
      </c>
      <c r="C228" t="str">
        <f>IF(FILLME!$B$4 = "", "", FILLME!$B$4)</f>
        <v>SSFLAT</v>
      </c>
      <c r="D228" s="7" t="str">
        <f ca="1">TEXT(FILLME!$B$6,"yyyymmdd")</f>
        <v>20260323</v>
      </c>
      <c r="E228" s="8"/>
      <c r="F228" s="7">
        <f ca="1">IF(FILLME!$B$7="ISCO",FILLME!$B$6+FILLME!$B$11+(FILLME!$B$13*(G228-FILLME!$B$14)),FILLME!$B$6)</f>
        <v>46104.25</v>
      </c>
      <c r="G228" s="8"/>
      <c r="H228" s="8"/>
      <c r="I228" s="2"/>
      <c r="J228" s="9" t="str">
        <f t="shared" si="9"/>
        <v>_00</v>
      </c>
      <c r="K228" s="10" t="str">
        <f t="shared" ca="1" si="10"/>
        <v>SSFLAT__20260323_00</v>
      </c>
      <c r="L228" s="10" t="str">
        <f t="shared" ca="1" si="11"/>
        <v>SSFLAT__20260323_0000</v>
      </c>
      <c r="M228" t="b">
        <f>IF(ROW()-ROW($M$1) &lt;= FILLME!$G$4, TRUE, FALSE)</f>
        <v>0</v>
      </c>
      <c r="N228" t="b">
        <f>IF(ROW()-ROW($N$1) &lt;= FILLME!$G$5, TRUE, FALSE)</f>
        <v>0</v>
      </c>
      <c r="O228" t="b">
        <f>IF(ROW()-ROW($O$1) &lt;= FILLME!$G$7, TRUE, FALSE)</f>
        <v>0</v>
      </c>
      <c r="P228" t="b">
        <f>IF(ROW()-ROW($P$1) &lt;= FILLME!$G$6, TRUE, FALSE)</f>
        <v>0</v>
      </c>
      <c r="Q228" t="b">
        <f>IF(ROW()-ROW($Q$1) &lt;= FILLME!$G$8, TRUE, FALSE)</f>
        <v>0</v>
      </c>
      <c r="R228" t="b">
        <f>IF(ROW()-ROW($R$1) &lt;= FILLME!$G$9, TRUE, FALSE)</f>
        <v>0</v>
      </c>
      <c r="S228" t="b">
        <f>IF(ROW()-ROW($S$1) &lt;= FILLME!$G$10, TRUE, FALSE)</f>
        <v>0</v>
      </c>
      <c r="T228" t="b">
        <f>IF(ROW()-ROW($T$1) &lt;= FILLME!$G$11, TRUE, FALSE)</f>
        <v>0</v>
      </c>
    </row>
    <row r="229" spans="1:20" x14ac:dyDescent="0.25">
      <c r="A229" s="7" t="str">
        <f>FILLME!$B$7</f>
        <v>ISCO</v>
      </c>
      <c r="B229" t="str">
        <f>IF(FILLME!$B$3 = "", "", FILLME!$B$3)</f>
        <v>WWS</v>
      </c>
      <c r="C229" t="str">
        <f>IF(FILLME!$B$4 = "", "", FILLME!$B$4)</f>
        <v>SSFLAT</v>
      </c>
      <c r="D229" s="7" t="str">
        <f ca="1">TEXT(FILLME!$B$6,"yyyymmdd")</f>
        <v>20260323</v>
      </c>
      <c r="E229" s="8"/>
      <c r="F229" s="7">
        <f ca="1">IF(FILLME!$B$7="ISCO",FILLME!$B$6+FILLME!$B$11+(FILLME!$B$13*(G229-FILLME!$B$14)),FILLME!$B$6)</f>
        <v>46104.25</v>
      </c>
      <c r="G229" s="8"/>
      <c r="H229" s="8"/>
      <c r="I229" s="2"/>
      <c r="J229" s="9" t="str">
        <f t="shared" si="9"/>
        <v>_00</v>
      </c>
      <c r="K229" s="10" t="str">
        <f t="shared" ca="1" si="10"/>
        <v>SSFLAT__20260323_00</v>
      </c>
      <c r="L229" s="10" t="str">
        <f t="shared" ca="1" si="11"/>
        <v>SSFLAT__20260323_0000</v>
      </c>
      <c r="M229" t="b">
        <f>IF(ROW()-ROW($M$1) &lt;= FILLME!$G$4, TRUE, FALSE)</f>
        <v>0</v>
      </c>
      <c r="N229" t="b">
        <f>IF(ROW()-ROW($N$1) &lt;= FILLME!$G$5, TRUE, FALSE)</f>
        <v>0</v>
      </c>
      <c r="O229" t="b">
        <f>IF(ROW()-ROW($O$1) &lt;= FILLME!$G$7, TRUE, FALSE)</f>
        <v>0</v>
      </c>
      <c r="P229" t="b">
        <f>IF(ROW()-ROW($P$1) &lt;= FILLME!$G$6, TRUE, FALSE)</f>
        <v>0</v>
      </c>
      <c r="Q229" t="b">
        <f>IF(ROW()-ROW($Q$1) &lt;= FILLME!$G$8, TRUE, FALSE)</f>
        <v>0</v>
      </c>
      <c r="R229" t="b">
        <f>IF(ROW()-ROW($R$1) &lt;= FILLME!$G$9, TRUE, FALSE)</f>
        <v>0</v>
      </c>
      <c r="S229" t="b">
        <f>IF(ROW()-ROW($S$1) &lt;= FILLME!$G$10, TRUE, FALSE)</f>
        <v>0</v>
      </c>
      <c r="T229" t="b">
        <f>IF(ROW()-ROW($T$1) &lt;= FILLME!$G$11, TRUE, FALSE)</f>
        <v>0</v>
      </c>
    </row>
    <row r="230" spans="1:20" x14ac:dyDescent="0.25">
      <c r="A230" s="7" t="str">
        <f>FILLME!$B$7</f>
        <v>ISCO</v>
      </c>
      <c r="B230" t="str">
        <f>IF(FILLME!$B$3 = "", "", FILLME!$B$3)</f>
        <v>WWS</v>
      </c>
      <c r="C230" t="str">
        <f>IF(FILLME!$B$4 = "", "", FILLME!$B$4)</f>
        <v>SSFLAT</v>
      </c>
      <c r="D230" s="7" t="str">
        <f ca="1">TEXT(FILLME!$B$6,"yyyymmdd")</f>
        <v>20260323</v>
      </c>
      <c r="E230" s="8"/>
      <c r="F230" s="7">
        <f ca="1">IF(FILLME!$B$7="ISCO",FILLME!$B$6+FILLME!$B$11+(FILLME!$B$13*(G230-FILLME!$B$14)),FILLME!$B$6)</f>
        <v>46104.25</v>
      </c>
      <c r="G230" s="8"/>
      <c r="H230" s="8"/>
      <c r="I230" s="2"/>
      <c r="J230" s="9" t="str">
        <f t="shared" si="9"/>
        <v>_00</v>
      </c>
      <c r="K230" s="10" t="str">
        <f t="shared" ca="1" si="10"/>
        <v>SSFLAT__20260323_00</v>
      </c>
      <c r="L230" s="10" t="str">
        <f t="shared" ca="1" si="11"/>
        <v>SSFLAT__20260323_0000</v>
      </c>
      <c r="M230" t="b">
        <f>IF(ROW()-ROW($M$1) &lt;= FILLME!$G$4, TRUE, FALSE)</f>
        <v>0</v>
      </c>
      <c r="N230" t="b">
        <f>IF(ROW()-ROW($N$1) &lt;= FILLME!$G$5, TRUE, FALSE)</f>
        <v>0</v>
      </c>
      <c r="O230" t="b">
        <f>IF(ROW()-ROW($O$1) &lt;= FILLME!$G$7, TRUE, FALSE)</f>
        <v>0</v>
      </c>
      <c r="P230" t="b">
        <f>IF(ROW()-ROW($P$1) &lt;= FILLME!$G$6, TRUE, FALSE)</f>
        <v>0</v>
      </c>
      <c r="Q230" t="b">
        <f>IF(ROW()-ROW($Q$1) &lt;= FILLME!$G$8, TRUE, FALSE)</f>
        <v>0</v>
      </c>
      <c r="R230" t="b">
        <f>IF(ROW()-ROW($R$1) &lt;= FILLME!$G$9, TRUE, FALSE)</f>
        <v>0</v>
      </c>
      <c r="S230" t="b">
        <f>IF(ROW()-ROW($S$1) &lt;= FILLME!$G$10, TRUE, FALSE)</f>
        <v>0</v>
      </c>
      <c r="T230" t="b">
        <f>IF(ROW()-ROW($T$1) &lt;= FILLME!$G$11, TRUE, FALSE)</f>
        <v>0</v>
      </c>
    </row>
    <row r="231" spans="1:20" x14ac:dyDescent="0.25">
      <c r="A231" s="7" t="str">
        <f>FILLME!$B$7</f>
        <v>ISCO</v>
      </c>
      <c r="B231" t="str">
        <f>IF(FILLME!$B$3 = "", "", FILLME!$B$3)</f>
        <v>WWS</v>
      </c>
      <c r="C231" t="str">
        <f>IF(FILLME!$B$4 = "", "", FILLME!$B$4)</f>
        <v>SSFLAT</v>
      </c>
      <c r="D231" s="7" t="str">
        <f ca="1">TEXT(FILLME!$B$6,"yyyymmdd")</f>
        <v>20260323</v>
      </c>
      <c r="E231" s="8"/>
      <c r="F231" s="7">
        <f ca="1">IF(FILLME!$B$7="ISCO",FILLME!$B$6+FILLME!$B$11+(FILLME!$B$13*(G231-FILLME!$B$14)),FILLME!$B$6)</f>
        <v>46104.25</v>
      </c>
      <c r="G231" s="8"/>
      <c r="H231" s="8"/>
      <c r="I231" s="2"/>
      <c r="J231" s="9" t="str">
        <f t="shared" si="9"/>
        <v>_00</v>
      </c>
      <c r="K231" s="10" t="str">
        <f t="shared" ca="1" si="10"/>
        <v>SSFLAT__20260323_00</v>
      </c>
      <c r="L231" s="10" t="str">
        <f t="shared" ca="1" si="11"/>
        <v>SSFLAT__20260323_0000</v>
      </c>
      <c r="M231" t="b">
        <f>IF(ROW()-ROW($M$1) &lt;= FILLME!$G$4, TRUE, FALSE)</f>
        <v>0</v>
      </c>
      <c r="N231" t="b">
        <f>IF(ROW()-ROW($N$1) &lt;= FILLME!$G$5, TRUE, FALSE)</f>
        <v>0</v>
      </c>
      <c r="O231" t="b">
        <f>IF(ROW()-ROW($O$1) &lt;= FILLME!$G$7, TRUE, FALSE)</f>
        <v>0</v>
      </c>
      <c r="P231" t="b">
        <f>IF(ROW()-ROW($P$1) &lt;= FILLME!$G$6, TRUE, FALSE)</f>
        <v>0</v>
      </c>
      <c r="Q231" t="b">
        <f>IF(ROW()-ROW($Q$1) &lt;= FILLME!$G$8, TRUE, FALSE)</f>
        <v>0</v>
      </c>
      <c r="R231" t="b">
        <f>IF(ROW()-ROW($R$1) &lt;= FILLME!$G$9, TRUE, FALSE)</f>
        <v>0</v>
      </c>
      <c r="S231" t="b">
        <f>IF(ROW()-ROW($S$1) &lt;= FILLME!$G$10, TRUE, FALSE)</f>
        <v>0</v>
      </c>
      <c r="T231" t="b">
        <f>IF(ROW()-ROW($T$1) &lt;= FILLME!$G$11, TRUE, FALSE)</f>
        <v>0</v>
      </c>
    </row>
    <row r="232" spans="1:20" x14ac:dyDescent="0.25">
      <c r="A232" s="7" t="str">
        <f>FILLME!$B$7</f>
        <v>ISCO</v>
      </c>
      <c r="B232" t="str">
        <f>IF(FILLME!$B$3 = "", "", FILLME!$B$3)</f>
        <v>WWS</v>
      </c>
      <c r="C232" t="str">
        <f>IF(FILLME!$B$4 = "", "", FILLME!$B$4)</f>
        <v>SSFLAT</v>
      </c>
      <c r="D232" s="7" t="str">
        <f ca="1">TEXT(FILLME!$B$6,"yyyymmdd")</f>
        <v>20260323</v>
      </c>
      <c r="E232" s="8"/>
      <c r="F232" s="7">
        <f ca="1">IF(FILLME!$B$7="ISCO",FILLME!$B$6+FILLME!$B$11+(FILLME!$B$13*(G232-FILLME!$B$14)),FILLME!$B$6)</f>
        <v>46104.25</v>
      </c>
      <c r="G232" s="8"/>
      <c r="H232" s="8"/>
      <c r="I232" s="2"/>
      <c r="J232" s="9" t="str">
        <f t="shared" si="9"/>
        <v>_00</v>
      </c>
      <c r="K232" s="10" t="str">
        <f t="shared" ca="1" si="10"/>
        <v>SSFLAT__20260323_00</v>
      </c>
      <c r="L232" s="10" t="str">
        <f t="shared" ca="1" si="11"/>
        <v>SSFLAT__20260323_0000</v>
      </c>
      <c r="M232" t="b">
        <f>IF(ROW()-ROW($M$1) &lt;= FILLME!$G$4, TRUE, FALSE)</f>
        <v>0</v>
      </c>
      <c r="N232" t="b">
        <f>IF(ROW()-ROW($N$1) &lt;= FILLME!$G$5, TRUE, FALSE)</f>
        <v>0</v>
      </c>
      <c r="O232" t="b">
        <f>IF(ROW()-ROW($O$1) &lt;= FILLME!$G$7, TRUE, FALSE)</f>
        <v>0</v>
      </c>
      <c r="P232" t="b">
        <f>IF(ROW()-ROW($P$1) &lt;= FILLME!$G$6, TRUE, FALSE)</f>
        <v>0</v>
      </c>
      <c r="Q232" t="b">
        <f>IF(ROW()-ROW($Q$1) &lt;= FILLME!$G$8, TRUE, FALSE)</f>
        <v>0</v>
      </c>
      <c r="R232" t="b">
        <f>IF(ROW()-ROW($R$1) &lt;= FILLME!$G$9, TRUE, FALSE)</f>
        <v>0</v>
      </c>
      <c r="S232" t="b">
        <f>IF(ROW()-ROW($S$1) &lt;= FILLME!$G$10, TRUE, FALSE)</f>
        <v>0</v>
      </c>
      <c r="T232" t="b">
        <f>IF(ROW()-ROW($T$1) &lt;= FILLME!$G$11, TRUE, FALSE)</f>
        <v>0</v>
      </c>
    </row>
    <row r="233" spans="1:20" x14ac:dyDescent="0.25">
      <c r="A233" s="7" t="str">
        <f>FILLME!$B$7</f>
        <v>ISCO</v>
      </c>
      <c r="B233" t="str">
        <f>IF(FILLME!$B$3 = "", "", FILLME!$B$3)</f>
        <v>WWS</v>
      </c>
      <c r="C233" t="str">
        <f>IF(FILLME!$B$4 = "", "", FILLME!$B$4)</f>
        <v>SSFLAT</v>
      </c>
      <c r="D233" s="7" t="str">
        <f ca="1">TEXT(FILLME!$B$6,"yyyymmdd")</f>
        <v>20260323</v>
      </c>
      <c r="E233" s="8"/>
      <c r="F233" s="7">
        <f ca="1">IF(FILLME!$B$7="ISCO",FILLME!$B$6+FILLME!$B$11+(FILLME!$B$13*(G233-FILLME!$B$14)),FILLME!$B$6)</f>
        <v>46104.25</v>
      </c>
      <c r="G233" s="8"/>
      <c r="H233" s="8"/>
      <c r="I233" s="2"/>
      <c r="J233" s="9" t="str">
        <f t="shared" si="9"/>
        <v>_00</v>
      </c>
      <c r="K233" s="10" t="str">
        <f t="shared" ca="1" si="10"/>
        <v>SSFLAT__20260323_00</v>
      </c>
      <c r="L233" s="10" t="str">
        <f t="shared" ca="1" si="11"/>
        <v>SSFLAT__20260323_0000</v>
      </c>
      <c r="M233" t="b">
        <f>IF(ROW()-ROW($M$1) &lt;= FILLME!$G$4, TRUE, FALSE)</f>
        <v>0</v>
      </c>
      <c r="N233" t="b">
        <f>IF(ROW()-ROW($N$1) &lt;= FILLME!$G$5, TRUE, FALSE)</f>
        <v>0</v>
      </c>
      <c r="O233" t="b">
        <f>IF(ROW()-ROW($O$1) &lt;= FILLME!$G$7, TRUE, FALSE)</f>
        <v>0</v>
      </c>
      <c r="P233" t="b">
        <f>IF(ROW()-ROW($P$1) &lt;= FILLME!$G$6, TRUE, FALSE)</f>
        <v>0</v>
      </c>
      <c r="Q233" t="b">
        <f>IF(ROW()-ROW($Q$1) &lt;= FILLME!$G$8, TRUE, FALSE)</f>
        <v>0</v>
      </c>
      <c r="R233" t="b">
        <f>IF(ROW()-ROW($R$1) &lt;= FILLME!$G$9, TRUE, FALSE)</f>
        <v>0</v>
      </c>
      <c r="S233" t="b">
        <f>IF(ROW()-ROW($S$1) &lt;= FILLME!$G$10, TRUE, FALSE)</f>
        <v>0</v>
      </c>
      <c r="T233" t="b">
        <f>IF(ROW()-ROW($T$1) &lt;= FILLME!$G$11, TRUE, FALSE)</f>
        <v>0</v>
      </c>
    </row>
    <row r="234" spans="1:20" x14ac:dyDescent="0.25">
      <c r="A234" s="7" t="str">
        <f>FILLME!$B$7</f>
        <v>ISCO</v>
      </c>
      <c r="B234" t="str">
        <f>IF(FILLME!$B$3 = "", "", FILLME!$B$3)</f>
        <v>WWS</v>
      </c>
      <c r="C234" t="str">
        <f>IF(FILLME!$B$4 = "", "", FILLME!$B$4)</f>
        <v>SSFLAT</v>
      </c>
      <c r="D234" s="7" t="str">
        <f ca="1">TEXT(FILLME!$B$6,"yyyymmdd")</f>
        <v>20260323</v>
      </c>
      <c r="E234" s="8"/>
      <c r="F234" s="7">
        <f ca="1">IF(FILLME!$B$7="ISCO",FILLME!$B$6+FILLME!$B$11+(FILLME!$B$13*(G234-FILLME!$B$14)),FILLME!$B$6)</f>
        <v>46104.25</v>
      </c>
      <c r="G234" s="8"/>
      <c r="H234" s="8"/>
      <c r="I234" s="2"/>
      <c r="J234" s="9" t="str">
        <f t="shared" si="9"/>
        <v>_00</v>
      </c>
      <c r="K234" s="10" t="str">
        <f t="shared" ca="1" si="10"/>
        <v>SSFLAT__20260323_00</v>
      </c>
      <c r="L234" s="10" t="str">
        <f t="shared" ca="1" si="11"/>
        <v>SSFLAT__20260323_0000</v>
      </c>
      <c r="M234" t="b">
        <f>IF(ROW()-ROW($M$1) &lt;= FILLME!$G$4, TRUE, FALSE)</f>
        <v>0</v>
      </c>
      <c r="N234" t="b">
        <f>IF(ROW()-ROW($N$1) &lt;= FILLME!$G$5, TRUE, FALSE)</f>
        <v>0</v>
      </c>
      <c r="O234" t="b">
        <f>IF(ROW()-ROW($O$1) &lt;= FILLME!$G$7, TRUE, FALSE)</f>
        <v>0</v>
      </c>
      <c r="P234" t="b">
        <f>IF(ROW()-ROW($P$1) &lt;= FILLME!$G$6, TRUE, FALSE)</f>
        <v>0</v>
      </c>
      <c r="Q234" t="b">
        <f>IF(ROW()-ROW($Q$1) &lt;= FILLME!$G$8, TRUE, FALSE)</f>
        <v>0</v>
      </c>
      <c r="R234" t="b">
        <f>IF(ROW()-ROW($R$1) &lt;= FILLME!$G$9, TRUE, FALSE)</f>
        <v>0</v>
      </c>
      <c r="S234" t="b">
        <f>IF(ROW()-ROW($S$1) &lt;= FILLME!$G$10, TRUE, FALSE)</f>
        <v>0</v>
      </c>
      <c r="T234" t="b">
        <f>IF(ROW()-ROW($T$1) &lt;= FILLME!$G$11, TRUE, FALSE)</f>
        <v>0</v>
      </c>
    </row>
    <row r="235" spans="1:20" x14ac:dyDescent="0.25">
      <c r="A235" s="7" t="str">
        <f>FILLME!$B$7</f>
        <v>ISCO</v>
      </c>
      <c r="B235" t="str">
        <f>IF(FILLME!$B$3 = "", "", FILLME!$B$3)</f>
        <v>WWS</v>
      </c>
      <c r="C235" t="str">
        <f>IF(FILLME!$B$4 = "", "", FILLME!$B$4)</f>
        <v>SSFLAT</v>
      </c>
      <c r="D235" s="7" t="str">
        <f ca="1">TEXT(FILLME!$B$6,"yyyymmdd")</f>
        <v>20260323</v>
      </c>
      <c r="E235" s="8"/>
      <c r="F235" s="7">
        <f ca="1">IF(FILLME!$B$7="ISCO",FILLME!$B$6+FILLME!$B$11+(FILLME!$B$13*(G235-FILLME!$B$14)),FILLME!$B$6)</f>
        <v>46104.25</v>
      </c>
      <c r="G235" s="8"/>
      <c r="H235" s="8"/>
      <c r="I235" s="2"/>
      <c r="J235" s="9" t="str">
        <f t="shared" si="9"/>
        <v>_00</v>
      </c>
      <c r="K235" s="10" t="str">
        <f t="shared" ca="1" si="10"/>
        <v>SSFLAT__20260323_00</v>
      </c>
      <c r="L235" s="10" t="str">
        <f t="shared" ca="1" si="11"/>
        <v>SSFLAT__20260323_0000</v>
      </c>
      <c r="M235" t="b">
        <f>IF(ROW()-ROW($M$1) &lt;= FILLME!$G$4, TRUE, FALSE)</f>
        <v>0</v>
      </c>
      <c r="N235" t="b">
        <f>IF(ROW()-ROW($N$1) &lt;= FILLME!$G$5, TRUE, FALSE)</f>
        <v>0</v>
      </c>
      <c r="O235" t="b">
        <f>IF(ROW()-ROW($O$1) &lt;= FILLME!$G$7, TRUE, FALSE)</f>
        <v>0</v>
      </c>
      <c r="P235" t="b">
        <f>IF(ROW()-ROW($P$1) &lt;= FILLME!$G$6, TRUE, FALSE)</f>
        <v>0</v>
      </c>
      <c r="Q235" t="b">
        <f>IF(ROW()-ROW($Q$1) &lt;= FILLME!$G$8, TRUE, FALSE)</f>
        <v>0</v>
      </c>
      <c r="R235" t="b">
        <f>IF(ROW()-ROW($R$1) &lt;= FILLME!$G$9, TRUE, FALSE)</f>
        <v>0</v>
      </c>
      <c r="S235" t="b">
        <f>IF(ROW()-ROW($S$1) &lt;= FILLME!$G$10, TRUE, FALSE)</f>
        <v>0</v>
      </c>
      <c r="T235" t="b">
        <f>IF(ROW()-ROW($T$1) &lt;= FILLME!$G$11, TRUE, FALSE)</f>
        <v>0</v>
      </c>
    </row>
    <row r="236" spans="1:20" x14ac:dyDescent="0.25">
      <c r="A236" s="7" t="str">
        <f>FILLME!$B$7</f>
        <v>ISCO</v>
      </c>
      <c r="B236" t="str">
        <f>IF(FILLME!$B$3 = "", "", FILLME!$B$3)</f>
        <v>WWS</v>
      </c>
      <c r="C236" t="str">
        <f>IF(FILLME!$B$4 = "", "", FILLME!$B$4)</f>
        <v>SSFLAT</v>
      </c>
      <c r="D236" s="7" t="str">
        <f ca="1">TEXT(FILLME!$B$6,"yyyymmdd")</f>
        <v>20260323</v>
      </c>
      <c r="E236" s="8"/>
      <c r="F236" s="7">
        <f ca="1">IF(FILLME!$B$7="ISCO",FILLME!$B$6+FILLME!$B$11+(FILLME!$B$13*(G236-FILLME!$B$14)),FILLME!$B$6)</f>
        <v>46104.25</v>
      </c>
      <c r="G236" s="8"/>
      <c r="H236" s="8"/>
      <c r="I236" s="2"/>
      <c r="J236" s="9" t="str">
        <f t="shared" si="9"/>
        <v>_00</v>
      </c>
      <c r="K236" s="10" t="str">
        <f t="shared" ca="1" si="10"/>
        <v>SSFLAT__20260323_00</v>
      </c>
      <c r="L236" s="10" t="str">
        <f t="shared" ca="1" si="11"/>
        <v>SSFLAT__20260323_0000</v>
      </c>
      <c r="M236" t="b">
        <f>IF(ROW()-ROW($M$1) &lt;= FILLME!$G$4, TRUE, FALSE)</f>
        <v>0</v>
      </c>
      <c r="N236" t="b">
        <f>IF(ROW()-ROW($N$1) &lt;= FILLME!$G$5, TRUE, FALSE)</f>
        <v>0</v>
      </c>
      <c r="O236" t="b">
        <f>IF(ROW()-ROW($O$1) &lt;= FILLME!$G$7, TRUE, FALSE)</f>
        <v>0</v>
      </c>
      <c r="P236" t="b">
        <f>IF(ROW()-ROW($P$1) &lt;= FILLME!$G$6, TRUE, FALSE)</f>
        <v>0</v>
      </c>
      <c r="Q236" t="b">
        <f>IF(ROW()-ROW($Q$1) &lt;= FILLME!$G$8, TRUE, FALSE)</f>
        <v>0</v>
      </c>
      <c r="R236" t="b">
        <f>IF(ROW()-ROW($R$1) &lt;= FILLME!$G$9, TRUE, FALSE)</f>
        <v>0</v>
      </c>
      <c r="S236" t="b">
        <f>IF(ROW()-ROW($S$1) &lt;= FILLME!$G$10, TRUE, FALSE)</f>
        <v>0</v>
      </c>
      <c r="T236" t="b">
        <f>IF(ROW()-ROW($T$1) &lt;= FILLME!$G$11, TRUE, FALSE)</f>
        <v>0</v>
      </c>
    </row>
    <row r="237" spans="1:20" x14ac:dyDescent="0.25">
      <c r="A237" s="7" t="str">
        <f>FILLME!$B$7</f>
        <v>ISCO</v>
      </c>
      <c r="B237" t="str">
        <f>IF(FILLME!$B$3 = "", "", FILLME!$B$3)</f>
        <v>WWS</v>
      </c>
      <c r="C237" t="str">
        <f>IF(FILLME!$B$4 = "", "", FILLME!$B$4)</f>
        <v>SSFLAT</v>
      </c>
      <c r="D237" s="7" t="str">
        <f ca="1">TEXT(FILLME!$B$6,"yyyymmdd")</f>
        <v>20260323</v>
      </c>
      <c r="E237" s="8"/>
      <c r="F237" s="7">
        <f ca="1">IF(FILLME!$B$7="ISCO",FILLME!$B$6+FILLME!$B$11+(FILLME!$B$13*(G237-FILLME!$B$14)),FILLME!$B$6)</f>
        <v>46104.25</v>
      </c>
      <c r="G237" s="8"/>
      <c r="H237" s="8"/>
      <c r="I237" s="2"/>
      <c r="J237" s="9" t="str">
        <f t="shared" si="9"/>
        <v>_00</v>
      </c>
      <c r="K237" s="10" t="str">
        <f t="shared" ca="1" si="10"/>
        <v>SSFLAT__20260323_00</v>
      </c>
      <c r="L237" s="10" t="str">
        <f t="shared" ca="1" si="11"/>
        <v>SSFLAT__20260323_0000</v>
      </c>
      <c r="M237" t="b">
        <f>IF(ROW()-ROW($M$1) &lt;= FILLME!$G$4, TRUE, FALSE)</f>
        <v>0</v>
      </c>
      <c r="N237" t="b">
        <f>IF(ROW()-ROW($N$1) &lt;= FILLME!$G$5, TRUE, FALSE)</f>
        <v>0</v>
      </c>
      <c r="O237" t="b">
        <f>IF(ROW()-ROW($O$1) &lt;= FILLME!$G$7, TRUE, FALSE)</f>
        <v>0</v>
      </c>
      <c r="P237" t="b">
        <f>IF(ROW()-ROW($P$1) &lt;= FILLME!$G$6, TRUE, FALSE)</f>
        <v>0</v>
      </c>
      <c r="Q237" t="b">
        <f>IF(ROW()-ROW($Q$1) &lt;= FILLME!$G$8, TRUE, FALSE)</f>
        <v>0</v>
      </c>
      <c r="R237" t="b">
        <f>IF(ROW()-ROW($R$1) &lt;= FILLME!$G$9, TRUE, FALSE)</f>
        <v>0</v>
      </c>
      <c r="S237" t="b">
        <f>IF(ROW()-ROW($S$1) &lt;= FILLME!$G$10, TRUE, FALSE)</f>
        <v>0</v>
      </c>
      <c r="T237" t="b">
        <f>IF(ROW()-ROW($T$1) &lt;= FILLME!$G$11, TRUE, FALSE)</f>
        <v>0</v>
      </c>
    </row>
    <row r="238" spans="1:20" x14ac:dyDescent="0.25">
      <c r="A238" s="7" t="str">
        <f>FILLME!$B$7</f>
        <v>ISCO</v>
      </c>
      <c r="B238" t="str">
        <f>IF(FILLME!$B$3 = "", "", FILLME!$B$3)</f>
        <v>WWS</v>
      </c>
      <c r="C238" t="str">
        <f>IF(FILLME!$B$4 = "", "", FILLME!$B$4)</f>
        <v>SSFLAT</v>
      </c>
      <c r="D238" s="7" t="str">
        <f ca="1">TEXT(FILLME!$B$6,"yyyymmdd")</f>
        <v>20260323</v>
      </c>
      <c r="E238" s="8"/>
      <c r="F238" s="7">
        <f ca="1">IF(FILLME!$B$7="ISCO",FILLME!$B$6+FILLME!$B$11+(FILLME!$B$13*(G238-FILLME!$B$14)),FILLME!$B$6)</f>
        <v>46104.25</v>
      </c>
      <c r="G238" s="8"/>
      <c r="H238" s="8"/>
      <c r="I238" s="2"/>
      <c r="J238" s="9" t="str">
        <f t="shared" si="9"/>
        <v>_00</v>
      </c>
      <c r="K238" s="10" t="str">
        <f t="shared" ca="1" si="10"/>
        <v>SSFLAT__20260323_00</v>
      </c>
      <c r="L238" s="10" t="str">
        <f t="shared" ca="1" si="11"/>
        <v>SSFLAT__20260323_0000</v>
      </c>
      <c r="M238" t="b">
        <f>IF(ROW()-ROW($M$1) &lt;= FILLME!$G$4, TRUE, FALSE)</f>
        <v>0</v>
      </c>
      <c r="N238" t="b">
        <f>IF(ROW()-ROW($N$1) &lt;= FILLME!$G$5, TRUE, FALSE)</f>
        <v>0</v>
      </c>
      <c r="O238" t="b">
        <f>IF(ROW()-ROW($O$1) &lt;= FILLME!$G$7, TRUE, FALSE)</f>
        <v>0</v>
      </c>
      <c r="P238" t="b">
        <f>IF(ROW()-ROW($P$1) &lt;= FILLME!$G$6, TRUE, FALSE)</f>
        <v>0</v>
      </c>
      <c r="Q238" t="b">
        <f>IF(ROW()-ROW($Q$1) &lt;= FILLME!$G$8, TRUE, FALSE)</f>
        <v>0</v>
      </c>
      <c r="R238" t="b">
        <f>IF(ROW()-ROW($R$1) &lt;= FILLME!$G$9, TRUE, FALSE)</f>
        <v>0</v>
      </c>
      <c r="S238" t="b">
        <f>IF(ROW()-ROW($S$1) &lt;= FILLME!$G$10, TRUE, FALSE)</f>
        <v>0</v>
      </c>
      <c r="T238" t="b">
        <f>IF(ROW()-ROW($T$1) &lt;= FILLME!$G$11, TRUE, FALSE)</f>
        <v>0</v>
      </c>
    </row>
    <row r="239" spans="1:20" x14ac:dyDescent="0.25">
      <c r="A239" s="7" t="str">
        <f>FILLME!$B$7</f>
        <v>ISCO</v>
      </c>
      <c r="B239" t="str">
        <f>IF(FILLME!$B$3 = "", "", FILLME!$B$3)</f>
        <v>WWS</v>
      </c>
      <c r="C239" t="str">
        <f>IF(FILLME!$B$4 = "", "", FILLME!$B$4)</f>
        <v>SSFLAT</v>
      </c>
      <c r="D239" s="7" t="str">
        <f ca="1">TEXT(FILLME!$B$6,"yyyymmdd")</f>
        <v>20260323</v>
      </c>
      <c r="E239" s="8"/>
      <c r="F239" s="7">
        <f ca="1">IF(FILLME!$B$7="ISCO",FILLME!$B$6+FILLME!$B$11+(FILLME!$B$13*(G239-FILLME!$B$14)),FILLME!$B$6)</f>
        <v>46104.25</v>
      </c>
      <c r="G239" s="8"/>
      <c r="H239" s="8"/>
      <c r="I239" s="2"/>
      <c r="J239" s="9" t="str">
        <f t="shared" si="9"/>
        <v>_00</v>
      </c>
      <c r="K239" s="10" t="str">
        <f t="shared" ca="1" si="10"/>
        <v>SSFLAT__20260323_00</v>
      </c>
      <c r="L239" s="10" t="str">
        <f t="shared" ca="1" si="11"/>
        <v>SSFLAT__20260323_0000</v>
      </c>
      <c r="M239" t="b">
        <f>IF(ROW()-ROW($M$1) &lt;= FILLME!$G$4, TRUE, FALSE)</f>
        <v>0</v>
      </c>
      <c r="N239" t="b">
        <f>IF(ROW()-ROW($N$1) &lt;= FILLME!$G$5, TRUE, FALSE)</f>
        <v>0</v>
      </c>
      <c r="O239" t="b">
        <f>IF(ROW()-ROW($O$1) &lt;= FILLME!$G$7, TRUE, FALSE)</f>
        <v>0</v>
      </c>
      <c r="P239" t="b">
        <f>IF(ROW()-ROW($P$1) &lt;= FILLME!$G$6, TRUE, FALSE)</f>
        <v>0</v>
      </c>
      <c r="Q239" t="b">
        <f>IF(ROW()-ROW($Q$1) &lt;= FILLME!$G$8, TRUE, FALSE)</f>
        <v>0</v>
      </c>
      <c r="R239" t="b">
        <f>IF(ROW()-ROW($R$1) &lt;= FILLME!$G$9, TRUE, FALSE)</f>
        <v>0</v>
      </c>
      <c r="S239" t="b">
        <f>IF(ROW()-ROW($S$1) &lt;= FILLME!$G$10, TRUE, FALSE)</f>
        <v>0</v>
      </c>
      <c r="T239" t="b">
        <f>IF(ROW()-ROW($T$1) &lt;= FILLME!$G$11, TRUE, FALSE)</f>
        <v>0</v>
      </c>
    </row>
    <row r="240" spans="1:20" x14ac:dyDescent="0.25">
      <c r="A240" s="7" t="str">
        <f>FILLME!$B$7</f>
        <v>ISCO</v>
      </c>
      <c r="B240" t="str">
        <f>IF(FILLME!$B$3 = "", "", FILLME!$B$3)</f>
        <v>WWS</v>
      </c>
      <c r="C240" t="str">
        <f>IF(FILLME!$B$4 = "", "", FILLME!$B$4)</f>
        <v>SSFLAT</v>
      </c>
      <c r="D240" s="7" t="str">
        <f ca="1">TEXT(FILLME!$B$6,"yyyymmdd")</f>
        <v>20260323</v>
      </c>
      <c r="E240" s="8"/>
      <c r="F240" s="7">
        <f ca="1">IF(FILLME!$B$7="ISCO",FILLME!$B$6+FILLME!$B$11+(FILLME!$B$13*(G240-FILLME!$B$14)),FILLME!$B$6)</f>
        <v>46104.25</v>
      </c>
      <c r="G240" s="8"/>
      <c r="H240" s="8"/>
      <c r="I240" s="2"/>
      <c r="J240" s="9" t="str">
        <f t="shared" si="9"/>
        <v>_00</v>
      </c>
      <c r="K240" s="10" t="str">
        <f t="shared" ca="1" si="10"/>
        <v>SSFLAT__20260323_00</v>
      </c>
      <c r="L240" s="10" t="str">
        <f t="shared" ca="1" si="11"/>
        <v>SSFLAT__20260323_0000</v>
      </c>
      <c r="M240" t="b">
        <f>IF(ROW()-ROW($M$1) &lt;= FILLME!$G$4, TRUE, FALSE)</f>
        <v>0</v>
      </c>
      <c r="N240" t="b">
        <f>IF(ROW()-ROW($N$1) &lt;= FILLME!$G$5, TRUE, FALSE)</f>
        <v>0</v>
      </c>
      <c r="O240" t="b">
        <f>IF(ROW()-ROW($O$1) &lt;= FILLME!$G$7, TRUE, FALSE)</f>
        <v>0</v>
      </c>
      <c r="P240" t="b">
        <f>IF(ROW()-ROW($P$1) &lt;= FILLME!$G$6, TRUE, FALSE)</f>
        <v>0</v>
      </c>
      <c r="Q240" t="b">
        <f>IF(ROW()-ROW($Q$1) &lt;= FILLME!$G$8, TRUE, FALSE)</f>
        <v>0</v>
      </c>
      <c r="R240" t="b">
        <f>IF(ROW()-ROW($R$1) &lt;= FILLME!$G$9, TRUE, FALSE)</f>
        <v>0</v>
      </c>
      <c r="S240" t="b">
        <f>IF(ROW()-ROW($S$1) &lt;= FILLME!$G$10, TRUE, FALSE)</f>
        <v>0</v>
      </c>
      <c r="T240" t="b">
        <f>IF(ROW()-ROW($T$1) &lt;= FILLME!$G$11, TRUE, FALSE)</f>
        <v>0</v>
      </c>
    </row>
    <row r="241" spans="1:20" x14ac:dyDescent="0.25">
      <c r="A241" s="7" t="str">
        <f>FILLME!$B$7</f>
        <v>ISCO</v>
      </c>
      <c r="B241" t="str">
        <f>IF(FILLME!$B$3 = "", "", FILLME!$B$3)</f>
        <v>WWS</v>
      </c>
      <c r="C241" t="str">
        <f>IF(FILLME!$B$4 = "", "", FILLME!$B$4)</f>
        <v>SSFLAT</v>
      </c>
      <c r="D241" s="7" t="str">
        <f ca="1">TEXT(FILLME!$B$6,"yyyymmdd")</f>
        <v>20260323</v>
      </c>
      <c r="E241" s="8"/>
      <c r="F241" s="7">
        <f ca="1">IF(FILLME!$B$7="ISCO",FILLME!$B$6+FILLME!$B$11+(FILLME!$B$13*(G241-FILLME!$B$14)),FILLME!$B$6)</f>
        <v>46104.25</v>
      </c>
      <c r="G241" s="8"/>
      <c r="H241" s="8"/>
      <c r="I241" s="2"/>
      <c r="J241" s="9" t="str">
        <f t="shared" si="9"/>
        <v>_00</v>
      </c>
      <c r="K241" s="10" t="str">
        <f t="shared" ca="1" si="10"/>
        <v>SSFLAT__20260323_00</v>
      </c>
      <c r="L241" s="10" t="str">
        <f t="shared" ca="1" si="11"/>
        <v>SSFLAT__20260323_0000</v>
      </c>
      <c r="M241" t="b">
        <f>IF(ROW()-ROW($M$1) &lt;= FILLME!$G$4, TRUE, FALSE)</f>
        <v>0</v>
      </c>
      <c r="N241" t="b">
        <f>IF(ROW()-ROW($N$1) &lt;= FILLME!$G$5, TRUE, FALSE)</f>
        <v>0</v>
      </c>
      <c r="O241" t="b">
        <f>IF(ROW()-ROW($O$1) &lt;= FILLME!$G$7, TRUE, FALSE)</f>
        <v>0</v>
      </c>
      <c r="P241" t="b">
        <f>IF(ROW()-ROW($P$1) &lt;= FILLME!$G$6, TRUE, FALSE)</f>
        <v>0</v>
      </c>
      <c r="Q241" t="b">
        <f>IF(ROW()-ROW($Q$1) &lt;= FILLME!$G$8, TRUE, FALSE)</f>
        <v>0</v>
      </c>
      <c r="R241" t="b">
        <f>IF(ROW()-ROW($R$1) &lt;= FILLME!$G$9, TRUE, FALSE)</f>
        <v>0</v>
      </c>
      <c r="S241" t="b">
        <f>IF(ROW()-ROW($S$1) &lt;= FILLME!$G$10, TRUE, FALSE)</f>
        <v>0</v>
      </c>
      <c r="T241" t="b">
        <f>IF(ROW()-ROW($T$1) &lt;= FILLME!$G$11, TRUE, FALSE)</f>
        <v>0</v>
      </c>
    </row>
    <row r="242" spans="1:20" x14ac:dyDescent="0.25">
      <c r="A242" s="7" t="str">
        <f>FILLME!$B$7</f>
        <v>ISCO</v>
      </c>
      <c r="B242" t="str">
        <f>IF(FILLME!$B$3 = "", "", FILLME!$B$3)</f>
        <v>WWS</v>
      </c>
      <c r="C242" t="str">
        <f>IF(FILLME!$B$4 = "", "", FILLME!$B$4)</f>
        <v>SSFLAT</v>
      </c>
      <c r="D242" s="7" t="str">
        <f ca="1">TEXT(FILLME!$B$6,"yyyymmdd")</f>
        <v>20260323</v>
      </c>
      <c r="E242" s="8"/>
      <c r="F242" s="7">
        <f ca="1">IF(FILLME!$B$7="ISCO",FILLME!$B$6+FILLME!$B$11+(FILLME!$B$13*(G242-FILLME!$B$14)),FILLME!$B$6)</f>
        <v>46104.25</v>
      </c>
      <c r="G242" s="8"/>
      <c r="H242" s="8"/>
      <c r="I242" s="2"/>
      <c r="J242" s="9" t="str">
        <f t="shared" si="9"/>
        <v>_00</v>
      </c>
      <c r="K242" s="10" t="str">
        <f t="shared" ca="1" si="10"/>
        <v>SSFLAT__20260323_00</v>
      </c>
      <c r="L242" s="10" t="str">
        <f t="shared" ca="1" si="11"/>
        <v>SSFLAT__20260323_0000</v>
      </c>
      <c r="M242" t="b">
        <f>IF(ROW()-ROW($M$1) &lt;= FILLME!$G$4, TRUE, FALSE)</f>
        <v>0</v>
      </c>
      <c r="N242" t="b">
        <f>IF(ROW()-ROW($N$1) &lt;= FILLME!$G$5, TRUE, FALSE)</f>
        <v>0</v>
      </c>
      <c r="O242" t="b">
        <f>IF(ROW()-ROW($O$1) &lt;= FILLME!$G$7, TRUE, FALSE)</f>
        <v>0</v>
      </c>
      <c r="P242" t="b">
        <f>IF(ROW()-ROW($P$1) &lt;= FILLME!$G$6, TRUE, FALSE)</f>
        <v>0</v>
      </c>
      <c r="Q242" t="b">
        <f>IF(ROW()-ROW($Q$1) &lt;= FILLME!$G$8, TRUE, FALSE)</f>
        <v>0</v>
      </c>
      <c r="R242" t="b">
        <f>IF(ROW()-ROW($R$1) &lt;= FILLME!$G$9, TRUE, FALSE)</f>
        <v>0</v>
      </c>
      <c r="S242" t="b">
        <f>IF(ROW()-ROW($S$1) &lt;= FILLME!$G$10, TRUE, FALSE)</f>
        <v>0</v>
      </c>
      <c r="T242" t="b">
        <f>IF(ROW()-ROW($T$1) &lt;= FILLME!$G$11, TRUE, FALSE)</f>
        <v>0</v>
      </c>
    </row>
    <row r="243" spans="1:20" x14ac:dyDescent="0.25">
      <c r="A243" s="7" t="str">
        <f>FILLME!$B$7</f>
        <v>ISCO</v>
      </c>
      <c r="B243" t="str">
        <f>IF(FILLME!$B$3 = "", "", FILLME!$B$3)</f>
        <v>WWS</v>
      </c>
      <c r="C243" t="str">
        <f>IF(FILLME!$B$4 = "", "", FILLME!$B$4)</f>
        <v>SSFLAT</v>
      </c>
      <c r="D243" s="7" t="str">
        <f ca="1">TEXT(FILLME!$B$6,"yyyymmdd")</f>
        <v>20260323</v>
      </c>
      <c r="E243" s="8"/>
      <c r="F243" s="7">
        <f ca="1">IF(FILLME!$B$7="ISCO",FILLME!$B$6+FILLME!$B$11+(FILLME!$B$13*(G243-FILLME!$B$14)),FILLME!$B$6)</f>
        <v>46104.25</v>
      </c>
      <c r="G243" s="8"/>
      <c r="H243" s="8"/>
      <c r="I243" s="2"/>
      <c r="J243" s="9" t="str">
        <f t="shared" si="9"/>
        <v>_00</v>
      </c>
      <c r="K243" s="10" t="str">
        <f t="shared" ca="1" si="10"/>
        <v>SSFLAT__20260323_00</v>
      </c>
      <c r="L243" s="10" t="str">
        <f t="shared" ca="1" si="11"/>
        <v>SSFLAT__20260323_0000</v>
      </c>
      <c r="M243" t="b">
        <f>IF(ROW()-ROW($M$1) &lt;= FILLME!$G$4, TRUE, FALSE)</f>
        <v>0</v>
      </c>
      <c r="N243" t="b">
        <f>IF(ROW()-ROW($N$1) &lt;= FILLME!$G$5, TRUE, FALSE)</f>
        <v>0</v>
      </c>
      <c r="O243" t="b">
        <f>IF(ROW()-ROW($O$1) &lt;= FILLME!$G$7, TRUE, FALSE)</f>
        <v>0</v>
      </c>
      <c r="P243" t="b">
        <f>IF(ROW()-ROW($P$1) &lt;= FILLME!$G$6, TRUE, FALSE)</f>
        <v>0</v>
      </c>
      <c r="Q243" t="b">
        <f>IF(ROW()-ROW($Q$1) &lt;= FILLME!$G$8, TRUE, FALSE)</f>
        <v>0</v>
      </c>
      <c r="R243" t="b">
        <f>IF(ROW()-ROW($R$1) &lt;= FILLME!$G$9, TRUE, FALSE)</f>
        <v>0</v>
      </c>
      <c r="S243" t="b">
        <f>IF(ROW()-ROW($S$1) &lt;= FILLME!$G$10, TRUE, FALSE)</f>
        <v>0</v>
      </c>
      <c r="T243" t="b">
        <f>IF(ROW()-ROW($T$1) &lt;= FILLME!$G$11, TRUE, FALSE)</f>
        <v>0</v>
      </c>
    </row>
    <row r="244" spans="1:20" x14ac:dyDescent="0.25">
      <c r="A244" s="7" t="str">
        <f>FILLME!$B$7</f>
        <v>ISCO</v>
      </c>
      <c r="B244" t="str">
        <f>IF(FILLME!$B$3 = "", "", FILLME!$B$3)</f>
        <v>WWS</v>
      </c>
      <c r="C244" t="str">
        <f>IF(FILLME!$B$4 = "", "", FILLME!$B$4)</f>
        <v>SSFLAT</v>
      </c>
      <c r="D244" s="7" t="str">
        <f ca="1">TEXT(FILLME!$B$6,"yyyymmdd")</f>
        <v>20260323</v>
      </c>
      <c r="E244" s="8"/>
      <c r="F244" s="7">
        <f ca="1">IF(FILLME!$B$7="ISCO",FILLME!$B$6+FILLME!$B$11+(FILLME!$B$13*(G244-FILLME!$B$14)),FILLME!$B$6)</f>
        <v>46104.25</v>
      </c>
      <c r="G244" s="8"/>
      <c r="H244" s="8"/>
      <c r="I244" s="2"/>
      <c r="J244" s="9" t="str">
        <f t="shared" si="9"/>
        <v>_00</v>
      </c>
      <c r="K244" s="10" t="str">
        <f t="shared" ca="1" si="10"/>
        <v>SSFLAT__20260323_00</v>
      </c>
      <c r="L244" s="10" t="str">
        <f t="shared" ca="1" si="11"/>
        <v>SSFLAT__20260323_0000</v>
      </c>
      <c r="M244" t="b">
        <f>IF(ROW()-ROW($M$1) &lt;= FILLME!$G$4, TRUE, FALSE)</f>
        <v>0</v>
      </c>
      <c r="N244" t="b">
        <f>IF(ROW()-ROW($N$1) &lt;= FILLME!$G$5, TRUE, FALSE)</f>
        <v>0</v>
      </c>
      <c r="O244" t="b">
        <f>IF(ROW()-ROW($O$1) &lt;= FILLME!$G$7, TRUE, FALSE)</f>
        <v>0</v>
      </c>
      <c r="P244" t="b">
        <f>IF(ROW()-ROW($P$1) &lt;= FILLME!$G$6, TRUE, FALSE)</f>
        <v>0</v>
      </c>
      <c r="Q244" t="b">
        <f>IF(ROW()-ROW($Q$1) &lt;= FILLME!$G$8, TRUE, FALSE)</f>
        <v>0</v>
      </c>
      <c r="R244" t="b">
        <f>IF(ROW()-ROW($R$1) &lt;= FILLME!$G$9, TRUE, FALSE)</f>
        <v>0</v>
      </c>
      <c r="S244" t="b">
        <f>IF(ROW()-ROW($S$1) &lt;= FILLME!$G$10, TRUE, FALSE)</f>
        <v>0</v>
      </c>
      <c r="T244" t="b">
        <f>IF(ROW()-ROW($T$1) &lt;= FILLME!$G$11, TRUE, FALSE)</f>
        <v>0</v>
      </c>
    </row>
    <row r="245" spans="1:20" x14ac:dyDescent="0.25">
      <c r="A245" s="7" t="str">
        <f>FILLME!$B$7</f>
        <v>ISCO</v>
      </c>
      <c r="B245" t="str">
        <f>IF(FILLME!$B$3 = "", "", FILLME!$B$3)</f>
        <v>WWS</v>
      </c>
      <c r="C245" t="str">
        <f>IF(FILLME!$B$4 = "", "", FILLME!$B$4)</f>
        <v>SSFLAT</v>
      </c>
      <c r="D245" s="7" t="str">
        <f ca="1">TEXT(FILLME!$B$6,"yyyymmdd")</f>
        <v>20260323</v>
      </c>
      <c r="E245" s="8"/>
      <c r="F245" s="7">
        <f ca="1">IF(FILLME!$B$7="ISCO",FILLME!$B$6+FILLME!$B$11+(FILLME!$B$13*(G245-FILLME!$B$14)),FILLME!$B$6)</f>
        <v>46104.25</v>
      </c>
      <c r="G245" s="8"/>
      <c r="H245" s="8"/>
      <c r="I245" s="2"/>
      <c r="J245" s="9" t="str">
        <f t="shared" si="9"/>
        <v>_00</v>
      </c>
      <c r="K245" s="10" t="str">
        <f t="shared" ca="1" si="10"/>
        <v>SSFLAT__20260323_00</v>
      </c>
      <c r="L245" s="10" t="str">
        <f t="shared" ca="1" si="11"/>
        <v>SSFLAT__20260323_0000</v>
      </c>
      <c r="M245" t="b">
        <f>IF(ROW()-ROW($M$1) &lt;= FILLME!$G$4, TRUE, FALSE)</f>
        <v>0</v>
      </c>
      <c r="N245" t="b">
        <f>IF(ROW()-ROW($N$1) &lt;= FILLME!$G$5, TRUE, FALSE)</f>
        <v>0</v>
      </c>
      <c r="O245" t="b">
        <f>IF(ROW()-ROW($O$1) &lt;= FILLME!$G$7, TRUE, FALSE)</f>
        <v>0</v>
      </c>
      <c r="P245" t="b">
        <f>IF(ROW()-ROW($P$1) &lt;= FILLME!$G$6, TRUE, FALSE)</f>
        <v>0</v>
      </c>
      <c r="Q245" t="b">
        <f>IF(ROW()-ROW($Q$1) &lt;= FILLME!$G$8, TRUE, FALSE)</f>
        <v>0</v>
      </c>
      <c r="R245" t="b">
        <f>IF(ROW()-ROW($R$1) &lt;= FILLME!$G$9, TRUE, FALSE)</f>
        <v>0</v>
      </c>
      <c r="S245" t="b">
        <f>IF(ROW()-ROW($S$1) &lt;= FILLME!$G$10, TRUE, FALSE)</f>
        <v>0</v>
      </c>
      <c r="T245" t="b">
        <f>IF(ROW()-ROW($T$1) &lt;= FILLME!$G$11, TRUE, FALSE)</f>
        <v>0</v>
      </c>
    </row>
    <row r="246" spans="1:20" x14ac:dyDescent="0.25">
      <c r="A246" s="7" t="str">
        <f>FILLME!$B$7</f>
        <v>ISCO</v>
      </c>
      <c r="B246" t="str">
        <f>IF(FILLME!$B$3 = "", "", FILLME!$B$3)</f>
        <v>WWS</v>
      </c>
      <c r="C246" t="str">
        <f>IF(FILLME!$B$4 = "", "", FILLME!$B$4)</f>
        <v>SSFLAT</v>
      </c>
      <c r="D246" s="7" t="str">
        <f ca="1">TEXT(FILLME!$B$6,"yyyymmdd")</f>
        <v>20260323</v>
      </c>
      <c r="E246" s="8"/>
      <c r="F246" s="7">
        <f ca="1">IF(FILLME!$B$7="ISCO",FILLME!$B$6+FILLME!$B$11+(FILLME!$B$13*(G246-FILLME!$B$14)),FILLME!$B$6)</f>
        <v>46104.25</v>
      </c>
      <c r="G246" s="8"/>
      <c r="H246" s="8"/>
      <c r="I246" s="2"/>
      <c r="J246" s="9" t="str">
        <f t="shared" si="9"/>
        <v>_00</v>
      </c>
      <c r="K246" s="10" t="str">
        <f t="shared" ca="1" si="10"/>
        <v>SSFLAT__20260323_00</v>
      </c>
      <c r="L246" s="10" t="str">
        <f t="shared" ca="1" si="11"/>
        <v>SSFLAT__20260323_0000</v>
      </c>
      <c r="M246" t="b">
        <f>IF(ROW()-ROW($M$1) &lt;= FILLME!$G$4, TRUE, FALSE)</f>
        <v>0</v>
      </c>
      <c r="N246" t="b">
        <f>IF(ROW()-ROW($N$1) &lt;= FILLME!$G$5, TRUE, FALSE)</f>
        <v>0</v>
      </c>
      <c r="O246" t="b">
        <f>IF(ROW()-ROW($O$1) &lt;= FILLME!$G$7, TRUE, FALSE)</f>
        <v>0</v>
      </c>
      <c r="P246" t="b">
        <f>IF(ROW()-ROW($P$1) &lt;= FILLME!$G$6, TRUE, FALSE)</f>
        <v>0</v>
      </c>
      <c r="Q246" t="b">
        <f>IF(ROW()-ROW($Q$1) &lt;= FILLME!$G$8, TRUE, FALSE)</f>
        <v>0</v>
      </c>
      <c r="R246" t="b">
        <f>IF(ROW()-ROW($R$1) &lt;= FILLME!$G$9, TRUE, FALSE)</f>
        <v>0</v>
      </c>
      <c r="S246" t="b">
        <f>IF(ROW()-ROW($S$1) &lt;= FILLME!$G$10, TRUE, FALSE)</f>
        <v>0</v>
      </c>
      <c r="T246" t="b">
        <f>IF(ROW()-ROW($T$1) &lt;= FILLME!$G$11, TRUE, FALSE)</f>
        <v>0</v>
      </c>
    </row>
    <row r="247" spans="1:20" x14ac:dyDescent="0.25">
      <c r="A247" s="7" t="str">
        <f>FILLME!$B$7</f>
        <v>ISCO</v>
      </c>
      <c r="B247" t="str">
        <f>IF(FILLME!$B$3 = "", "", FILLME!$B$3)</f>
        <v>WWS</v>
      </c>
      <c r="C247" t="str">
        <f>IF(FILLME!$B$4 = "", "", FILLME!$B$4)</f>
        <v>SSFLAT</v>
      </c>
      <c r="D247" s="7" t="str">
        <f ca="1">TEXT(FILLME!$B$6,"yyyymmdd")</f>
        <v>20260323</v>
      </c>
      <c r="E247" s="8"/>
      <c r="F247" s="7">
        <f ca="1">IF(FILLME!$B$7="ISCO",FILLME!$B$6+FILLME!$B$11+(FILLME!$B$13*(G247-FILLME!$B$14)),FILLME!$B$6)</f>
        <v>46104.25</v>
      </c>
      <c r="G247" s="8"/>
      <c r="H247" s="8"/>
      <c r="I247" s="2"/>
      <c r="J247" s="9" t="str">
        <f t="shared" si="9"/>
        <v>_00</v>
      </c>
      <c r="K247" s="10" t="str">
        <f t="shared" ca="1" si="10"/>
        <v>SSFLAT__20260323_00</v>
      </c>
      <c r="L247" s="10" t="str">
        <f t="shared" ca="1" si="11"/>
        <v>SSFLAT__20260323_0000</v>
      </c>
      <c r="M247" t="b">
        <f>IF(ROW()-ROW($M$1) &lt;= FILLME!$G$4, TRUE, FALSE)</f>
        <v>0</v>
      </c>
      <c r="N247" t="b">
        <f>IF(ROW()-ROW($N$1) &lt;= FILLME!$G$5, TRUE, FALSE)</f>
        <v>0</v>
      </c>
      <c r="O247" t="b">
        <f>IF(ROW()-ROW($O$1) &lt;= FILLME!$G$7, TRUE, FALSE)</f>
        <v>0</v>
      </c>
      <c r="P247" t="b">
        <f>IF(ROW()-ROW($P$1) &lt;= FILLME!$G$6, TRUE, FALSE)</f>
        <v>0</v>
      </c>
      <c r="Q247" t="b">
        <f>IF(ROW()-ROW($Q$1) &lt;= FILLME!$G$8, TRUE, FALSE)</f>
        <v>0</v>
      </c>
      <c r="R247" t="b">
        <f>IF(ROW()-ROW($R$1) &lt;= FILLME!$G$9, TRUE, FALSE)</f>
        <v>0</v>
      </c>
      <c r="S247" t="b">
        <f>IF(ROW()-ROW($S$1) &lt;= FILLME!$G$10, TRUE, FALSE)</f>
        <v>0</v>
      </c>
      <c r="T247" t="b">
        <f>IF(ROW()-ROW($T$1) &lt;= FILLME!$G$11, TRUE, FALSE)</f>
        <v>0</v>
      </c>
    </row>
    <row r="248" spans="1:20" x14ac:dyDescent="0.25">
      <c r="A248" s="7" t="str">
        <f>FILLME!$B$7</f>
        <v>ISCO</v>
      </c>
      <c r="B248" t="str">
        <f>IF(FILLME!$B$3 = "", "", FILLME!$B$3)</f>
        <v>WWS</v>
      </c>
      <c r="C248" t="str">
        <f>IF(FILLME!$B$4 = "", "", FILLME!$B$4)</f>
        <v>SSFLAT</v>
      </c>
      <c r="D248" s="7" t="str">
        <f ca="1">TEXT(FILLME!$B$6,"yyyymmdd")</f>
        <v>20260323</v>
      </c>
      <c r="E248" s="8"/>
      <c r="F248" s="7">
        <f ca="1">IF(FILLME!$B$7="ISCO",FILLME!$B$6+FILLME!$B$11+(FILLME!$B$13*(G248-FILLME!$B$14)),FILLME!$B$6)</f>
        <v>46104.25</v>
      </c>
      <c r="G248" s="8"/>
      <c r="H248" s="8"/>
      <c r="I248" s="2"/>
      <c r="J248" s="9" t="str">
        <f t="shared" si="9"/>
        <v>_00</v>
      </c>
      <c r="K248" s="10" t="str">
        <f t="shared" ca="1" si="10"/>
        <v>SSFLAT__20260323_00</v>
      </c>
      <c r="L248" s="10" t="str">
        <f t="shared" ca="1" si="11"/>
        <v>SSFLAT__20260323_0000</v>
      </c>
      <c r="M248" t="b">
        <f>IF(ROW()-ROW($M$1) &lt;= FILLME!$G$4, TRUE, FALSE)</f>
        <v>0</v>
      </c>
      <c r="N248" t="b">
        <f>IF(ROW()-ROW($N$1) &lt;= FILLME!$G$5, TRUE, FALSE)</f>
        <v>0</v>
      </c>
      <c r="O248" t="b">
        <f>IF(ROW()-ROW($O$1) &lt;= FILLME!$G$7, TRUE, FALSE)</f>
        <v>0</v>
      </c>
      <c r="P248" t="b">
        <f>IF(ROW()-ROW($P$1) &lt;= FILLME!$G$6, TRUE, FALSE)</f>
        <v>0</v>
      </c>
      <c r="Q248" t="b">
        <f>IF(ROW()-ROW($Q$1) &lt;= FILLME!$G$8, TRUE, FALSE)</f>
        <v>0</v>
      </c>
      <c r="R248" t="b">
        <f>IF(ROW()-ROW($R$1) &lt;= FILLME!$G$9, TRUE, FALSE)</f>
        <v>0</v>
      </c>
      <c r="S248" t="b">
        <f>IF(ROW()-ROW($S$1) &lt;= FILLME!$G$10, TRUE, FALSE)</f>
        <v>0</v>
      </c>
      <c r="T248" t="b">
        <f>IF(ROW()-ROW($T$1) &lt;= FILLME!$G$11, TRUE, FALSE)</f>
        <v>0</v>
      </c>
    </row>
    <row r="249" spans="1:20" x14ac:dyDescent="0.25">
      <c r="A249" s="7" t="str">
        <f>FILLME!$B$7</f>
        <v>ISCO</v>
      </c>
      <c r="B249" t="str">
        <f>IF(FILLME!$B$3 = "", "", FILLME!$B$3)</f>
        <v>WWS</v>
      </c>
      <c r="C249" t="str">
        <f>IF(FILLME!$B$4 = "", "", FILLME!$B$4)</f>
        <v>SSFLAT</v>
      </c>
      <c r="D249" s="7" t="str">
        <f ca="1">TEXT(FILLME!$B$6,"yyyymmdd")</f>
        <v>20260323</v>
      </c>
      <c r="E249" s="8"/>
      <c r="F249" s="7">
        <f ca="1">IF(FILLME!$B$7="ISCO",FILLME!$B$6+FILLME!$B$11+(FILLME!$B$13*(G249-FILLME!$B$14)),FILLME!$B$6)</f>
        <v>46104.25</v>
      </c>
      <c r="G249" s="8"/>
      <c r="H249" s="8"/>
      <c r="I249" s="2"/>
      <c r="J249" s="9" t="str">
        <f t="shared" si="9"/>
        <v>_00</v>
      </c>
      <c r="K249" s="10" t="str">
        <f t="shared" ca="1" si="10"/>
        <v>SSFLAT__20260323_00</v>
      </c>
      <c r="L249" s="10" t="str">
        <f t="shared" ca="1" si="11"/>
        <v>SSFLAT__20260323_0000</v>
      </c>
      <c r="M249" t="b">
        <f>IF(ROW()-ROW($M$1) &lt;= FILLME!$G$4, TRUE, FALSE)</f>
        <v>0</v>
      </c>
      <c r="N249" t="b">
        <f>IF(ROW()-ROW($N$1) &lt;= FILLME!$G$5, TRUE, FALSE)</f>
        <v>0</v>
      </c>
      <c r="O249" t="b">
        <f>IF(ROW()-ROW($O$1) &lt;= FILLME!$G$7, TRUE, FALSE)</f>
        <v>0</v>
      </c>
      <c r="P249" t="b">
        <f>IF(ROW()-ROW($P$1) &lt;= FILLME!$G$6, TRUE, FALSE)</f>
        <v>0</v>
      </c>
      <c r="Q249" t="b">
        <f>IF(ROW()-ROW($Q$1) &lt;= FILLME!$G$8, TRUE, FALSE)</f>
        <v>0</v>
      </c>
      <c r="R249" t="b">
        <f>IF(ROW()-ROW($R$1) &lt;= FILLME!$G$9, TRUE, FALSE)</f>
        <v>0</v>
      </c>
      <c r="S249" t="b">
        <f>IF(ROW()-ROW($S$1) &lt;= FILLME!$G$10, TRUE, FALSE)</f>
        <v>0</v>
      </c>
      <c r="T249" t="b">
        <f>IF(ROW()-ROW($T$1) &lt;= FILLME!$G$11, TRUE, FALSE)</f>
        <v>0</v>
      </c>
    </row>
    <row r="250" spans="1:20" x14ac:dyDescent="0.25">
      <c r="A250" s="7" t="str">
        <f>FILLME!$B$7</f>
        <v>ISCO</v>
      </c>
      <c r="B250" t="str">
        <f>IF(FILLME!$B$3 = "", "", FILLME!$B$3)</f>
        <v>WWS</v>
      </c>
      <c r="C250" t="str">
        <f>IF(FILLME!$B$4 = "", "", FILLME!$B$4)</f>
        <v>SSFLAT</v>
      </c>
      <c r="D250" s="7" t="str">
        <f ca="1">TEXT(FILLME!$B$6,"yyyymmdd")</f>
        <v>20260323</v>
      </c>
      <c r="E250" s="8"/>
      <c r="F250" s="7">
        <f ca="1">IF(FILLME!$B$7="ISCO",FILLME!$B$6+FILLME!$B$11+(FILLME!$B$13*(G250-FILLME!$B$14)),FILLME!$B$6)</f>
        <v>46104.25</v>
      </c>
      <c r="G250" s="8"/>
      <c r="H250" s="8"/>
      <c r="I250" s="2"/>
      <c r="J250" s="9" t="str">
        <f t="shared" si="9"/>
        <v>_00</v>
      </c>
      <c r="K250" s="10" t="str">
        <f t="shared" ca="1" si="10"/>
        <v>SSFLAT__20260323_00</v>
      </c>
      <c r="L250" s="10" t="str">
        <f t="shared" ca="1" si="11"/>
        <v>SSFLAT__20260323_0000</v>
      </c>
      <c r="M250" t="b">
        <f>IF(ROW()-ROW($M$1) &lt;= FILLME!$G$4, TRUE, FALSE)</f>
        <v>0</v>
      </c>
      <c r="N250" t="b">
        <f>IF(ROW()-ROW($N$1) &lt;= FILLME!$G$5, TRUE, FALSE)</f>
        <v>0</v>
      </c>
      <c r="O250" t="b">
        <f>IF(ROW()-ROW($O$1) &lt;= FILLME!$G$7, TRUE, FALSE)</f>
        <v>0</v>
      </c>
      <c r="P250" t="b">
        <f>IF(ROW()-ROW($P$1) &lt;= FILLME!$G$6, TRUE, FALSE)</f>
        <v>0</v>
      </c>
      <c r="Q250" t="b">
        <f>IF(ROW()-ROW($Q$1) &lt;= FILLME!$G$8, TRUE, FALSE)</f>
        <v>0</v>
      </c>
      <c r="R250" t="b">
        <f>IF(ROW()-ROW($R$1) &lt;= FILLME!$G$9, TRUE, FALSE)</f>
        <v>0</v>
      </c>
      <c r="S250" t="b">
        <f>IF(ROW()-ROW($S$1) &lt;= FILLME!$G$10, TRUE, FALSE)</f>
        <v>0</v>
      </c>
      <c r="T250" t="b">
        <f>IF(ROW()-ROW($T$1) &lt;= FILLME!$G$11, TRUE, FALSE)</f>
        <v>0</v>
      </c>
    </row>
    <row r="251" spans="1:20" x14ac:dyDescent="0.25">
      <c r="A251" s="7" t="str">
        <f>FILLME!$B$7</f>
        <v>ISCO</v>
      </c>
      <c r="B251" t="str">
        <f>IF(FILLME!$B$3 = "", "", FILLME!$B$3)</f>
        <v>WWS</v>
      </c>
      <c r="C251" t="str">
        <f>IF(FILLME!$B$4 = "", "", FILLME!$B$4)</f>
        <v>SSFLAT</v>
      </c>
      <c r="D251" s="7" t="str">
        <f ca="1">TEXT(FILLME!$B$6,"yyyymmdd")</f>
        <v>20260323</v>
      </c>
      <c r="E251" s="8"/>
      <c r="F251" s="7">
        <f ca="1">IF(FILLME!$B$7="ISCO",FILLME!$B$6+FILLME!$B$11+(FILLME!$B$13*(G251-FILLME!$B$14)),FILLME!$B$6)</f>
        <v>46104.25</v>
      </c>
      <c r="G251" s="8"/>
      <c r="H251" s="8"/>
      <c r="I251" s="2"/>
      <c r="J251" s="9" t="str">
        <f t="shared" si="9"/>
        <v>_00</v>
      </c>
      <c r="K251" s="10" t="str">
        <f t="shared" ca="1" si="10"/>
        <v>SSFLAT__20260323_00</v>
      </c>
      <c r="L251" s="10" t="str">
        <f t="shared" ca="1" si="11"/>
        <v>SSFLAT__20260323_0000</v>
      </c>
      <c r="M251" t="b">
        <f>IF(ROW()-ROW($M$1) &lt;= FILLME!$G$4, TRUE, FALSE)</f>
        <v>0</v>
      </c>
      <c r="N251" t="b">
        <f>IF(ROW()-ROW($N$1) &lt;= FILLME!$G$5, TRUE, FALSE)</f>
        <v>0</v>
      </c>
      <c r="O251" t="b">
        <f>IF(ROW()-ROW($O$1) &lt;= FILLME!$G$7, TRUE, FALSE)</f>
        <v>0</v>
      </c>
      <c r="P251" t="b">
        <f>IF(ROW()-ROW($P$1) &lt;= FILLME!$G$6, TRUE, FALSE)</f>
        <v>0</v>
      </c>
      <c r="Q251" t="b">
        <f>IF(ROW()-ROW($Q$1) &lt;= FILLME!$G$8, TRUE, FALSE)</f>
        <v>0</v>
      </c>
      <c r="R251" t="b">
        <f>IF(ROW()-ROW($R$1) &lt;= FILLME!$G$9, TRUE, FALSE)</f>
        <v>0</v>
      </c>
      <c r="S251" t="b">
        <f>IF(ROW()-ROW($S$1) &lt;= FILLME!$G$10, TRUE, FALSE)</f>
        <v>0</v>
      </c>
      <c r="T251" t="b">
        <f>IF(ROW()-ROW($T$1) &lt;= FILLME!$G$11, TRUE, FALSE)</f>
        <v>0</v>
      </c>
    </row>
    <row r="252" spans="1:20" x14ac:dyDescent="0.25">
      <c r="A252" s="7" t="str">
        <f>FILLME!$B$7</f>
        <v>ISCO</v>
      </c>
      <c r="B252" t="str">
        <f>IF(FILLME!$B$3 = "", "", FILLME!$B$3)</f>
        <v>WWS</v>
      </c>
      <c r="C252" t="str">
        <f>IF(FILLME!$B$4 = "", "", FILLME!$B$4)</f>
        <v>SSFLAT</v>
      </c>
      <c r="D252" s="7" t="str">
        <f ca="1">TEXT(FILLME!$B$6,"yyyymmdd")</f>
        <v>20260323</v>
      </c>
      <c r="E252" s="8"/>
      <c r="F252" s="7">
        <f ca="1">IF(FILLME!$B$7="ISCO",FILLME!$B$6+FILLME!$B$11+(FILLME!$B$13*(G252-FILLME!$B$14)),FILLME!$B$6)</f>
        <v>46104.25</v>
      </c>
      <c r="G252" s="8"/>
      <c r="H252" s="8"/>
      <c r="I252" s="2"/>
      <c r="J252" s="9" t="str">
        <f t="shared" si="9"/>
        <v>_00</v>
      </c>
      <c r="K252" s="10" t="str">
        <f t="shared" ca="1" si="10"/>
        <v>SSFLAT__20260323_00</v>
      </c>
      <c r="L252" s="10" t="str">
        <f t="shared" ca="1" si="11"/>
        <v>SSFLAT__20260323_0000</v>
      </c>
      <c r="M252" t="b">
        <f>IF(ROW()-ROW($M$1) &lt;= FILLME!$G$4, TRUE, FALSE)</f>
        <v>0</v>
      </c>
      <c r="N252" t="b">
        <f>IF(ROW()-ROW($N$1) &lt;= FILLME!$G$5, TRUE, FALSE)</f>
        <v>0</v>
      </c>
      <c r="O252" t="b">
        <f>IF(ROW()-ROW($O$1) &lt;= FILLME!$G$7, TRUE, FALSE)</f>
        <v>0</v>
      </c>
      <c r="P252" t="b">
        <f>IF(ROW()-ROW($P$1) &lt;= FILLME!$G$6, TRUE, FALSE)</f>
        <v>0</v>
      </c>
      <c r="Q252" t="b">
        <f>IF(ROW()-ROW($Q$1) &lt;= FILLME!$G$8, TRUE, FALSE)</f>
        <v>0</v>
      </c>
      <c r="R252" t="b">
        <f>IF(ROW()-ROW($R$1) &lt;= FILLME!$G$9, TRUE, FALSE)</f>
        <v>0</v>
      </c>
      <c r="S252" t="b">
        <f>IF(ROW()-ROW($S$1) &lt;= FILLME!$G$10, TRUE, FALSE)</f>
        <v>0</v>
      </c>
      <c r="T252" t="b">
        <f>IF(ROW()-ROW($T$1) &lt;= FILLME!$G$11, TRUE, FALSE)</f>
        <v>0</v>
      </c>
    </row>
    <row r="253" spans="1:20" x14ac:dyDescent="0.25">
      <c r="A253" s="7" t="str">
        <f>FILLME!$B$7</f>
        <v>ISCO</v>
      </c>
      <c r="B253" t="str">
        <f>IF(FILLME!$B$3 = "", "", FILLME!$B$3)</f>
        <v>WWS</v>
      </c>
      <c r="C253" t="str">
        <f>IF(FILLME!$B$4 = "", "", FILLME!$B$4)</f>
        <v>SSFLAT</v>
      </c>
      <c r="D253" s="7" t="str">
        <f ca="1">TEXT(FILLME!$B$6,"yyyymmdd")</f>
        <v>20260323</v>
      </c>
      <c r="E253" s="8"/>
      <c r="F253" s="7">
        <f ca="1">IF(FILLME!$B$7="ISCO",FILLME!$B$6+FILLME!$B$11+(FILLME!$B$13*(G253-FILLME!$B$14)),FILLME!$B$6)</f>
        <v>46104.25</v>
      </c>
      <c r="G253" s="8"/>
      <c r="H253" s="8"/>
      <c r="I253" s="2"/>
      <c r="J253" s="9" t="str">
        <f t="shared" si="9"/>
        <v>_00</v>
      </c>
      <c r="K253" s="10" t="str">
        <f t="shared" ca="1" si="10"/>
        <v>SSFLAT__20260323_00</v>
      </c>
      <c r="L253" s="10" t="str">
        <f t="shared" ca="1" si="11"/>
        <v>SSFLAT__20260323_0000</v>
      </c>
      <c r="M253" t="b">
        <f>IF(ROW()-ROW($M$1) &lt;= FILLME!$G$4, TRUE, FALSE)</f>
        <v>0</v>
      </c>
      <c r="N253" t="b">
        <f>IF(ROW()-ROW($N$1) &lt;= FILLME!$G$5, TRUE, FALSE)</f>
        <v>0</v>
      </c>
      <c r="O253" t="b">
        <f>IF(ROW()-ROW($O$1) &lt;= FILLME!$G$7, TRUE, FALSE)</f>
        <v>0</v>
      </c>
      <c r="P253" t="b">
        <f>IF(ROW()-ROW($P$1) &lt;= FILLME!$G$6, TRUE, FALSE)</f>
        <v>0</v>
      </c>
      <c r="Q253" t="b">
        <f>IF(ROW()-ROW($Q$1) &lt;= FILLME!$G$8, TRUE, FALSE)</f>
        <v>0</v>
      </c>
      <c r="R253" t="b">
        <f>IF(ROW()-ROW($R$1) &lt;= FILLME!$G$9, TRUE, FALSE)</f>
        <v>0</v>
      </c>
      <c r="S253" t="b">
        <f>IF(ROW()-ROW($S$1) &lt;= FILLME!$G$10, TRUE, FALSE)</f>
        <v>0</v>
      </c>
      <c r="T253" t="b">
        <f>IF(ROW()-ROW($T$1) &lt;= FILLME!$G$11, TRUE, FALSE)</f>
        <v>0</v>
      </c>
    </row>
    <row r="254" spans="1:20" x14ac:dyDescent="0.25">
      <c r="A254" s="7" t="str">
        <f>FILLME!$B$7</f>
        <v>ISCO</v>
      </c>
      <c r="B254" t="str">
        <f>IF(FILLME!$B$3 = "", "", FILLME!$B$3)</f>
        <v>WWS</v>
      </c>
      <c r="C254" t="str">
        <f>IF(FILLME!$B$4 = "", "", FILLME!$B$4)</f>
        <v>SSFLAT</v>
      </c>
      <c r="D254" s="7" t="str">
        <f ca="1">TEXT(FILLME!$B$6,"yyyymmdd")</f>
        <v>20260323</v>
      </c>
      <c r="E254" s="8"/>
      <c r="F254" s="7">
        <f ca="1">IF(FILLME!$B$7="ISCO",FILLME!$B$6+FILLME!$B$11+(FILLME!$B$13*(G254-FILLME!$B$14)),FILLME!$B$6)</f>
        <v>46104.25</v>
      </c>
      <c r="G254" s="8"/>
      <c r="H254" s="8"/>
      <c r="I254" s="2"/>
      <c r="J254" s="9" t="str">
        <f t="shared" si="9"/>
        <v>_00</v>
      </c>
      <c r="K254" s="10" t="str">
        <f t="shared" ca="1" si="10"/>
        <v>SSFLAT__20260323_00</v>
      </c>
      <c r="L254" s="10" t="str">
        <f t="shared" ca="1" si="11"/>
        <v>SSFLAT__20260323_0000</v>
      </c>
      <c r="M254" t="b">
        <f>IF(ROW()-ROW($M$1) &lt;= FILLME!$G$4, TRUE, FALSE)</f>
        <v>0</v>
      </c>
      <c r="N254" t="b">
        <f>IF(ROW()-ROW($N$1) &lt;= FILLME!$G$5, TRUE, FALSE)</f>
        <v>0</v>
      </c>
      <c r="O254" t="b">
        <f>IF(ROW()-ROW($O$1) &lt;= FILLME!$G$7, TRUE, FALSE)</f>
        <v>0</v>
      </c>
      <c r="P254" t="b">
        <f>IF(ROW()-ROW($P$1) &lt;= FILLME!$G$6, TRUE, FALSE)</f>
        <v>0</v>
      </c>
      <c r="Q254" t="b">
        <f>IF(ROW()-ROW($Q$1) &lt;= FILLME!$G$8, TRUE, FALSE)</f>
        <v>0</v>
      </c>
      <c r="R254" t="b">
        <f>IF(ROW()-ROW($R$1) &lt;= FILLME!$G$9, TRUE, FALSE)</f>
        <v>0</v>
      </c>
      <c r="S254" t="b">
        <f>IF(ROW()-ROW($S$1) &lt;= FILLME!$G$10, TRUE, FALSE)</f>
        <v>0</v>
      </c>
      <c r="T254" t="b">
        <f>IF(ROW()-ROW($T$1) &lt;= FILLME!$G$11, TRUE, FALSE)</f>
        <v>0</v>
      </c>
    </row>
    <row r="255" spans="1:20" x14ac:dyDescent="0.25">
      <c r="A255" s="7" t="str">
        <f>FILLME!$B$7</f>
        <v>ISCO</v>
      </c>
      <c r="B255" t="str">
        <f>IF(FILLME!$B$3 = "", "", FILLME!$B$3)</f>
        <v>WWS</v>
      </c>
      <c r="C255" t="str">
        <f>IF(FILLME!$B$4 = "", "", FILLME!$B$4)</f>
        <v>SSFLAT</v>
      </c>
      <c r="D255" s="7" t="str">
        <f ca="1">TEXT(FILLME!$B$6,"yyyymmdd")</f>
        <v>20260323</v>
      </c>
      <c r="E255" s="8"/>
      <c r="F255" s="7">
        <f ca="1">IF(FILLME!$B$7="ISCO",FILLME!$B$6+FILLME!$B$11+(FILLME!$B$13*(G255-FILLME!$B$14)),FILLME!$B$6)</f>
        <v>46104.25</v>
      </c>
      <c r="G255" s="8"/>
      <c r="H255" s="8"/>
      <c r="I255" s="2"/>
      <c r="J255" s="9" t="str">
        <f t="shared" si="9"/>
        <v>_00</v>
      </c>
      <c r="K255" s="10" t="str">
        <f t="shared" ca="1" si="10"/>
        <v>SSFLAT__20260323_00</v>
      </c>
      <c r="L255" s="10" t="str">
        <f t="shared" ca="1" si="11"/>
        <v>SSFLAT__20260323_0000</v>
      </c>
      <c r="M255" t="b">
        <f>IF(ROW()-ROW($M$1) &lt;= FILLME!$G$4, TRUE, FALSE)</f>
        <v>0</v>
      </c>
      <c r="N255" t="b">
        <f>IF(ROW()-ROW($N$1) &lt;= FILLME!$G$5, TRUE, FALSE)</f>
        <v>0</v>
      </c>
      <c r="O255" t="b">
        <f>IF(ROW()-ROW($O$1) &lt;= FILLME!$G$7, TRUE, FALSE)</f>
        <v>0</v>
      </c>
      <c r="P255" t="b">
        <f>IF(ROW()-ROW($P$1) &lt;= FILLME!$G$6, TRUE, FALSE)</f>
        <v>0</v>
      </c>
      <c r="Q255" t="b">
        <f>IF(ROW()-ROW($Q$1) &lt;= FILLME!$G$8, TRUE, FALSE)</f>
        <v>0</v>
      </c>
      <c r="R255" t="b">
        <f>IF(ROW()-ROW($R$1) &lt;= FILLME!$G$9, TRUE, FALSE)</f>
        <v>0</v>
      </c>
      <c r="S255" t="b">
        <f>IF(ROW()-ROW($S$1) &lt;= FILLME!$G$10, TRUE, FALSE)</f>
        <v>0</v>
      </c>
      <c r="T255" t="b">
        <f>IF(ROW()-ROW($T$1) &lt;= FILLME!$G$11, TRUE, FALSE)</f>
        <v>0</v>
      </c>
    </row>
    <row r="256" spans="1:20" x14ac:dyDescent="0.25">
      <c r="A256" s="7" t="str">
        <f>FILLME!$B$7</f>
        <v>ISCO</v>
      </c>
      <c r="B256" t="str">
        <f>IF(FILLME!$B$3 = "", "", FILLME!$B$3)</f>
        <v>WWS</v>
      </c>
      <c r="C256" t="str">
        <f>IF(FILLME!$B$4 = "", "", FILLME!$B$4)</f>
        <v>SSFLAT</v>
      </c>
      <c r="D256" s="7" t="str">
        <f ca="1">TEXT(FILLME!$B$6,"yyyymmdd")</f>
        <v>20260323</v>
      </c>
      <c r="E256" s="8"/>
      <c r="F256" s="7">
        <f ca="1">IF(FILLME!$B$7="ISCO",FILLME!$B$6+FILLME!$B$11+(FILLME!$B$13*(G256-FILLME!$B$14)),FILLME!$B$6)</f>
        <v>46104.25</v>
      </c>
      <c r="G256" s="8"/>
      <c r="H256" s="8"/>
      <c r="I256" s="2"/>
      <c r="J256" s="9" t="str">
        <f t="shared" si="9"/>
        <v>_00</v>
      </c>
      <c r="K256" s="10" t="str">
        <f t="shared" ca="1" si="10"/>
        <v>SSFLAT__20260323_00</v>
      </c>
      <c r="L256" s="10" t="str">
        <f t="shared" ca="1" si="11"/>
        <v>SSFLAT__20260323_0000</v>
      </c>
      <c r="M256" t="b">
        <f>IF(ROW()-ROW($M$1) &lt;= FILLME!$G$4, TRUE, FALSE)</f>
        <v>0</v>
      </c>
      <c r="N256" t="b">
        <f>IF(ROW()-ROW($N$1) &lt;= FILLME!$G$5, TRUE, FALSE)</f>
        <v>0</v>
      </c>
      <c r="O256" t="b">
        <f>IF(ROW()-ROW($O$1) &lt;= FILLME!$G$7, TRUE, FALSE)</f>
        <v>0</v>
      </c>
      <c r="P256" t="b">
        <f>IF(ROW()-ROW($P$1) &lt;= FILLME!$G$6, TRUE, FALSE)</f>
        <v>0</v>
      </c>
      <c r="Q256" t="b">
        <f>IF(ROW()-ROW($Q$1) &lt;= FILLME!$G$8, TRUE, FALSE)</f>
        <v>0</v>
      </c>
      <c r="R256" t="b">
        <f>IF(ROW()-ROW($R$1) &lt;= FILLME!$G$9, TRUE, FALSE)</f>
        <v>0</v>
      </c>
      <c r="S256" t="b">
        <f>IF(ROW()-ROW($S$1) &lt;= FILLME!$G$10, TRUE, FALSE)</f>
        <v>0</v>
      </c>
      <c r="T256" t="b">
        <f>IF(ROW()-ROW($T$1) &lt;= FILLME!$G$11, TRUE, FALSE)</f>
        <v>0</v>
      </c>
    </row>
    <row r="257" spans="1:20" x14ac:dyDescent="0.25">
      <c r="A257" s="7" t="str">
        <f>FILLME!$B$7</f>
        <v>ISCO</v>
      </c>
      <c r="B257" t="str">
        <f>IF(FILLME!$B$3 = "", "", FILLME!$B$3)</f>
        <v>WWS</v>
      </c>
      <c r="C257" t="str">
        <f>IF(FILLME!$B$4 = "", "", FILLME!$B$4)</f>
        <v>SSFLAT</v>
      </c>
      <c r="D257" s="7" t="str">
        <f ca="1">TEXT(FILLME!$B$6,"yyyymmdd")</f>
        <v>20260323</v>
      </c>
      <c r="E257" s="8"/>
      <c r="F257" s="7">
        <f ca="1">IF(FILLME!$B$7="ISCO",FILLME!$B$6+FILLME!$B$11+(FILLME!$B$13*(G257-FILLME!$B$14)),FILLME!$B$6)</f>
        <v>46104.25</v>
      </c>
      <c r="G257" s="8"/>
      <c r="H257" s="8"/>
      <c r="I257" s="2"/>
      <c r="J257" s="9" t="str">
        <f t="shared" si="9"/>
        <v>_00</v>
      </c>
      <c r="K257" s="10" t="str">
        <f t="shared" ca="1" si="10"/>
        <v>SSFLAT__20260323_00</v>
      </c>
      <c r="L257" s="10" t="str">
        <f t="shared" ca="1" si="11"/>
        <v>SSFLAT__20260323_0000</v>
      </c>
      <c r="M257" t="b">
        <f>IF(ROW()-ROW($M$1) &lt;= FILLME!$G$4, TRUE, FALSE)</f>
        <v>0</v>
      </c>
      <c r="N257" t="b">
        <f>IF(ROW()-ROW($N$1) &lt;= FILLME!$G$5, TRUE, FALSE)</f>
        <v>0</v>
      </c>
      <c r="O257" t="b">
        <f>IF(ROW()-ROW($O$1) &lt;= FILLME!$G$7, TRUE, FALSE)</f>
        <v>0</v>
      </c>
      <c r="P257" t="b">
        <f>IF(ROW()-ROW($P$1) &lt;= FILLME!$G$6, TRUE, FALSE)</f>
        <v>0</v>
      </c>
      <c r="Q257" t="b">
        <f>IF(ROW()-ROW($Q$1) &lt;= FILLME!$G$8, TRUE, FALSE)</f>
        <v>0</v>
      </c>
      <c r="R257" t="b">
        <f>IF(ROW()-ROW($R$1) &lt;= FILLME!$G$9, TRUE, FALSE)</f>
        <v>0</v>
      </c>
      <c r="S257" t="b">
        <f>IF(ROW()-ROW($S$1) &lt;= FILLME!$G$10, TRUE, FALSE)</f>
        <v>0</v>
      </c>
      <c r="T257" t="b">
        <f>IF(ROW()-ROW($T$1) &lt;= FILLME!$G$11, TRUE, FALSE)</f>
        <v>0</v>
      </c>
    </row>
    <row r="258" spans="1:20" x14ac:dyDescent="0.25">
      <c r="A258" s="7" t="str">
        <f>FILLME!$B$7</f>
        <v>ISCO</v>
      </c>
      <c r="B258" t="str">
        <f>IF(FILLME!$B$3 = "", "", FILLME!$B$3)</f>
        <v>WWS</v>
      </c>
      <c r="C258" t="str">
        <f>IF(FILLME!$B$4 = "", "", FILLME!$B$4)</f>
        <v>SSFLAT</v>
      </c>
      <c r="D258" s="7" t="str">
        <f ca="1">TEXT(FILLME!$B$6,"yyyymmdd")</f>
        <v>20260323</v>
      </c>
      <c r="E258" s="8"/>
      <c r="F258" s="7">
        <f ca="1">IF(FILLME!$B$7="ISCO",FILLME!$B$6+FILLME!$B$11+(FILLME!$B$13*(G258-FILLME!$B$14)),FILLME!$B$6)</f>
        <v>46104.25</v>
      </c>
      <c r="G258" s="8"/>
      <c r="H258" s="8"/>
      <c r="I258" s="2"/>
      <c r="J258" s="9" t="str">
        <f t="shared" si="9"/>
        <v>_00</v>
      </c>
      <c r="K258" s="10" t="str">
        <f t="shared" ca="1" si="10"/>
        <v>SSFLAT__20260323_00</v>
      </c>
      <c r="L258" s="10" t="str">
        <f t="shared" ca="1" si="11"/>
        <v>SSFLAT__20260323_0000</v>
      </c>
      <c r="M258" t="b">
        <f>IF(ROW()-ROW($M$1) &lt;= FILLME!$G$4, TRUE, FALSE)</f>
        <v>0</v>
      </c>
      <c r="N258" t="b">
        <f>IF(ROW()-ROW($N$1) &lt;= FILLME!$G$5, TRUE, FALSE)</f>
        <v>0</v>
      </c>
      <c r="O258" t="b">
        <f>IF(ROW()-ROW($O$1) &lt;= FILLME!$G$7, TRUE, FALSE)</f>
        <v>0</v>
      </c>
      <c r="P258" t="b">
        <f>IF(ROW()-ROW($P$1) &lt;= FILLME!$G$6, TRUE, FALSE)</f>
        <v>0</v>
      </c>
      <c r="Q258" t="b">
        <f>IF(ROW()-ROW($Q$1) &lt;= FILLME!$G$8, TRUE, FALSE)</f>
        <v>0</v>
      </c>
      <c r="R258" t="b">
        <f>IF(ROW()-ROW($R$1) &lt;= FILLME!$G$9, TRUE, FALSE)</f>
        <v>0</v>
      </c>
      <c r="S258" t="b">
        <f>IF(ROW()-ROW($S$1) &lt;= FILLME!$G$10, TRUE, FALSE)</f>
        <v>0</v>
      </c>
      <c r="T258" t="b">
        <f>IF(ROW()-ROW($T$1) &lt;= FILLME!$G$11, TRUE, FALSE)</f>
        <v>0</v>
      </c>
    </row>
    <row r="259" spans="1:20" x14ac:dyDescent="0.25">
      <c r="A259" s="7" t="str">
        <f>FILLME!$B$7</f>
        <v>ISCO</v>
      </c>
      <c r="B259" t="str">
        <f>IF(FILLME!$B$3 = "", "", FILLME!$B$3)</f>
        <v>WWS</v>
      </c>
      <c r="C259" t="str">
        <f>IF(FILLME!$B$4 = "", "", FILLME!$B$4)</f>
        <v>SSFLAT</v>
      </c>
      <c r="D259" s="7" t="str">
        <f ca="1">TEXT(FILLME!$B$6,"yyyymmdd")</f>
        <v>20260323</v>
      </c>
      <c r="E259" s="8"/>
      <c r="F259" s="7">
        <f ca="1">IF(FILLME!$B$7="ISCO",FILLME!$B$6+FILLME!$B$11+(FILLME!$B$13*(G259-FILLME!$B$14)),FILLME!$B$6)</f>
        <v>46104.25</v>
      </c>
      <c r="G259" s="8"/>
      <c r="H259" s="8"/>
      <c r="I259" s="2"/>
      <c r="J259" s="9" t="str">
        <f t="shared" ref="J259:J321" si="12">CONCATENATE(I259,"_",TEXT(G259,"00"))</f>
        <v>_00</v>
      </c>
      <c r="K259" s="10" t="str">
        <f t="shared" ref="K259:K321" ca="1" si="13">CONCATENATE(C259,"_", I259,"_",D259,"_",TEXT(G259,"00"))</f>
        <v>SSFLAT__20260323_00</v>
      </c>
      <c r="L259" s="10" t="str">
        <f t="shared" ref="L259:L321" ca="1" si="14">CONCATENATE(C259,"_", I259,"_",TEXT(F259, "yyyymmdd"),"_",TEXT(E259, "hhmm"))</f>
        <v>SSFLAT__20260323_0000</v>
      </c>
      <c r="M259" t="b">
        <f>IF(ROW()-ROW($M$1) &lt;= FILLME!$G$4, TRUE, FALSE)</f>
        <v>0</v>
      </c>
      <c r="N259" t="b">
        <f>IF(ROW()-ROW($N$1) &lt;= FILLME!$G$5, TRUE, FALSE)</f>
        <v>0</v>
      </c>
      <c r="O259" t="b">
        <f>IF(ROW()-ROW($O$1) &lt;= FILLME!$G$7, TRUE, FALSE)</f>
        <v>0</v>
      </c>
      <c r="P259" t="b">
        <f>IF(ROW()-ROW($P$1) &lt;= FILLME!$G$6, TRUE, FALSE)</f>
        <v>0</v>
      </c>
      <c r="Q259" t="b">
        <f>IF(ROW()-ROW($Q$1) &lt;= FILLME!$G$8, TRUE, FALSE)</f>
        <v>0</v>
      </c>
      <c r="R259" t="b">
        <f>IF(ROW()-ROW($R$1) &lt;= FILLME!$G$9, TRUE, FALSE)</f>
        <v>0</v>
      </c>
      <c r="S259" t="b">
        <f>IF(ROW()-ROW($S$1) &lt;= FILLME!$G$10, TRUE, FALSE)</f>
        <v>0</v>
      </c>
      <c r="T259" t="b">
        <f>IF(ROW()-ROW($T$1) &lt;= FILLME!$G$11, TRUE, FALSE)</f>
        <v>0</v>
      </c>
    </row>
    <row r="260" spans="1:20" x14ac:dyDescent="0.25">
      <c r="A260" s="7" t="str">
        <f>FILLME!$B$7</f>
        <v>ISCO</v>
      </c>
      <c r="B260" t="str">
        <f>IF(FILLME!$B$3 = "", "", FILLME!$B$3)</f>
        <v>WWS</v>
      </c>
      <c r="C260" t="str">
        <f>IF(FILLME!$B$4 = "", "", FILLME!$B$4)</f>
        <v>SSFLAT</v>
      </c>
      <c r="D260" s="7" t="str">
        <f ca="1">TEXT(FILLME!$B$6,"yyyymmdd")</f>
        <v>20260323</v>
      </c>
      <c r="E260" s="8"/>
      <c r="F260" s="7">
        <f ca="1">IF(FILLME!$B$7="ISCO",FILLME!$B$6+FILLME!$B$11+(FILLME!$B$13*(G260-FILLME!$B$14)),FILLME!$B$6)</f>
        <v>46104.25</v>
      </c>
      <c r="G260" s="8"/>
      <c r="H260" s="8"/>
      <c r="I260" s="2"/>
      <c r="J260" s="9" t="str">
        <f t="shared" si="12"/>
        <v>_00</v>
      </c>
      <c r="K260" s="10" t="str">
        <f t="shared" ca="1" si="13"/>
        <v>SSFLAT__20260323_00</v>
      </c>
      <c r="L260" s="10" t="str">
        <f t="shared" ca="1" si="14"/>
        <v>SSFLAT__20260323_0000</v>
      </c>
      <c r="M260" t="b">
        <f>IF(ROW()-ROW($M$1) &lt;= FILLME!$G$4, TRUE, FALSE)</f>
        <v>0</v>
      </c>
      <c r="N260" t="b">
        <f>IF(ROW()-ROW($N$1) &lt;= FILLME!$G$5, TRUE, FALSE)</f>
        <v>0</v>
      </c>
      <c r="O260" t="b">
        <f>IF(ROW()-ROW($O$1) &lt;= FILLME!$G$7, TRUE, FALSE)</f>
        <v>0</v>
      </c>
      <c r="P260" t="b">
        <f>IF(ROW()-ROW($P$1) &lt;= FILLME!$G$6, TRUE, FALSE)</f>
        <v>0</v>
      </c>
      <c r="Q260" t="b">
        <f>IF(ROW()-ROW($Q$1) &lt;= FILLME!$G$8, TRUE, FALSE)</f>
        <v>0</v>
      </c>
      <c r="R260" t="b">
        <f>IF(ROW()-ROW($R$1) &lt;= FILLME!$G$9, TRUE, FALSE)</f>
        <v>0</v>
      </c>
      <c r="S260" t="b">
        <f>IF(ROW()-ROW($S$1) &lt;= FILLME!$G$10, TRUE, FALSE)</f>
        <v>0</v>
      </c>
      <c r="T260" t="b">
        <f>IF(ROW()-ROW($T$1) &lt;= FILLME!$G$11, TRUE, FALSE)</f>
        <v>0</v>
      </c>
    </row>
    <row r="261" spans="1:20" x14ac:dyDescent="0.25">
      <c r="A261" s="7" t="str">
        <f>FILLME!$B$7</f>
        <v>ISCO</v>
      </c>
      <c r="B261" t="str">
        <f>IF(FILLME!$B$3 = "", "", FILLME!$B$3)</f>
        <v>WWS</v>
      </c>
      <c r="C261" t="str">
        <f>IF(FILLME!$B$4 = "", "", FILLME!$B$4)</f>
        <v>SSFLAT</v>
      </c>
      <c r="D261" s="7" t="str">
        <f ca="1">TEXT(FILLME!$B$6,"yyyymmdd")</f>
        <v>20260323</v>
      </c>
      <c r="E261" s="8"/>
      <c r="F261" s="7">
        <f ca="1">IF(FILLME!$B$7="ISCO",FILLME!$B$6+FILLME!$B$11+(FILLME!$B$13*(G261-FILLME!$B$14)),FILLME!$B$6)</f>
        <v>46104.25</v>
      </c>
      <c r="G261" s="8"/>
      <c r="H261" s="8"/>
      <c r="I261" s="2"/>
      <c r="J261" s="9" t="str">
        <f t="shared" si="12"/>
        <v>_00</v>
      </c>
      <c r="K261" s="10" t="str">
        <f t="shared" ca="1" si="13"/>
        <v>SSFLAT__20260323_00</v>
      </c>
      <c r="L261" s="10" t="str">
        <f t="shared" ca="1" si="14"/>
        <v>SSFLAT__20260323_0000</v>
      </c>
      <c r="M261" t="b">
        <f>IF(ROW()-ROW($M$1) &lt;= FILLME!$G$4, TRUE, FALSE)</f>
        <v>0</v>
      </c>
      <c r="N261" t="b">
        <f>IF(ROW()-ROW($N$1) &lt;= FILLME!$G$5, TRUE, FALSE)</f>
        <v>0</v>
      </c>
      <c r="O261" t="b">
        <f>IF(ROW()-ROW($O$1) &lt;= FILLME!$G$7, TRUE, FALSE)</f>
        <v>0</v>
      </c>
      <c r="P261" t="b">
        <f>IF(ROW()-ROW($P$1) &lt;= FILLME!$G$6, TRUE, FALSE)</f>
        <v>0</v>
      </c>
      <c r="Q261" t="b">
        <f>IF(ROW()-ROW($Q$1) &lt;= FILLME!$G$8, TRUE, FALSE)</f>
        <v>0</v>
      </c>
      <c r="R261" t="b">
        <f>IF(ROW()-ROW($R$1) &lt;= FILLME!$G$9, TRUE, FALSE)</f>
        <v>0</v>
      </c>
      <c r="S261" t="b">
        <f>IF(ROW()-ROW($S$1) &lt;= FILLME!$G$10, TRUE, FALSE)</f>
        <v>0</v>
      </c>
      <c r="T261" t="b">
        <f>IF(ROW()-ROW($T$1) &lt;= FILLME!$G$11, TRUE, FALSE)</f>
        <v>0</v>
      </c>
    </row>
    <row r="262" spans="1:20" x14ac:dyDescent="0.25">
      <c r="A262" s="7" t="str">
        <f>FILLME!$B$7</f>
        <v>ISCO</v>
      </c>
      <c r="B262" t="str">
        <f>IF(FILLME!$B$3 = "", "", FILLME!$B$3)</f>
        <v>WWS</v>
      </c>
      <c r="C262" t="str">
        <f>IF(FILLME!$B$4 = "", "", FILLME!$B$4)</f>
        <v>SSFLAT</v>
      </c>
      <c r="D262" s="7" t="str">
        <f ca="1">TEXT(FILLME!$B$6,"yyyymmdd")</f>
        <v>20260323</v>
      </c>
      <c r="E262" s="8"/>
      <c r="F262" s="7">
        <f ca="1">IF(FILLME!$B$7="ISCO",FILLME!$B$6+FILLME!$B$11+(FILLME!$B$13*(G262-FILLME!$B$14)),FILLME!$B$6)</f>
        <v>46104.25</v>
      </c>
      <c r="G262" s="8"/>
      <c r="H262" s="8"/>
      <c r="I262" s="2"/>
      <c r="J262" s="9" t="str">
        <f t="shared" si="12"/>
        <v>_00</v>
      </c>
      <c r="K262" s="10" t="str">
        <f t="shared" ca="1" si="13"/>
        <v>SSFLAT__20260323_00</v>
      </c>
      <c r="L262" s="10" t="str">
        <f t="shared" ca="1" si="14"/>
        <v>SSFLAT__20260323_0000</v>
      </c>
      <c r="M262" t="b">
        <f>IF(ROW()-ROW($M$1) &lt;= FILLME!$G$4, TRUE, FALSE)</f>
        <v>0</v>
      </c>
      <c r="N262" t="b">
        <f>IF(ROW()-ROW($N$1) &lt;= FILLME!$G$5, TRUE, FALSE)</f>
        <v>0</v>
      </c>
      <c r="O262" t="b">
        <f>IF(ROW()-ROW($O$1) &lt;= FILLME!$G$7, TRUE, FALSE)</f>
        <v>0</v>
      </c>
      <c r="P262" t="b">
        <f>IF(ROW()-ROW($P$1) &lt;= FILLME!$G$6, TRUE, FALSE)</f>
        <v>0</v>
      </c>
      <c r="Q262" t="b">
        <f>IF(ROW()-ROW($Q$1) &lt;= FILLME!$G$8, TRUE, FALSE)</f>
        <v>0</v>
      </c>
      <c r="R262" t="b">
        <f>IF(ROW()-ROW($R$1) &lt;= FILLME!$G$9, TRUE, FALSE)</f>
        <v>0</v>
      </c>
      <c r="S262" t="b">
        <f>IF(ROW()-ROW($S$1) &lt;= FILLME!$G$10, TRUE, FALSE)</f>
        <v>0</v>
      </c>
      <c r="T262" t="b">
        <f>IF(ROW()-ROW($T$1) &lt;= FILLME!$G$11, TRUE, FALSE)</f>
        <v>0</v>
      </c>
    </row>
    <row r="263" spans="1:20" x14ac:dyDescent="0.25">
      <c r="A263" s="7" t="str">
        <f>FILLME!$B$7</f>
        <v>ISCO</v>
      </c>
      <c r="B263" t="str">
        <f>IF(FILLME!$B$3 = "", "", FILLME!$B$3)</f>
        <v>WWS</v>
      </c>
      <c r="C263" t="str">
        <f>IF(FILLME!$B$4 = "", "", FILLME!$B$4)</f>
        <v>SSFLAT</v>
      </c>
      <c r="D263" s="7" t="str">
        <f ca="1">TEXT(FILLME!$B$6,"yyyymmdd")</f>
        <v>20260323</v>
      </c>
      <c r="E263" s="8"/>
      <c r="F263" s="7">
        <f ca="1">IF(FILLME!$B$7="ISCO",FILLME!$B$6+FILLME!$B$11+(FILLME!$B$13*(G263-FILLME!$B$14)),FILLME!$B$6)</f>
        <v>46104.25</v>
      </c>
      <c r="G263" s="8"/>
      <c r="H263" s="8"/>
      <c r="I263" s="2"/>
      <c r="J263" s="9" t="str">
        <f t="shared" si="12"/>
        <v>_00</v>
      </c>
      <c r="K263" s="10" t="str">
        <f t="shared" ca="1" si="13"/>
        <v>SSFLAT__20260323_00</v>
      </c>
      <c r="L263" s="10" t="str">
        <f t="shared" ca="1" si="14"/>
        <v>SSFLAT__20260323_0000</v>
      </c>
      <c r="M263" t="b">
        <f>IF(ROW()-ROW($M$1) &lt;= FILLME!$G$4, TRUE, FALSE)</f>
        <v>0</v>
      </c>
      <c r="N263" t="b">
        <f>IF(ROW()-ROW($N$1) &lt;= FILLME!$G$5, TRUE, FALSE)</f>
        <v>0</v>
      </c>
      <c r="O263" t="b">
        <f>IF(ROW()-ROW($O$1) &lt;= FILLME!$G$7, TRUE, FALSE)</f>
        <v>0</v>
      </c>
      <c r="P263" t="b">
        <f>IF(ROW()-ROW($P$1) &lt;= FILLME!$G$6, TRUE, FALSE)</f>
        <v>0</v>
      </c>
      <c r="Q263" t="b">
        <f>IF(ROW()-ROW($Q$1) &lt;= FILLME!$G$8, TRUE, FALSE)</f>
        <v>0</v>
      </c>
      <c r="R263" t="b">
        <f>IF(ROW()-ROW($R$1) &lt;= FILLME!$G$9, TRUE, FALSE)</f>
        <v>0</v>
      </c>
      <c r="S263" t="b">
        <f>IF(ROW()-ROW($S$1) &lt;= FILLME!$G$10, TRUE, FALSE)</f>
        <v>0</v>
      </c>
      <c r="T263" t="b">
        <f>IF(ROW()-ROW($T$1) &lt;= FILLME!$G$11, TRUE, FALSE)</f>
        <v>0</v>
      </c>
    </row>
    <row r="264" spans="1:20" x14ac:dyDescent="0.25">
      <c r="A264" s="7" t="str">
        <f>FILLME!$B$7</f>
        <v>ISCO</v>
      </c>
      <c r="B264" t="str">
        <f>IF(FILLME!$B$3 = "", "", FILLME!$B$3)</f>
        <v>WWS</v>
      </c>
      <c r="C264" t="str">
        <f>IF(FILLME!$B$4 = "", "", FILLME!$B$4)</f>
        <v>SSFLAT</v>
      </c>
      <c r="D264" s="7" t="str">
        <f ca="1">TEXT(FILLME!$B$6,"yyyymmdd")</f>
        <v>20260323</v>
      </c>
      <c r="E264" s="8"/>
      <c r="F264" s="7">
        <f ca="1">IF(FILLME!$B$7="ISCO",FILLME!$B$6+FILLME!$B$11+(FILLME!$B$13*(G264-FILLME!$B$14)),FILLME!$B$6)</f>
        <v>46104.25</v>
      </c>
      <c r="G264" s="8"/>
      <c r="H264" s="8"/>
      <c r="I264" s="2"/>
      <c r="J264" s="9" t="str">
        <f t="shared" si="12"/>
        <v>_00</v>
      </c>
      <c r="K264" s="10" t="str">
        <f t="shared" ca="1" si="13"/>
        <v>SSFLAT__20260323_00</v>
      </c>
      <c r="L264" s="10" t="str">
        <f t="shared" ca="1" si="14"/>
        <v>SSFLAT__20260323_0000</v>
      </c>
      <c r="M264" t="b">
        <f>IF(ROW()-ROW($M$1) &lt;= FILLME!$G$4, TRUE, FALSE)</f>
        <v>0</v>
      </c>
      <c r="N264" t="b">
        <f>IF(ROW()-ROW($N$1) &lt;= FILLME!$G$5, TRUE, FALSE)</f>
        <v>0</v>
      </c>
      <c r="O264" t="b">
        <f>IF(ROW()-ROW($O$1) &lt;= FILLME!$G$7, TRUE, FALSE)</f>
        <v>0</v>
      </c>
      <c r="P264" t="b">
        <f>IF(ROW()-ROW($P$1) &lt;= FILLME!$G$6, TRUE, FALSE)</f>
        <v>0</v>
      </c>
      <c r="Q264" t="b">
        <f>IF(ROW()-ROW($Q$1) &lt;= FILLME!$G$8, TRUE, FALSE)</f>
        <v>0</v>
      </c>
      <c r="R264" t="b">
        <f>IF(ROW()-ROW($R$1) &lt;= FILLME!$G$9, TRUE, FALSE)</f>
        <v>0</v>
      </c>
      <c r="S264" t="b">
        <f>IF(ROW()-ROW($S$1) &lt;= FILLME!$G$10, TRUE, FALSE)</f>
        <v>0</v>
      </c>
      <c r="T264" t="b">
        <f>IF(ROW()-ROW($T$1) &lt;= FILLME!$G$11, TRUE, FALSE)</f>
        <v>0</v>
      </c>
    </row>
    <row r="265" spans="1:20" x14ac:dyDescent="0.25">
      <c r="A265" s="7" t="str">
        <f>FILLME!$B$7</f>
        <v>ISCO</v>
      </c>
      <c r="B265" t="str">
        <f>IF(FILLME!$B$3 = "", "", FILLME!$B$3)</f>
        <v>WWS</v>
      </c>
      <c r="C265" t="str">
        <f>IF(FILLME!$B$4 = "", "", FILLME!$B$4)</f>
        <v>SSFLAT</v>
      </c>
      <c r="D265" s="7" t="str">
        <f ca="1">TEXT(FILLME!$B$6,"yyyymmdd")</f>
        <v>20260323</v>
      </c>
      <c r="E265" s="8"/>
      <c r="F265" s="7">
        <f ca="1">IF(FILLME!$B$7="ISCO",FILLME!$B$6+FILLME!$B$11+(FILLME!$B$13*(G265-FILLME!$B$14)),FILLME!$B$6)</f>
        <v>46104.25</v>
      </c>
      <c r="G265" s="8"/>
      <c r="H265" s="8"/>
      <c r="I265" s="2"/>
      <c r="J265" s="9" t="str">
        <f t="shared" si="12"/>
        <v>_00</v>
      </c>
      <c r="K265" s="10" t="str">
        <f t="shared" ca="1" si="13"/>
        <v>SSFLAT__20260323_00</v>
      </c>
      <c r="L265" s="10" t="str">
        <f t="shared" ca="1" si="14"/>
        <v>SSFLAT__20260323_0000</v>
      </c>
      <c r="M265" t="b">
        <f>IF(ROW()-ROW($M$1) &lt;= FILLME!$G$4, TRUE, FALSE)</f>
        <v>0</v>
      </c>
      <c r="N265" t="b">
        <f>IF(ROW()-ROW($N$1) &lt;= FILLME!$G$5, TRUE, FALSE)</f>
        <v>0</v>
      </c>
      <c r="O265" t="b">
        <f>IF(ROW()-ROW($O$1) &lt;= FILLME!$G$7, TRUE, FALSE)</f>
        <v>0</v>
      </c>
      <c r="P265" t="b">
        <f>IF(ROW()-ROW($P$1) &lt;= FILLME!$G$6, TRUE, FALSE)</f>
        <v>0</v>
      </c>
      <c r="Q265" t="b">
        <f>IF(ROW()-ROW($Q$1) &lt;= FILLME!$G$8, TRUE, FALSE)</f>
        <v>0</v>
      </c>
      <c r="R265" t="b">
        <f>IF(ROW()-ROW($R$1) &lt;= FILLME!$G$9, TRUE, FALSE)</f>
        <v>0</v>
      </c>
      <c r="S265" t="b">
        <f>IF(ROW()-ROW($S$1) &lt;= FILLME!$G$10, TRUE, FALSE)</f>
        <v>0</v>
      </c>
      <c r="T265" t="b">
        <f>IF(ROW()-ROW($T$1) &lt;= FILLME!$G$11, TRUE, FALSE)</f>
        <v>0</v>
      </c>
    </row>
    <row r="266" spans="1:20" x14ac:dyDescent="0.25">
      <c r="A266" s="7" t="str">
        <f>FILLME!$B$7</f>
        <v>ISCO</v>
      </c>
      <c r="B266" t="str">
        <f>IF(FILLME!$B$3 = "", "", FILLME!$B$3)</f>
        <v>WWS</v>
      </c>
      <c r="C266" t="str">
        <f>IF(FILLME!$B$4 = "", "", FILLME!$B$4)</f>
        <v>SSFLAT</v>
      </c>
      <c r="D266" s="7" t="str">
        <f ca="1">TEXT(FILLME!$B$6,"yyyymmdd")</f>
        <v>20260323</v>
      </c>
      <c r="E266" s="8"/>
      <c r="F266" s="7">
        <f ca="1">IF(FILLME!$B$7="ISCO",FILLME!$B$6+FILLME!$B$11+(FILLME!$B$13*(G266-FILLME!$B$14)),FILLME!$B$6)</f>
        <v>46104.25</v>
      </c>
      <c r="G266" s="8"/>
      <c r="H266" s="8"/>
      <c r="I266" s="2"/>
      <c r="J266" s="9" t="str">
        <f t="shared" si="12"/>
        <v>_00</v>
      </c>
      <c r="K266" s="10" t="str">
        <f t="shared" ca="1" si="13"/>
        <v>SSFLAT__20260323_00</v>
      </c>
      <c r="L266" s="10" t="str">
        <f t="shared" ca="1" si="14"/>
        <v>SSFLAT__20260323_0000</v>
      </c>
      <c r="M266" t="b">
        <f>IF(ROW()-ROW($M$1) &lt;= FILLME!$G$4, TRUE, FALSE)</f>
        <v>0</v>
      </c>
      <c r="N266" t="b">
        <f>IF(ROW()-ROW($N$1) &lt;= FILLME!$G$5, TRUE, FALSE)</f>
        <v>0</v>
      </c>
      <c r="O266" t="b">
        <f>IF(ROW()-ROW($O$1) &lt;= FILLME!$G$7, TRUE, FALSE)</f>
        <v>0</v>
      </c>
      <c r="P266" t="b">
        <f>IF(ROW()-ROW($P$1) &lt;= FILLME!$G$6, TRUE, FALSE)</f>
        <v>0</v>
      </c>
      <c r="Q266" t="b">
        <f>IF(ROW()-ROW($Q$1) &lt;= FILLME!$G$8, TRUE, FALSE)</f>
        <v>0</v>
      </c>
      <c r="R266" t="b">
        <f>IF(ROW()-ROW($R$1) &lt;= FILLME!$G$9, TRUE, FALSE)</f>
        <v>0</v>
      </c>
      <c r="S266" t="b">
        <f>IF(ROW()-ROW($S$1) &lt;= FILLME!$G$10, TRUE, FALSE)</f>
        <v>0</v>
      </c>
      <c r="T266" t="b">
        <f>IF(ROW()-ROW($T$1) &lt;= FILLME!$G$11, TRUE, FALSE)</f>
        <v>0</v>
      </c>
    </row>
    <row r="267" spans="1:20" x14ac:dyDescent="0.25">
      <c r="A267" s="7" t="str">
        <f>FILLME!$B$7</f>
        <v>ISCO</v>
      </c>
      <c r="B267" t="str">
        <f>IF(FILLME!$B$3 = "", "", FILLME!$B$3)</f>
        <v>WWS</v>
      </c>
      <c r="C267" t="str">
        <f>IF(FILLME!$B$4 = "", "", FILLME!$B$4)</f>
        <v>SSFLAT</v>
      </c>
      <c r="D267" s="7" t="str">
        <f ca="1">TEXT(FILLME!$B$6,"yyyymmdd")</f>
        <v>20260323</v>
      </c>
      <c r="E267" s="8"/>
      <c r="F267" s="7">
        <f ca="1">IF(FILLME!$B$7="ISCO",FILLME!$B$6+FILLME!$B$11+(FILLME!$B$13*(G267-FILLME!$B$14)),FILLME!$B$6)</f>
        <v>46104.25</v>
      </c>
      <c r="G267" s="8"/>
      <c r="H267" s="8"/>
      <c r="I267" s="2"/>
      <c r="J267" s="9" t="str">
        <f t="shared" si="12"/>
        <v>_00</v>
      </c>
      <c r="K267" s="10" t="str">
        <f t="shared" ca="1" si="13"/>
        <v>SSFLAT__20260323_00</v>
      </c>
      <c r="L267" s="10" t="str">
        <f t="shared" ca="1" si="14"/>
        <v>SSFLAT__20260323_0000</v>
      </c>
      <c r="M267" t="b">
        <f>IF(ROW()-ROW($M$1) &lt;= FILLME!$G$4, TRUE, FALSE)</f>
        <v>0</v>
      </c>
      <c r="N267" t="b">
        <f>IF(ROW()-ROW($N$1) &lt;= FILLME!$G$5, TRUE, FALSE)</f>
        <v>0</v>
      </c>
      <c r="O267" t="b">
        <f>IF(ROW()-ROW($O$1) &lt;= FILLME!$G$7, TRUE, FALSE)</f>
        <v>0</v>
      </c>
      <c r="P267" t="b">
        <f>IF(ROW()-ROW($P$1) &lt;= FILLME!$G$6, TRUE, FALSE)</f>
        <v>0</v>
      </c>
      <c r="Q267" t="b">
        <f>IF(ROW()-ROW($Q$1) &lt;= FILLME!$G$8, TRUE, FALSE)</f>
        <v>0</v>
      </c>
      <c r="R267" t="b">
        <f>IF(ROW()-ROW($R$1) &lt;= FILLME!$G$9, TRUE, FALSE)</f>
        <v>0</v>
      </c>
      <c r="S267" t="b">
        <f>IF(ROW()-ROW($S$1) &lt;= FILLME!$G$10, TRUE, FALSE)</f>
        <v>0</v>
      </c>
      <c r="T267" t="b">
        <f>IF(ROW()-ROW($T$1) &lt;= FILLME!$G$11, TRUE, FALSE)</f>
        <v>0</v>
      </c>
    </row>
    <row r="268" spans="1:20" x14ac:dyDescent="0.25">
      <c r="A268" s="7" t="str">
        <f>FILLME!$B$7</f>
        <v>ISCO</v>
      </c>
      <c r="B268" t="str">
        <f>IF(FILLME!$B$3 = "", "", FILLME!$B$3)</f>
        <v>WWS</v>
      </c>
      <c r="C268" t="str">
        <f>IF(FILLME!$B$4 = "", "", FILLME!$B$4)</f>
        <v>SSFLAT</v>
      </c>
      <c r="D268" s="7" t="str">
        <f ca="1">TEXT(FILLME!$B$6,"yyyymmdd")</f>
        <v>20260323</v>
      </c>
      <c r="E268" s="8"/>
      <c r="F268" s="7">
        <f ca="1">IF(FILLME!$B$7="ISCO",FILLME!$B$6+FILLME!$B$11+(FILLME!$B$13*(G268-FILLME!$B$14)),FILLME!$B$6)</f>
        <v>46104.25</v>
      </c>
      <c r="G268" s="8"/>
      <c r="H268" s="8"/>
      <c r="I268" s="2"/>
      <c r="J268" s="9" t="str">
        <f t="shared" si="12"/>
        <v>_00</v>
      </c>
      <c r="K268" s="10" t="str">
        <f t="shared" ca="1" si="13"/>
        <v>SSFLAT__20260323_00</v>
      </c>
      <c r="L268" s="10" t="str">
        <f t="shared" ca="1" si="14"/>
        <v>SSFLAT__20260323_0000</v>
      </c>
      <c r="M268" t="b">
        <f>IF(ROW()-ROW($M$1) &lt;= FILLME!$G$4, TRUE, FALSE)</f>
        <v>0</v>
      </c>
      <c r="N268" t="b">
        <f>IF(ROW()-ROW($N$1) &lt;= FILLME!$G$5, TRUE, FALSE)</f>
        <v>0</v>
      </c>
      <c r="O268" t="b">
        <f>IF(ROW()-ROW($O$1) &lt;= FILLME!$G$7, TRUE, FALSE)</f>
        <v>0</v>
      </c>
      <c r="P268" t="b">
        <f>IF(ROW()-ROW($P$1) &lt;= FILLME!$G$6, TRUE, FALSE)</f>
        <v>0</v>
      </c>
      <c r="Q268" t="b">
        <f>IF(ROW()-ROW($Q$1) &lt;= FILLME!$G$8, TRUE, FALSE)</f>
        <v>0</v>
      </c>
      <c r="R268" t="b">
        <f>IF(ROW()-ROW($R$1) &lt;= FILLME!$G$9, TRUE, FALSE)</f>
        <v>0</v>
      </c>
      <c r="S268" t="b">
        <f>IF(ROW()-ROW($S$1) &lt;= FILLME!$G$10, TRUE, FALSE)</f>
        <v>0</v>
      </c>
      <c r="T268" t="b">
        <f>IF(ROW()-ROW($T$1) &lt;= FILLME!$G$11, TRUE, FALSE)</f>
        <v>0</v>
      </c>
    </row>
    <row r="269" spans="1:20" x14ac:dyDescent="0.25">
      <c r="A269" s="7" t="str">
        <f>FILLME!$B$7</f>
        <v>ISCO</v>
      </c>
      <c r="B269" t="str">
        <f>IF(FILLME!$B$3 = "", "", FILLME!$B$3)</f>
        <v>WWS</v>
      </c>
      <c r="C269" t="str">
        <f>IF(FILLME!$B$4 = "", "", FILLME!$B$4)</f>
        <v>SSFLAT</v>
      </c>
      <c r="D269" s="7" t="str">
        <f ca="1">TEXT(FILLME!$B$6,"yyyymmdd")</f>
        <v>20260323</v>
      </c>
      <c r="E269" s="8"/>
      <c r="F269" s="7">
        <f ca="1">IF(FILLME!$B$7="ISCO",FILLME!$B$6+FILLME!$B$11+(FILLME!$B$13*(G269-FILLME!$B$14)),FILLME!$B$6)</f>
        <v>46104.25</v>
      </c>
      <c r="G269" s="8"/>
      <c r="H269" s="8"/>
      <c r="I269" s="2"/>
      <c r="J269" s="9" t="str">
        <f t="shared" si="12"/>
        <v>_00</v>
      </c>
      <c r="K269" s="10" t="str">
        <f t="shared" ca="1" si="13"/>
        <v>SSFLAT__20260323_00</v>
      </c>
      <c r="L269" s="10" t="str">
        <f t="shared" ca="1" si="14"/>
        <v>SSFLAT__20260323_0000</v>
      </c>
      <c r="M269" t="b">
        <f>IF(ROW()-ROW($M$1) &lt;= FILLME!$G$4, TRUE, FALSE)</f>
        <v>0</v>
      </c>
      <c r="N269" t="b">
        <f>IF(ROW()-ROW($N$1) &lt;= FILLME!$G$5, TRUE, FALSE)</f>
        <v>0</v>
      </c>
      <c r="O269" t="b">
        <f>IF(ROW()-ROW($O$1) &lt;= FILLME!$G$7, TRUE, FALSE)</f>
        <v>0</v>
      </c>
      <c r="P269" t="b">
        <f>IF(ROW()-ROW($P$1) &lt;= FILLME!$G$6, TRUE, FALSE)</f>
        <v>0</v>
      </c>
      <c r="Q269" t="b">
        <f>IF(ROW()-ROW($Q$1) &lt;= FILLME!$G$8, TRUE, FALSE)</f>
        <v>0</v>
      </c>
      <c r="R269" t="b">
        <f>IF(ROW()-ROW($R$1) &lt;= FILLME!$G$9, TRUE, FALSE)</f>
        <v>0</v>
      </c>
      <c r="S269" t="b">
        <f>IF(ROW()-ROW($S$1) &lt;= FILLME!$G$10, TRUE, FALSE)</f>
        <v>0</v>
      </c>
      <c r="T269" t="b">
        <f>IF(ROW()-ROW($T$1) &lt;= FILLME!$G$11, TRUE, FALSE)</f>
        <v>0</v>
      </c>
    </row>
    <row r="270" spans="1:20" x14ac:dyDescent="0.25">
      <c r="A270" s="7" t="str">
        <f>FILLME!$B$7</f>
        <v>ISCO</v>
      </c>
      <c r="B270" t="str">
        <f>IF(FILLME!$B$3 = "", "", FILLME!$B$3)</f>
        <v>WWS</v>
      </c>
      <c r="C270" t="str">
        <f>IF(FILLME!$B$4 = "", "", FILLME!$B$4)</f>
        <v>SSFLAT</v>
      </c>
      <c r="D270" s="7" t="str">
        <f ca="1">TEXT(FILLME!$B$6,"yyyymmdd")</f>
        <v>20260323</v>
      </c>
      <c r="E270" s="8"/>
      <c r="F270" s="7">
        <f ca="1">IF(FILLME!$B$7="ISCO",FILLME!$B$6+FILLME!$B$11+(FILLME!$B$13*(G270-FILLME!$B$14)),FILLME!$B$6)</f>
        <v>46104.25</v>
      </c>
      <c r="G270" s="8"/>
      <c r="H270" s="8"/>
      <c r="I270" s="2"/>
      <c r="J270" s="9" t="str">
        <f t="shared" si="12"/>
        <v>_00</v>
      </c>
      <c r="K270" s="10" t="str">
        <f t="shared" ca="1" si="13"/>
        <v>SSFLAT__20260323_00</v>
      </c>
      <c r="L270" s="10" t="str">
        <f t="shared" ca="1" si="14"/>
        <v>SSFLAT__20260323_0000</v>
      </c>
      <c r="M270" t="b">
        <f>IF(ROW()-ROW($M$1) &lt;= FILLME!$G$4, TRUE, FALSE)</f>
        <v>0</v>
      </c>
      <c r="N270" t="b">
        <f>IF(ROW()-ROW($N$1) &lt;= FILLME!$G$5, TRUE, FALSE)</f>
        <v>0</v>
      </c>
      <c r="O270" t="b">
        <f>IF(ROW()-ROW($O$1) &lt;= FILLME!$G$7, TRUE, FALSE)</f>
        <v>0</v>
      </c>
      <c r="P270" t="b">
        <f>IF(ROW()-ROW($P$1) &lt;= FILLME!$G$6, TRUE, FALSE)</f>
        <v>0</v>
      </c>
      <c r="Q270" t="b">
        <f>IF(ROW()-ROW($Q$1) &lt;= FILLME!$G$8, TRUE, FALSE)</f>
        <v>0</v>
      </c>
      <c r="R270" t="b">
        <f>IF(ROW()-ROW($R$1) &lt;= FILLME!$G$9, TRUE, FALSE)</f>
        <v>0</v>
      </c>
      <c r="S270" t="b">
        <f>IF(ROW()-ROW($S$1) &lt;= FILLME!$G$10, TRUE, FALSE)</f>
        <v>0</v>
      </c>
      <c r="T270" t="b">
        <f>IF(ROW()-ROW($T$1) &lt;= FILLME!$G$11, TRUE, FALSE)</f>
        <v>0</v>
      </c>
    </row>
    <row r="271" spans="1:20" x14ac:dyDescent="0.25">
      <c r="A271" s="7" t="str">
        <f>FILLME!$B$7</f>
        <v>ISCO</v>
      </c>
      <c r="B271" t="str">
        <f>IF(FILLME!$B$3 = "", "", FILLME!$B$3)</f>
        <v>WWS</v>
      </c>
      <c r="C271" t="str">
        <f>IF(FILLME!$B$4 = "", "", FILLME!$B$4)</f>
        <v>SSFLAT</v>
      </c>
      <c r="D271" s="7" t="str">
        <f ca="1">TEXT(FILLME!$B$6,"yyyymmdd")</f>
        <v>20260323</v>
      </c>
      <c r="E271" s="8"/>
      <c r="F271" s="7">
        <f ca="1">IF(FILLME!$B$7="ISCO",FILLME!$B$6+FILLME!$B$11+(FILLME!$B$13*(G271-FILLME!$B$14)),FILLME!$B$6)</f>
        <v>46104.25</v>
      </c>
      <c r="G271" s="8"/>
      <c r="H271" s="8"/>
      <c r="I271" s="2"/>
      <c r="J271" s="9" t="str">
        <f t="shared" si="12"/>
        <v>_00</v>
      </c>
      <c r="K271" s="10" t="str">
        <f t="shared" ca="1" si="13"/>
        <v>SSFLAT__20260323_00</v>
      </c>
      <c r="L271" s="10" t="str">
        <f t="shared" ca="1" si="14"/>
        <v>SSFLAT__20260323_0000</v>
      </c>
      <c r="M271" t="b">
        <f>IF(ROW()-ROW($M$1) &lt;= FILLME!$G$4, TRUE, FALSE)</f>
        <v>0</v>
      </c>
      <c r="N271" t="b">
        <f>IF(ROW()-ROW($N$1) &lt;= FILLME!$G$5, TRUE, FALSE)</f>
        <v>0</v>
      </c>
      <c r="O271" t="b">
        <f>IF(ROW()-ROW($O$1) &lt;= FILLME!$G$7, TRUE, FALSE)</f>
        <v>0</v>
      </c>
      <c r="P271" t="b">
        <f>IF(ROW()-ROW($P$1) &lt;= FILLME!$G$6, TRUE, FALSE)</f>
        <v>0</v>
      </c>
      <c r="Q271" t="b">
        <f>IF(ROW()-ROW($Q$1) &lt;= FILLME!$G$8, TRUE, FALSE)</f>
        <v>0</v>
      </c>
      <c r="R271" t="b">
        <f>IF(ROW()-ROW($R$1) &lt;= FILLME!$G$9, TRUE, FALSE)</f>
        <v>0</v>
      </c>
      <c r="S271" t="b">
        <f>IF(ROW()-ROW($S$1) &lt;= FILLME!$G$10, TRUE, FALSE)</f>
        <v>0</v>
      </c>
      <c r="T271" t="b">
        <f>IF(ROW()-ROW($T$1) &lt;= FILLME!$G$11, TRUE, FALSE)</f>
        <v>0</v>
      </c>
    </row>
    <row r="272" spans="1:20" x14ac:dyDescent="0.25">
      <c r="A272" s="7" t="str">
        <f>FILLME!$B$7</f>
        <v>ISCO</v>
      </c>
      <c r="B272" t="str">
        <f>IF(FILLME!$B$3 = "", "", FILLME!$B$3)</f>
        <v>WWS</v>
      </c>
      <c r="C272" t="str">
        <f>IF(FILLME!$B$4 = "", "", FILLME!$B$4)</f>
        <v>SSFLAT</v>
      </c>
      <c r="D272" s="7" t="str">
        <f ca="1">TEXT(FILLME!$B$6,"yyyymmdd")</f>
        <v>20260323</v>
      </c>
      <c r="E272" s="8"/>
      <c r="F272" s="7">
        <f ca="1">IF(FILLME!$B$7="ISCO",FILLME!$B$6+FILLME!$B$11+(FILLME!$B$13*(G272-FILLME!$B$14)),FILLME!$B$6)</f>
        <v>46104.25</v>
      </c>
      <c r="G272" s="8"/>
      <c r="H272" s="8"/>
      <c r="I272" s="2"/>
      <c r="J272" s="9" t="str">
        <f t="shared" si="12"/>
        <v>_00</v>
      </c>
      <c r="K272" s="10" t="str">
        <f t="shared" ca="1" si="13"/>
        <v>SSFLAT__20260323_00</v>
      </c>
      <c r="L272" s="10" t="str">
        <f t="shared" ca="1" si="14"/>
        <v>SSFLAT__20260323_0000</v>
      </c>
      <c r="M272" t="b">
        <f>IF(ROW()-ROW($M$1) &lt;= FILLME!$G$4, TRUE, FALSE)</f>
        <v>0</v>
      </c>
      <c r="N272" t="b">
        <f>IF(ROW()-ROW($N$1) &lt;= FILLME!$G$5, TRUE, FALSE)</f>
        <v>0</v>
      </c>
      <c r="O272" t="b">
        <f>IF(ROW()-ROW($O$1) &lt;= FILLME!$G$7, TRUE, FALSE)</f>
        <v>0</v>
      </c>
      <c r="P272" t="b">
        <f>IF(ROW()-ROW($P$1) &lt;= FILLME!$G$6, TRUE, FALSE)</f>
        <v>0</v>
      </c>
      <c r="Q272" t="b">
        <f>IF(ROW()-ROW($Q$1) &lt;= FILLME!$G$8, TRUE, FALSE)</f>
        <v>0</v>
      </c>
      <c r="R272" t="b">
        <f>IF(ROW()-ROW($R$1) &lt;= FILLME!$G$9, TRUE, FALSE)</f>
        <v>0</v>
      </c>
      <c r="S272" t="b">
        <f>IF(ROW()-ROW($S$1) &lt;= FILLME!$G$10, TRUE, FALSE)</f>
        <v>0</v>
      </c>
      <c r="T272" t="b">
        <f>IF(ROW()-ROW($T$1) &lt;= FILLME!$G$11, TRUE, FALSE)</f>
        <v>0</v>
      </c>
    </row>
    <row r="273" spans="1:20" x14ac:dyDescent="0.25">
      <c r="A273" s="7" t="str">
        <f>FILLME!$B$7</f>
        <v>ISCO</v>
      </c>
      <c r="B273" t="str">
        <f>IF(FILLME!$B$3 = "", "", FILLME!$B$3)</f>
        <v>WWS</v>
      </c>
      <c r="C273" t="str">
        <f>IF(FILLME!$B$4 = "", "", FILLME!$B$4)</f>
        <v>SSFLAT</v>
      </c>
      <c r="D273" s="7" t="str">
        <f ca="1">TEXT(FILLME!$B$6,"yyyymmdd")</f>
        <v>20260323</v>
      </c>
      <c r="E273" s="8"/>
      <c r="F273" s="7">
        <f ca="1">IF(FILLME!$B$7="ISCO",FILLME!$B$6+FILLME!$B$11+(FILLME!$B$13*(G273-FILLME!$B$14)),FILLME!$B$6)</f>
        <v>46104.25</v>
      </c>
      <c r="G273" s="8"/>
      <c r="H273" s="8"/>
      <c r="I273" s="2"/>
      <c r="J273" s="9" t="str">
        <f t="shared" si="12"/>
        <v>_00</v>
      </c>
      <c r="K273" s="10" t="str">
        <f t="shared" ca="1" si="13"/>
        <v>SSFLAT__20260323_00</v>
      </c>
      <c r="L273" s="10" t="str">
        <f t="shared" ca="1" si="14"/>
        <v>SSFLAT__20260323_0000</v>
      </c>
      <c r="M273" t="b">
        <f>IF(ROW()-ROW($M$1) &lt;= FILLME!$G$4, TRUE, FALSE)</f>
        <v>0</v>
      </c>
      <c r="N273" t="b">
        <f>IF(ROW()-ROW($N$1) &lt;= FILLME!$G$5, TRUE, FALSE)</f>
        <v>0</v>
      </c>
      <c r="O273" t="b">
        <f>IF(ROW()-ROW($O$1) &lt;= FILLME!$G$7, TRUE, FALSE)</f>
        <v>0</v>
      </c>
      <c r="P273" t="b">
        <f>IF(ROW()-ROW($P$1) &lt;= FILLME!$G$6, TRUE, FALSE)</f>
        <v>0</v>
      </c>
      <c r="Q273" t="b">
        <f>IF(ROW()-ROW($Q$1) &lt;= FILLME!$G$8, TRUE, FALSE)</f>
        <v>0</v>
      </c>
      <c r="R273" t="b">
        <f>IF(ROW()-ROW($R$1) &lt;= FILLME!$G$9, TRUE, FALSE)</f>
        <v>0</v>
      </c>
      <c r="S273" t="b">
        <f>IF(ROW()-ROW($S$1) &lt;= FILLME!$G$10, TRUE, FALSE)</f>
        <v>0</v>
      </c>
      <c r="T273" t="b">
        <f>IF(ROW()-ROW($T$1) &lt;= FILLME!$G$11, TRUE, FALSE)</f>
        <v>0</v>
      </c>
    </row>
    <row r="274" spans="1:20" x14ac:dyDescent="0.25">
      <c r="A274" s="7" t="str">
        <f>FILLME!$B$7</f>
        <v>ISCO</v>
      </c>
      <c r="B274" t="str">
        <f>IF(FILLME!$B$3 = "", "", FILLME!$B$3)</f>
        <v>WWS</v>
      </c>
      <c r="C274" t="str">
        <f>IF(FILLME!$B$4 = "", "", FILLME!$B$4)</f>
        <v>SSFLAT</v>
      </c>
      <c r="D274" s="7" t="str">
        <f ca="1">TEXT(FILLME!$B$6,"yyyymmdd")</f>
        <v>20260323</v>
      </c>
      <c r="E274" s="8"/>
      <c r="F274" s="7">
        <f ca="1">IF(FILLME!$B$7="ISCO",FILLME!$B$6+FILLME!$B$11+(FILLME!$B$13*(G274-FILLME!$B$14)),FILLME!$B$6)</f>
        <v>46104.25</v>
      </c>
      <c r="G274" s="8"/>
      <c r="H274" s="8"/>
      <c r="I274" s="2"/>
      <c r="J274" s="9" t="str">
        <f t="shared" si="12"/>
        <v>_00</v>
      </c>
      <c r="K274" s="10" t="str">
        <f t="shared" ca="1" si="13"/>
        <v>SSFLAT__20260323_00</v>
      </c>
      <c r="L274" s="10" t="str">
        <f t="shared" ca="1" si="14"/>
        <v>SSFLAT__20260323_0000</v>
      </c>
      <c r="M274" t="b">
        <f>IF(ROW()-ROW($M$1) &lt;= FILLME!$G$4, TRUE, FALSE)</f>
        <v>0</v>
      </c>
      <c r="N274" t="b">
        <f>IF(ROW()-ROW($N$1) &lt;= FILLME!$G$5, TRUE, FALSE)</f>
        <v>0</v>
      </c>
      <c r="O274" t="b">
        <f>IF(ROW()-ROW($O$1) &lt;= FILLME!$G$7, TRUE, FALSE)</f>
        <v>0</v>
      </c>
      <c r="P274" t="b">
        <f>IF(ROW()-ROW($P$1) &lt;= FILLME!$G$6, TRUE, FALSE)</f>
        <v>0</v>
      </c>
      <c r="Q274" t="b">
        <f>IF(ROW()-ROW($Q$1) &lt;= FILLME!$G$8, TRUE, FALSE)</f>
        <v>0</v>
      </c>
      <c r="R274" t="b">
        <f>IF(ROW()-ROW($R$1) &lt;= FILLME!$G$9, TRUE, FALSE)</f>
        <v>0</v>
      </c>
      <c r="S274" t="b">
        <f>IF(ROW()-ROW($S$1) &lt;= FILLME!$G$10, TRUE, FALSE)</f>
        <v>0</v>
      </c>
      <c r="T274" t="b">
        <f>IF(ROW()-ROW($T$1) &lt;= FILLME!$G$11, TRUE, FALSE)</f>
        <v>0</v>
      </c>
    </row>
    <row r="275" spans="1:20" x14ac:dyDescent="0.25">
      <c r="A275" s="7" t="str">
        <f>FILLME!$B$7</f>
        <v>ISCO</v>
      </c>
      <c r="B275" t="str">
        <f>IF(FILLME!$B$3 = "", "", FILLME!$B$3)</f>
        <v>WWS</v>
      </c>
      <c r="C275" t="str">
        <f>IF(FILLME!$B$4 = "", "", FILLME!$B$4)</f>
        <v>SSFLAT</v>
      </c>
      <c r="D275" s="7" t="str">
        <f ca="1">TEXT(FILLME!$B$6,"yyyymmdd")</f>
        <v>20260323</v>
      </c>
      <c r="E275" s="8"/>
      <c r="F275" s="7">
        <f ca="1">IF(FILLME!$B$7="ISCO",FILLME!$B$6+FILLME!$B$11+(FILLME!$B$13*(G275-FILLME!$B$14)),FILLME!$B$6)</f>
        <v>46104.25</v>
      </c>
      <c r="G275" s="8"/>
      <c r="H275" s="8"/>
      <c r="I275" s="2"/>
      <c r="J275" s="9" t="str">
        <f t="shared" si="12"/>
        <v>_00</v>
      </c>
      <c r="K275" s="10" t="str">
        <f t="shared" ca="1" si="13"/>
        <v>SSFLAT__20260323_00</v>
      </c>
      <c r="L275" s="10" t="str">
        <f t="shared" ca="1" si="14"/>
        <v>SSFLAT__20260323_0000</v>
      </c>
      <c r="M275" t="b">
        <f>IF(ROW()-ROW($M$1) &lt;= FILLME!$G$4, TRUE, FALSE)</f>
        <v>0</v>
      </c>
      <c r="N275" t="b">
        <f>IF(ROW()-ROW($N$1) &lt;= FILLME!$G$5, TRUE, FALSE)</f>
        <v>0</v>
      </c>
      <c r="O275" t="b">
        <f>IF(ROW()-ROW($O$1) &lt;= FILLME!$G$7, TRUE, FALSE)</f>
        <v>0</v>
      </c>
      <c r="P275" t="b">
        <f>IF(ROW()-ROW($P$1) &lt;= FILLME!$G$6, TRUE, FALSE)</f>
        <v>0</v>
      </c>
      <c r="Q275" t="b">
        <f>IF(ROW()-ROW($Q$1) &lt;= FILLME!$G$8, TRUE, FALSE)</f>
        <v>0</v>
      </c>
      <c r="R275" t="b">
        <f>IF(ROW()-ROW($R$1) &lt;= FILLME!$G$9, TRUE, FALSE)</f>
        <v>0</v>
      </c>
      <c r="S275" t="b">
        <f>IF(ROW()-ROW($S$1) &lt;= FILLME!$G$10, TRUE, FALSE)</f>
        <v>0</v>
      </c>
      <c r="T275" t="b">
        <f>IF(ROW()-ROW($T$1) &lt;= FILLME!$G$11, TRUE, FALSE)</f>
        <v>0</v>
      </c>
    </row>
    <row r="276" spans="1:20" x14ac:dyDescent="0.25">
      <c r="A276" s="7" t="str">
        <f>FILLME!$B$7</f>
        <v>ISCO</v>
      </c>
      <c r="B276" t="str">
        <f>IF(FILLME!$B$3 = "", "", FILLME!$B$3)</f>
        <v>WWS</v>
      </c>
      <c r="C276" t="str">
        <f>IF(FILLME!$B$4 = "", "", FILLME!$B$4)</f>
        <v>SSFLAT</v>
      </c>
      <c r="D276" s="7" t="str">
        <f ca="1">TEXT(FILLME!$B$6,"yyyymmdd")</f>
        <v>20260323</v>
      </c>
      <c r="E276" s="8"/>
      <c r="F276" s="7">
        <f ca="1">IF(FILLME!$B$7="ISCO",FILLME!$B$6+FILLME!$B$11+(FILLME!$B$13*(G276-FILLME!$B$14)),FILLME!$B$6)</f>
        <v>46104.25</v>
      </c>
      <c r="G276" s="8"/>
      <c r="H276" s="8"/>
      <c r="I276" s="2"/>
      <c r="J276" s="9" t="str">
        <f t="shared" si="12"/>
        <v>_00</v>
      </c>
      <c r="K276" s="10" t="str">
        <f t="shared" ca="1" si="13"/>
        <v>SSFLAT__20260323_00</v>
      </c>
      <c r="L276" s="10" t="str">
        <f t="shared" ca="1" si="14"/>
        <v>SSFLAT__20260323_0000</v>
      </c>
      <c r="M276" t="b">
        <f>IF(ROW()-ROW($M$1) &lt;= FILLME!$G$4, TRUE, FALSE)</f>
        <v>0</v>
      </c>
      <c r="N276" t="b">
        <f>IF(ROW()-ROW($N$1) &lt;= FILLME!$G$5, TRUE, FALSE)</f>
        <v>0</v>
      </c>
      <c r="O276" t="b">
        <f>IF(ROW()-ROW($O$1) &lt;= FILLME!$G$7, TRUE, FALSE)</f>
        <v>0</v>
      </c>
      <c r="P276" t="b">
        <f>IF(ROW()-ROW($P$1) &lt;= FILLME!$G$6, TRUE, FALSE)</f>
        <v>0</v>
      </c>
      <c r="Q276" t="b">
        <f>IF(ROW()-ROW($Q$1) &lt;= FILLME!$G$8, TRUE, FALSE)</f>
        <v>0</v>
      </c>
      <c r="R276" t="b">
        <f>IF(ROW()-ROW($R$1) &lt;= FILLME!$G$9, TRUE, FALSE)</f>
        <v>0</v>
      </c>
      <c r="S276" t="b">
        <f>IF(ROW()-ROW($S$1) &lt;= FILLME!$G$10, TRUE, FALSE)</f>
        <v>0</v>
      </c>
      <c r="T276" t="b">
        <f>IF(ROW()-ROW($T$1) &lt;= FILLME!$G$11, TRUE, FALSE)</f>
        <v>0</v>
      </c>
    </row>
    <row r="277" spans="1:20" x14ac:dyDescent="0.25">
      <c r="A277" s="7" t="str">
        <f>FILLME!$B$7</f>
        <v>ISCO</v>
      </c>
      <c r="B277" t="str">
        <f>IF(FILLME!$B$3 = "", "", FILLME!$B$3)</f>
        <v>WWS</v>
      </c>
      <c r="C277" t="str">
        <f>IF(FILLME!$B$4 = "", "", FILLME!$B$4)</f>
        <v>SSFLAT</v>
      </c>
      <c r="D277" s="7" t="str">
        <f ca="1">TEXT(FILLME!$B$6,"yyyymmdd")</f>
        <v>20260323</v>
      </c>
      <c r="E277" s="8"/>
      <c r="F277" s="7">
        <f ca="1">IF(FILLME!$B$7="ISCO",FILLME!$B$6+FILLME!$B$11+(FILLME!$B$13*(G277-FILLME!$B$14)),FILLME!$B$6)</f>
        <v>46104.25</v>
      </c>
      <c r="G277" s="8"/>
      <c r="H277" s="8"/>
      <c r="I277" s="2"/>
      <c r="J277" s="9" t="str">
        <f t="shared" si="12"/>
        <v>_00</v>
      </c>
      <c r="K277" s="10" t="str">
        <f t="shared" ca="1" si="13"/>
        <v>SSFLAT__20260323_00</v>
      </c>
      <c r="L277" s="10" t="str">
        <f t="shared" ca="1" si="14"/>
        <v>SSFLAT__20260323_0000</v>
      </c>
      <c r="M277" t="b">
        <f>IF(ROW()-ROW($M$1) &lt;= FILLME!$G$4, TRUE, FALSE)</f>
        <v>0</v>
      </c>
      <c r="N277" t="b">
        <f>IF(ROW()-ROW($N$1) &lt;= FILLME!$G$5, TRUE, FALSE)</f>
        <v>0</v>
      </c>
      <c r="O277" t="b">
        <f>IF(ROW()-ROW($O$1) &lt;= FILLME!$G$7, TRUE, FALSE)</f>
        <v>0</v>
      </c>
      <c r="P277" t="b">
        <f>IF(ROW()-ROW($P$1) &lt;= FILLME!$G$6, TRUE, FALSE)</f>
        <v>0</v>
      </c>
      <c r="Q277" t="b">
        <f>IF(ROW()-ROW($Q$1) &lt;= FILLME!$G$8, TRUE, FALSE)</f>
        <v>0</v>
      </c>
      <c r="R277" t="b">
        <f>IF(ROW()-ROW($R$1) &lt;= FILLME!$G$9, TRUE, FALSE)</f>
        <v>0</v>
      </c>
      <c r="S277" t="b">
        <f>IF(ROW()-ROW($S$1) &lt;= FILLME!$G$10, TRUE, FALSE)</f>
        <v>0</v>
      </c>
      <c r="T277" t="b">
        <f>IF(ROW()-ROW($T$1) &lt;= FILLME!$G$11, TRUE, FALSE)</f>
        <v>0</v>
      </c>
    </row>
    <row r="278" spans="1:20" x14ac:dyDescent="0.25">
      <c r="A278" s="7" t="str">
        <f>FILLME!$B$7</f>
        <v>ISCO</v>
      </c>
      <c r="B278" t="str">
        <f>IF(FILLME!$B$3 = "", "", FILLME!$B$3)</f>
        <v>WWS</v>
      </c>
      <c r="C278" t="str">
        <f>IF(FILLME!$B$4 = "", "", FILLME!$B$4)</f>
        <v>SSFLAT</v>
      </c>
      <c r="D278" s="7" t="str">
        <f ca="1">TEXT(FILLME!$B$6,"yyyymmdd")</f>
        <v>20260323</v>
      </c>
      <c r="E278" s="8"/>
      <c r="F278" s="7">
        <f ca="1">IF(FILLME!$B$7="ISCO",FILLME!$B$6+FILLME!$B$11+(FILLME!$B$13*(G278-FILLME!$B$14)),FILLME!$B$6)</f>
        <v>46104.25</v>
      </c>
      <c r="G278" s="8"/>
      <c r="H278" s="8"/>
      <c r="I278" s="2"/>
      <c r="J278" s="9" t="str">
        <f t="shared" si="12"/>
        <v>_00</v>
      </c>
      <c r="K278" s="10" t="str">
        <f t="shared" ca="1" si="13"/>
        <v>SSFLAT__20260323_00</v>
      </c>
      <c r="L278" s="10" t="str">
        <f t="shared" ca="1" si="14"/>
        <v>SSFLAT__20260323_0000</v>
      </c>
      <c r="M278" t="b">
        <f>IF(ROW()-ROW($M$1) &lt;= FILLME!$G$4, TRUE, FALSE)</f>
        <v>0</v>
      </c>
      <c r="N278" t="b">
        <f>IF(ROW()-ROW($N$1) &lt;= FILLME!$G$5, TRUE, FALSE)</f>
        <v>0</v>
      </c>
      <c r="O278" t="b">
        <f>IF(ROW()-ROW($O$1) &lt;= FILLME!$G$7, TRUE, FALSE)</f>
        <v>0</v>
      </c>
      <c r="P278" t="b">
        <f>IF(ROW()-ROW($P$1) &lt;= FILLME!$G$6, TRUE, FALSE)</f>
        <v>0</v>
      </c>
      <c r="Q278" t="b">
        <f>IF(ROW()-ROW($Q$1) &lt;= FILLME!$G$8, TRUE, FALSE)</f>
        <v>0</v>
      </c>
      <c r="R278" t="b">
        <f>IF(ROW()-ROW($R$1) &lt;= FILLME!$G$9, TRUE, FALSE)</f>
        <v>0</v>
      </c>
      <c r="S278" t="b">
        <f>IF(ROW()-ROW($S$1) &lt;= FILLME!$G$10, TRUE, FALSE)</f>
        <v>0</v>
      </c>
      <c r="T278" t="b">
        <f>IF(ROW()-ROW($T$1) &lt;= FILLME!$G$11, TRUE, FALSE)</f>
        <v>0</v>
      </c>
    </row>
    <row r="279" spans="1:20" x14ac:dyDescent="0.25">
      <c r="A279" s="7" t="str">
        <f>FILLME!$B$7</f>
        <v>ISCO</v>
      </c>
      <c r="B279" t="str">
        <f>IF(FILLME!$B$3 = "", "", FILLME!$B$3)</f>
        <v>WWS</v>
      </c>
      <c r="C279" t="str">
        <f>IF(FILLME!$B$4 = "", "", FILLME!$B$4)</f>
        <v>SSFLAT</v>
      </c>
      <c r="D279" s="7" t="str">
        <f ca="1">TEXT(FILLME!$B$6,"yyyymmdd")</f>
        <v>20260323</v>
      </c>
      <c r="E279" s="8"/>
      <c r="F279" s="7">
        <f ca="1">IF(FILLME!$B$7="ISCO",FILLME!$B$6+FILLME!$B$11+(FILLME!$B$13*(G279-FILLME!$B$14)),FILLME!$B$6)</f>
        <v>46104.25</v>
      </c>
      <c r="G279" s="8"/>
      <c r="H279" s="8"/>
      <c r="I279" s="2"/>
      <c r="J279" s="9" t="str">
        <f t="shared" si="12"/>
        <v>_00</v>
      </c>
      <c r="K279" s="10" t="str">
        <f t="shared" ca="1" si="13"/>
        <v>SSFLAT__20260323_00</v>
      </c>
      <c r="L279" s="10" t="str">
        <f t="shared" ca="1" si="14"/>
        <v>SSFLAT__20260323_0000</v>
      </c>
      <c r="M279" t="b">
        <f>IF(ROW()-ROW($M$1) &lt;= FILLME!$G$4, TRUE, FALSE)</f>
        <v>0</v>
      </c>
      <c r="N279" t="b">
        <f>IF(ROW()-ROW($N$1) &lt;= FILLME!$G$5, TRUE, FALSE)</f>
        <v>0</v>
      </c>
      <c r="O279" t="b">
        <f>IF(ROW()-ROW($O$1) &lt;= FILLME!$G$7, TRUE, FALSE)</f>
        <v>0</v>
      </c>
      <c r="P279" t="b">
        <f>IF(ROW()-ROW($P$1) &lt;= FILLME!$G$6, TRUE, FALSE)</f>
        <v>0</v>
      </c>
      <c r="Q279" t="b">
        <f>IF(ROW()-ROW($Q$1) &lt;= FILLME!$G$8, TRUE, FALSE)</f>
        <v>0</v>
      </c>
      <c r="R279" t="b">
        <f>IF(ROW()-ROW($R$1) &lt;= FILLME!$G$9, TRUE, FALSE)</f>
        <v>0</v>
      </c>
      <c r="S279" t="b">
        <f>IF(ROW()-ROW($S$1) &lt;= FILLME!$G$10, TRUE, FALSE)</f>
        <v>0</v>
      </c>
      <c r="T279" t="b">
        <f>IF(ROW()-ROW($T$1) &lt;= FILLME!$G$11, TRUE, FALSE)</f>
        <v>0</v>
      </c>
    </row>
    <row r="280" spans="1:20" x14ac:dyDescent="0.25">
      <c r="A280" s="7" t="str">
        <f>FILLME!$B$7</f>
        <v>ISCO</v>
      </c>
      <c r="B280" t="str">
        <f>IF(FILLME!$B$3 = "", "", FILLME!$B$3)</f>
        <v>WWS</v>
      </c>
      <c r="C280" t="str">
        <f>IF(FILLME!$B$4 = "", "", FILLME!$B$4)</f>
        <v>SSFLAT</v>
      </c>
      <c r="D280" s="7" t="str">
        <f ca="1">TEXT(FILLME!$B$6,"yyyymmdd")</f>
        <v>20260323</v>
      </c>
      <c r="E280" s="8"/>
      <c r="F280" s="7">
        <f ca="1">IF(FILLME!$B$7="ISCO",FILLME!$B$6+FILLME!$B$11+(FILLME!$B$13*(G280-FILLME!$B$14)),FILLME!$B$6)</f>
        <v>46104.25</v>
      </c>
      <c r="G280" s="8"/>
      <c r="H280" s="8"/>
      <c r="I280" s="2"/>
      <c r="J280" s="9" t="str">
        <f t="shared" si="12"/>
        <v>_00</v>
      </c>
      <c r="K280" s="10" t="str">
        <f t="shared" ca="1" si="13"/>
        <v>SSFLAT__20260323_00</v>
      </c>
      <c r="L280" s="10" t="str">
        <f t="shared" ca="1" si="14"/>
        <v>SSFLAT__20260323_0000</v>
      </c>
      <c r="M280" t="b">
        <f>IF(ROW()-ROW($M$1) &lt;= FILLME!$G$4, TRUE, FALSE)</f>
        <v>0</v>
      </c>
      <c r="N280" t="b">
        <f>IF(ROW()-ROW($N$1) &lt;= FILLME!$G$5, TRUE, FALSE)</f>
        <v>0</v>
      </c>
      <c r="O280" t="b">
        <f>IF(ROW()-ROW($O$1) &lt;= FILLME!$G$7, TRUE, FALSE)</f>
        <v>0</v>
      </c>
      <c r="P280" t="b">
        <f>IF(ROW()-ROW($P$1) &lt;= FILLME!$G$6, TRUE, FALSE)</f>
        <v>0</v>
      </c>
      <c r="Q280" t="b">
        <f>IF(ROW()-ROW($Q$1) &lt;= FILLME!$G$8, TRUE, FALSE)</f>
        <v>0</v>
      </c>
      <c r="R280" t="b">
        <f>IF(ROW()-ROW($R$1) &lt;= FILLME!$G$9, TRUE, FALSE)</f>
        <v>0</v>
      </c>
      <c r="S280" t="b">
        <f>IF(ROW()-ROW($S$1) &lt;= FILLME!$G$10, TRUE, FALSE)</f>
        <v>0</v>
      </c>
      <c r="T280" t="b">
        <f>IF(ROW()-ROW($T$1) &lt;= FILLME!$G$11, TRUE, FALSE)</f>
        <v>0</v>
      </c>
    </row>
    <row r="281" spans="1:20" x14ac:dyDescent="0.25">
      <c r="A281" s="7" t="str">
        <f>FILLME!$B$7</f>
        <v>ISCO</v>
      </c>
      <c r="B281" t="str">
        <f>IF(FILLME!$B$3 = "", "", FILLME!$B$3)</f>
        <v>WWS</v>
      </c>
      <c r="C281" t="str">
        <f>IF(FILLME!$B$4 = "", "", FILLME!$B$4)</f>
        <v>SSFLAT</v>
      </c>
      <c r="D281" s="7" t="str">
        <f ca="1">TEXT(FILLME!$B$6,"yyyymmdd")</f>
        <v>20260323</v>
      </c>
      <c r="E281" s="8"/>
      <c r="F281" s="7">
        <f ca="1">IF(FILLME!$B$7="ISCO",FILLME!$B$6+FILLME!$B$11+(FILLME!$B$13*(G281-FILLME!$B$14)),FILLME!$B$6)</f>
        <v>46104.25</v>
      </c>
      <c r="G281" s="8"/>
      <c r="H281" s="8"/>
      <c r="I281" s="2"/>
      <c r="J281" s="9" t="str">
        <f t="shared" si="12"/>
        <v>_00</v>
      </c>
      <c r="K281" s="10" t="str">
        <f t="shared" ca="1" si="13"/>
        <v>SSFLAT__20260323_00</v>
      </c>
      <c r="L281" s="10" t="str">
        <f t="shared" ca="1" si="14"/>
        <v>SSFLAT__20260323_0000</v>
      </c>
      <c r="M281" t="b">
        <f>IF(ROW()-ROW($M$1) &lt;= FILLME!$G$4, TRUE, FALSE)</f>
        <v>0</v>
      </c>
      <c r="N281" t="b">
        <f>IF(ROW()-ROW($N$1) &lt;= FILLME!$G$5, TRUE, FALSE)</f>
        <v>0</v>
      </c>
      <c r="O281" t="b">
        <f>IF(ROW()-ROW($O$1) &lt;= FILLME!$G$7, TRUE, FALSE)</f>
        <v>0</v>
      </c>
      <c r="P281" t="b">
        <f>IF(ROW()-ROW($P$1) &lt;= FILLME!$G$6, TRUE, FALSE)</f>
        <v>0</v>
      </c>
      <c r="Q281" t="b">
        <f>IF(ROW()-ROW($Q$1) &lt;= FILLME!$G$8, TRUE, FALSE)</f>
        <v>0</v>
      </c>
      <c r="R281" t="b">
        <f>IF(ROW()-ROW($R$1) &lt;= FILLME!$G$9, TRUE, FALSE)</f>
        <v>0</v>
      </c>
      <c r="S281" t="b">
        <f>IF(ROW()-ROW($S$1) &lt;= FILLME!$G$10, TRUE, FALSE)</f>
        <v>0</v>
      </c>
      <c r="T281" t="b">
        <f>IF(ROW()-ROW($T$1) &lt;= FILLME!$G$11, TRUE, FALSE)</f>
        <v>0</v>
      </c>
    </row>
    <row r="282" spans="1:20" x14ac:dyDescent="0.25">
      <c r="A282" s="7" t="str">
        <f>FILLME!$B$7</f>
        <v>ISCO</v>
      </c>
      <c r="B282" t="str">
        <f>IF(FILLME!$B$3 = "", "", FILLME!$B$3)</f>
        <v>WWS</v>
      </c>
      <c r="C282" t="str">
        <f>IF(FILLME!$B$4 = "", "", FILLME!$B$4)</f>
        <v>SSFLAT</v>
      </c>
      <c r="D282" s="7" t="str">
        <f ca="1">TEXT(FILLME!$B$6,"yyyymmdd")</f>
        <v>20260323</v>
      </c>
      <c r="E282" s="8"/>
      <c r="F282" s="7">
        <f ca="1">IF(FILLME!$B$7="ISCO",FILLME!$B$6+FILLME!$B$11+(FILLME!$B$13*(G282-FILLME!$B$14)),FILLME!$B$6)</f>
        <v>46104.25</v>
      </c>
      <c r="G282" s="8"/>
      <c r="H282" s="8"/>
      <c r="I282" s="2"/>
      <c r="J282" s="9" t="str">
        <f t="shared" si="12"/>
        <v>_00</v>
      </c>
      <c r="K282" s="10" t="str">
        <f t="shared" ca="1" si="13"/>
        <v>SSFLAT__20260323_00</v>
      </c>
      <c r="L282" s="10" t="str">
        <f t="shared" ca="1" si="14"/>
        <v>SSFLAT__20260323_0000</v>
      </c>
      <c r="M282" t="b">
        <f>IF(ROW()-ROW($M$1) &lt;= FILLME!$G$4, TRUE, FALSE)</f>
        <v>0</v>
      </c>
      <c r="N282" t="b">
        <f>IF(ROW()-ROW($N$1) &lt;= FILLME!$G$5, TRUE, FALSE)</f>
        <v>0</v>
      </c>
      <c r="O282" t="b">
        <f>IF(ROW()-ROW($O$1) &lt;= FILLME!$G$7, TRUE, FALSE)</f>
        <v>0</v>
      </c>
      <c r="P282" t="b">
        <f>IF(ROW()-ROW($P$1) &lt;= FILLME!$G$6, TRUE, FALSE)</f>
        <v>0</v>
      </c>
      <c r="Q282" t="b">
        <f>IF(ROW()-ROW($Q$1) &lt;= FILLME!$G$8, TRUE, FALSE)</f>
        <v>0</v>
      </c>
      <c r="R282" t="b">
        <f>IF(ROW()-ROW($R$1) &lt;= FILLME!$G$9, TRUE, FALSE)</f>
        <v>0</v>
      </c>
      <c r="S282" t="b">
        <f>IF(ROW()-ROW($S$1) &lt;= FILLME!$G$10, TRUE, FALSE)</f>
        <v>0</v>
      </c>
      <c r="T282" t="b">
        <f>IF(ROW()-ROW($T$1) &lt;= FILLME!$G$11, TRUE, FALSE)</f>
        <v>0</v>
      </c>
    </row>
    <row r="283" spans="1:20" x14ac:dyDescent="0.25">
      <c r="A283" s="7" t="str">
        <f>FILLME!$B$7</f>
        <v>ISCO</v>
      </c>
      <c r="B283" t="str">
        <f>IF(FILLME!$B$3 = "", "", FILLME!$B$3)</f>
        <v>WWS</v>
      </c>
      <c r="C283" t="str">
        <f>IF(FILLME!$B$4 = "", "", FILLME!$B$4)</f>
        <v>SSFLAT</v>
      </c>
      <c r="D283" s="7" t="str">
        <f ca="1">TEXT(FILLME!$B$6,"yyyymmdd")</f>
        <v>20260323</v>
      </c>
      <c r="E283" s="8"/>
      <c r="F283" s="7">
        <f ca="1">IF(FILLME!$B$7="ISCO",FILLME!$B$6+FILLME!$B$11+(FILLME!$B$13*(G283-FILLME!$B$14)),FILLME!$B$6)</f>
        <v>46104.25</v>
      </c>
      <c r="G283" s="8"/>
      <c r="H283" s="8"/>
      <c r="I283" s="2"/>
      <c r="J283" s="9" t="str">
        <f t="shared" si="12"/>
        <v>_00</v>
      </c>
      <c r="K283" s="10" t="str">
        <f t="shared" ca="1" si="13"/>
        <v>SSFLAT__20260323_00</v>
      </c>
      <c r="L283" s="10" t="str">
        <f t="shared" ca="1" si="14"/>
        <v>SSFLAT__20260323_0000</v>
      </c>
      <c r="M283" t="b">
        <f>IF(ROW()-ROW($M$1) &lt;= FILLME!$G$4, TRUE, FALSE)</f>
        <v>0</v>
      </c>
      <c r="N283" t="b">
        <f>IF(ROW()-ROW($N$1) &lt;= FILLME!$G$5, TRUE, FALSE)</f>
        <v>0</v>
      </c>
      <c r="O283" t="b">
        <f>IF(ROW()-ROW($O$1) &lt;= FILLME!$G$7, TRUE, FALSE)</f>
        <v>0</v>
      </c>
      <c r="P283" t="b">
        <f>IF(ROW()-ROW($P$1) &lt;= FILLME!$G$6, TRUE, FALSE)</f>
        <v>0</v>
      </c>
      <c r="Q283" t="b">
        <f>IF(ROW()-ROW($Q$1) &lt;= FILLME!$G$8, TRUE, FALSE)</f>
        <v>0</v>
      </c>
      <c r="R283" t="b">
        <f>IF(ROW()-ROW($R$1) &lt;= FILLME!$G$9, TRUE, FALSE)</f>
        <v>0</v>
      </c>
      <c r="S283" t="b">
        <f>IF(ROW()-ROW($S$1) &lt;= FILLME!$G$10, TRUE, FALSE)</f>
        <v>0</v>
      </c>
      <c r="T283" t="b">
        <f>IF(ROW()-ROW($T$1) &lt;= FILLME!$G$11, TRUE, FALSE)</f>
        <v>0</v>
      </c>
    </row>
    <row r="284" spans="1:20" x14ac:dyDescent="0.25">
      <c r="A284" s="7" t="str">
        <f>FILLME!$B$7</f>
        <v>ISCO</v>
      </c>
      <c r="B284" t="str">
        <f>IF(FILLME!$B$3 = "", "", FILLME!$B$3)</f>
        <v>WWS</v>
      </c>
      <c r="C284" t="str">
        <f>IF(FILLME!$B$4 = "", "", FILLME!$B$4)</f>
        <v>SSFLAT</v>
      </c>
      <c r="D284" s="7" t="str">
        <f ca="1">TEXT(FILLME!$B$6,"yyyymmdd")</f>
        <v>20260323</v>
      </c>
      <c r="E284" s="8"/>
      <c r="F284" s="7">
        <f ca="1">IF(FILLME!$B$7="ISCO",FILLME!$B$6+FILLME!$B$11+(FILLME!$B$13*(G284-FILLME!$B$14)),FILLME!$B$6)</f>
        <v>46104.25</v>
      </c>
      <c r="G284" s="8"/>
      <c r="H284" s="8"/>
      <c r="I284" s="2"/>
      <c r="J284" s="9" t="str">
        <f t="shared" si="12"/>
        <v>_00</v>
      </c>
      <c r="K284" s="10" t="str">
        <f t="shared" ca="1" si="13"/>
        <v>SSFLAT__20260323_00</v>
      </c>
      <c r="L284" s="10" t="str">
        <f t="shared" ca="1" si="14"/>
        <v>SSFLAT__20260323_0000</v>
      </c>
      <c r="M284" t="b">
        <f>IF(ROW()-ROW($M$1) &lt;= FILLME!$G$4, TRUE, FALSE)</f>
        <v>0</v>
      </c>
      <c r="N284" t="b">
        <f>IF(ROW()-ROW($N$1) &lt;= FILLME!$G$5, TRUE, FALSE)</f>
        <v>0</v>
      </c>
      <c r="O284" t="b">
        <f>IF(ROW()-ROW($O$1) &lt;= FILLME!$G$7, TRUE, FALSE)</f>
        <v>0</v>
      </c>
      <c r="P284" t="b">
        <f>IF(ROW()-ROW($P$1) &lt;= FILLME!$G$6, TRUE, FALSE)</f>
        <v>0</v>
      </c>
      <c r="Q284" t="b">
        <f>IF(ROW()-ROW($Q$1) &lt;= FILLME!$G$8, TRUE, FALSE)</f>
        <v>0</v>
      </c>
      <c r="R284" t="b">
        <f>IF(ROW()-ROW($R$1) &lt;= FILLME!$G$9, TRUE, FALSE)</f>
        <v>0</v>
      </c>
      <c r="S284" t="b">
        <f>IF(ROW()-ROW($S$1) &lt;= FILLME!$G$10, TRUE, FALSE)</f>
        <v>0</v>
      </c>
      <c r="T284" t="b">
        <f>IF(ROW()-ROW($T$1) &lt;= FILLME!$G$11, TRUE, FALSE)</f>
        <v>0</v>
      </c>
    </row>
    <row r="285" spans="1:20" x14ac:dyDescent="0.25">
      <c r="A285" s="7" t="str">
        <f>FILLME!$B$7</f>
        <v>ISCO</v>
      </c>
      <c r="B285" t="str">
        <f>IF(FILLME!$B$3 = "", "", FILLME!$B$3)</f>
        <v>WWS</v>
      </c>
      <c r="C285" t="str">
        <f>IF(FILLME!$B$4 = "", "", FILLME!$B$4)</f>
        <v>SSFLAT</v>
      </c>
      <c r="D285" s="7" t="str">
        <f ca="1">TEXT(FILLME!$B$6,"yyyymmdd")</f>
        <v>20260323</v>
      </c>
      <c r="E285" s="8"/>
      <c r="F285" s="7">
        <f ca="1">IF(FILLME!$B$7="ISCO",FILLME!$B$6+FILLME!$B$11+(FILLME!$B$13*(G285-FILLME!$B$14)),FILLME!$B$6)</f>
        <v>46104.25</v>
      </c>
      <c r="G285" s="8"/>
      <c r="H285" s="8"/>
      <c r="I285" s="2"/>
      <c r="J285" s="9" t="str">
        <f t="shared" si="12"/>
        <v>_00</v>
      </c>
      <c r="K285" s="10" t="str">
        <f t="shared" ca="1" si="13"/>
        <v>SSFLAT__20260323_00</v>
      </c>
      <c r="L285" s="10" t="str">
        <f t="shared" ca="1" si="14"/>
        <v>SSFLAT__20260323_0000</v>
      </c>
      <c r="M285" t="b">
        <f>IF(ROW()-ROW($M$1) &lt;= FILLME!$G$4, TRUE, FALSE)</f>
        <v>0</v>
      </c>
      <c r="N285" t="b">
        <f>IF(ROW()-ROW($N$1) &lt;= FILLME!$G$5, TRUE, FALSE)</f>
        <v>0</v>
      </c>
      <c r="O285" t="b">
        <f>IF(ROW()-ROW($O$1) &lt;= FILLME!$G$7, TRUE, FALSE)</f>
        <v>0</v>
      </c>
      <c r="P285" t="b">
        <f>IF(ROW()-ROW($P$1) &lt;= FILLME!$G$6, TRUE, FALSE)</f>
        <v>0</v>
      </c>
      <c r="Q285" t="b">
        <f>IF(ROW()-ROW($Q$1) &lt;= FILLME!$G$8, TRUE, FALSE)</f>
        <v>0</v>
      </c>
      <c r="R285" t="b">
        <f>IF(ROW()-ROW($R$1) &lt;= FILLME!$G$9, TRUE, FALSE)</f>
        <v>0</v>
      </c>
      <c r="S285" t="b">
        <f>IF(ROW()-ROW($S$1) &lt;= FILLME!$G$10, TRUE, FALSE)</f>
        <v>0</v>
      </c>
      <c r="T285" t="b">
        <f>IF(ROW()-ROW($T$1) &lt;= FILLME!$G$11, TRUE, FALSE)</f>
        <v>0</v>
      </c>
    </row>
    <row r="286" spans="1:20" x14ac:dyDescent="0.25">
      <c r="A286" s="7" t="str">
        <f>FILLME!$B$7</f>
        <v>ISCO</v>
      </c>
      <c r="B286" t="str">
        <f>IF(FILLME!$B$3 = "", "", FILLME!$B$3)</f>
        <v>WWS</v>
      </c>
      <c r="C286" t="str">
        <f>IF(FILLME!$B$4 = "", "", FILLME!$B$4)</f>
        <v>SSFLAT</v>
      </c>
      <c r="D286" s="7" t="str">
        <f ca="1">TEXT(FILLME!$B$6,"yyyymmdd")</f>
        <v>20260323</v>
      </c>
      <c r="E286" s="8"/>
      <c r="F286" s="7">
        <f ca="1">IF(FILLME!$B$7="ISCO",FILLME!$B$6+FILLME!$B$11+(FILLME!$B$13*(G286-FILLME!$B$14)),FILLME!$B$6)</f>
        <v>46104.25</v>
      </c>
      <c r="G286" s="8"/>
      <c r="H286" s="8"/>
      <c r="I286" s="2"/>
      <c r="J286" s="9" t="str">
        <f t="shared" si="12"/>
        <v>_00</v>
      </c>
      <c r="K286" s="10" t="str">
        <f t="shared" ca="1" si="13"/>
        <v>SSFLAT__20260323_00</v>
      </c>
      <c r="L286" s="10" t="str">
        <f t="shared" ca="1" si="14"/>
        <v>SSFLAT__20260323_0000</v>
      </c>
      <c r="M286" t="b">
        <f>IF(ROW()-ROW($M$1) &lt;= FILLME!$G$4, TRUE, FALSE)</f>
        <v>0</v>
      </c>
      <c r="N286" t="b">
        <f>IF(ROW()-ROW($N$1) &lt;= FILLME!$G$5, TRUE, FALSE)</f>
        <v>0</v>
      </c>
      <c r="O286" t="b">
        <f>IF(ROW()-ROW($O$1) &lt;= FILLME!$G$7, TRUE, FALSE)</f>
        <v>0</v>
      </c>
      <c r="P286" t="b">
        <f>IF(ROW()-ROW($P$1) &lt;= FILLME!$G$6, TRUE, FALSE)</f>
        <v>0</v>
      </c>
      <c r="Q286" t="b">
        <f>IF(ROW()-ROW($Q$1) &lt;= FILLME!$G$8, TRUE, FALSE)</f>
        <v>0</v>
      </c>
      <c r="R286" t="b">
        <f>IF(ROW()-ROW($R$1) &lt;= FILLME!$G$9, TRUE, FALSE)</f>
        <v>0</v>
      </c>
      <c r="S286" t="b">
        <f>IF(ROW()-ROW($S$1) &lt;= FILLME!$G$10, TRUE, FALSE)</f>
        <v>0</v>
      </c>
      <c r="T286" t="b">
        <f>IF(ROW()-ROW($T$1) &lt;= FILLME!$G$11, TRUE, FALSE)</f>
        <v>0</v>
      </c>
    </row>
    <row r="287" spans="1:20" x14ac:dyDescent="0.25">
      <c r="A287" s="7" t="str">
        <f>FILLME!$B$7</f>
        <v>ISCO</v>
      </c>
      <c r="B287" t="str">
        <f>IF(FILLME!$B$3 = "", "", FILLME!$B$3)</f>
        <v>WWS</v>
      </c>
      <c r="C287" t="str">
        <f>IF(FILLME!$B$4 = "", "", FILLME!$B$4)</f>
        <v>SSFLAT</v>
      </c>
      <c r="D287" s="7" t="str">
        <f ca="1">TEXT(FILLME!$B$6,"yyyymmdd")</f>
        <v>20260323</v>
      </c>
      <c r="E287" s="8"/>
      <c r="F287" s="7">
        <f ca="1">IF(FILLME!$B$7="ISCO",FILLME!$B$6+FILLME!$B$11+(FILLME!$B$13*(G287-FILLME!$B$14)),FILLME!$B$6)</f>
        <v>46104.25</v>
      </c>
      <c r="G287" s="8"/>
      <c r="H287" s="8"/>
      <c r="I287" s="2"/>
      <c r="J287" s="9" t="str">
        <f t="shared" si="12"/>
        <v>_00</v>
      </c>
      <c r="K287" s="10" t="str">
        <f t="shared" ca="1" si="13"/>
        <v>SSFLAT__20260323_00</v>
      </c>
      <c r="L287" s="10" t="str">
        <f t="shared" ca="1" si="14"/>
        <v>SSFLAT__20260323_0000</v>
      </c>
      <c r="M287" t="b">
        <f>IF(ROW()-ROW($M$1) &lt;= FILLME!$G$4, TRUE, FALSE)</f>
        <v>0</v>
      </c>
      <c r="N287" t="b">
        <f>IF(ROW()-ROW($N$1) &lt;= FILLME!$G$5, TRUE, FALSE)</f>
        <v>0</v>
      </c>
      <c r="O287" t="b">
        <f>IF(ROW()-ROW($O$1) &lt;= FILLME!$G$7, TRUE, FALSE)</f>
        <v>0</v>
      </c>
      <c r="P287" t="b">
        <f>IF(ROW()-ROW($P$1) &lt;= FILLME!$G$6, TRUE, FALSE)</f>
        <v>0</v>
      </c>
      <c r="Q287" t="b">
        <f>IF(ROW()-ROW($Q$1) &lt;= FILLME!$G$8, TRUE, FALSE)</f>
        <v>0</v>
      </c>
      <c r="R287" t="b">
        <f>IF(ROW()-ROW($R$1) &lt;= FILLME!$G$9, TRUE, FALSE)</f>
        <v>0</v>
      </c>
      <c r="S287" t="b">
        <f>IF(ROW()-ROW($S$1) &lt;= FILLME!$G$10, TRUE, FALSE)</f>
        <v>0</v>
      </c>
      <c r="T287" t="b">
        <f>IF(ROW()-ROW($T$1) &lt;= FILLME!$G$11, TRUE, FALSE)</f>
        <v>0</v>
      </c>
    </row>
    <row r="288" spans="1:20" x14ac:dyDescent="0.25">
      <c r="A288" s="7" t="str">
        <f>FILLME!$B$7</f>
        <v>ISCO</v>
      </c>
      <c r="B288" t="str">
        <f>IF(FILLME!$B$3 = "", "", FILLME!$B$3)</f>
        <v>WWS</v>
      </c>
      <c r="C288" t="str">
        <f>IF(FILLME!$B$4 = "", "", FILLME!$B$4)</f>
        <v>SSFLAT</v>
      </c>
      <c r="D288" s="7" t="str">
        <f ca="1">TEXT(FILLME!$B$6,"yyyymmdd")</f>
        <v>20260323</v>
      </c>
      <c r="E288" s="8"/>
      <c r="F288" s="7">
        <f ca="1">IF(FILLME!$B$7="ISCO",FILLME!$B$6+FILLME!$B$11+(FILLME!$B$13*(G288-FILLME!$B$14)),FILLME!$B$6)</f>
        <v>46104.25</v>
      </c>
      <c r="G288" s="8"/>
      <c r="H288" s="8"/>
      <c r="I288" s="2"/>
      <c r="J288" s="9" t="str">
        <f t="shared" si="12"/>
        <v>_00</v>
      </c>
      <c r="K288" s="10" t="str">
        <f t="shared" ca="1" si="13"/>
        <v>SSFLAT__20260323_00</v>
      </c>
      <c r="L288" s="10" t="str">
        <f t="shared" ca="1" si="14"/>
        <v>SSFLAT__20260323_0000</v>
      </c>
      <c r="M288" t="b">
        <f>IF(ROW()-ROW($M$1) &lt;= FILLME!$G$4, TRUE, FALSE)</f>
        <v>0</v>
      </c>
      <c r="N288" t="b">
        <f>IF(ROW()-ROW($N$1) &lt;= FILLME!$G$5, TRUE, FALSE)</f>
        <v>0</v>
      </c>
      <c r="O288" t="b">
        <f>IF(ROW()-ROW($O$1) &lt;= FILLME!$G$7, TRUE, FALSE)</f>
        <v>0</v>
      </c>
      <c r="P288" t="b">
        <f>IF(ROW()-ROW($P$1) &lt;= FILLME!$G$6, TRUE, FALSE)</f>
        <v>0</v>
      </c>
      <c r="Q288" t="b">
        <f>IF(ROW()-ROW($Q$1) &lt;= FILLME!$G$8, TRUE, FALSE)</f>
        <v>0</v>
      </c>
      <c r="R288" t="b">
        <f>IF(ROW()-ROW($R$1) &lt;= FILLME!$G$9, TRUE, FALSE)</f>
        <v>0</v>
      </c>
      <c r="S288" t="b">
        <f>IF(ROW()-ROW($S$1) &lt;= FILLME!$G$10, TRUE, FALSE)</f>
        <v>0</v>
      </c>
      <c r="T288" t="b">
        <f>IF(ROW()-ROW($T$1) &lt;= FILLME!$G$11, TRUE, FALSE)</f>
        <v>0</v>
      </c>
    </row>
    <row r="289" spans="1:20" x14ac:dyDescent="0.25">
      <c r="A289" s="7" t="str">
        <f>FILLME!$B$7</f>
        <v>ISCO</v>
      </c>
      <c r="B289" t="str">
        <f>IF(FILLME!$B$3 = "", "", FILLME!$B$3)</f>
        <v>WWS</v>
      </c>
      <c r="C289" t="str">
        <f>IF(FILLME!$B$4 = "", "", FILLME!$B$4)</f>
        <v>SSFLAT</v>
      </c>
      <c r="D289" s="7" t="str">
        <f ca="1">TEXT(FILLME!$B$6,"yyyymmdd")</f>
        <v>20260323</v>
      </c>
      <c r="E289" s="8"/>
      <c r="F289" s="7">
        <f ca="1">IF(FILLME!$B$7="ISCO",FILLME!$B$6+FILLME!$B$11+(FILLME!$B$13*(G289-FILLME!$B$14)),FILLME!$B$6)</f>
        <v>46104.25</v>
      </c>
      <c r="G289" s="8"/>
      <c r="H289" s="8"/>
      <c r="I289" s="2"/>
      <c r="J289" s="9" t="str">
        <f t="shared" si="12"/>
        <v>_00</v>
      </c>
      <c r="K289" s="10" t="str">
        <f t="shared" ca="1" si="13"/>
        <v>SSFLAT__20260323_00</v>
      </c>
      <c r="L289" s="10" t="str">
        <f t="shared" ca="1" si="14"/>
        <v>SSFLAT__20260323_0000</v>
      </c>
      <c r="M289" t="b">
        <f>IF(ROW()-ROW($M$1) &lt;= FILLME!$G$4, TRUE, FALSE)</f>
        <v>0</v>
      </c>
      <c r="N289" t="b">
        <f>IF(ROW()-ROW($N$1) &lt;= FILLME!$G$5, TRUE, FALSE)</f>
        <v>0</v>
      </c>
      <c r="O289" t="b">
        <f>IF(ROW()-ROW($O$1) &lt;= FILLME!$G$7, TRUE, FALSE)</f>
        <v>0</v>
      </c>
      <c r="P289" t="b">
        <f>IF(ROW()-ROW($P$1) &lt;= FILLME!$G$6, TRUE, FALSE)</f>
        <v>0</v>
      </c>
      <c r="Q289" t="b">
        <f>IF(ROW()-ROW($Q$1) &lt;= FILLME!$G$8, TRUE, FALSE)</f>
        <v>0</v>
      </c>
      <c r="R289" t="b">
        <f>IF(ROW()-ROW($R$1) &lt;= FILLME!$G$9, TRUE, FALSE)</f>
        <v>0</v>
      </c>
      <c r="S289" t="b">
        <f>IF(ROW()-ROW($S$1) &lt;= FILLME!$G$10, TRUE, FALSE)</f>
        <v>0</v>
      </c>
      <c r="T289" t="b">
        <f>IF(ROW()-ROW($T$1) &lt;= FILLME!$G$11, TRUE, FALSE)</f>
        <v>0</v>
      </c>
    </row>
    <row r="290" spans="1:20" x14ac:dyDescent="0.25">
      <c r="A290" s="7" t="str">
        <f>FILLME!$B$7</f>
        <v>ISCO</v>
      </c>
      <c r="B290" t="str">
        <f>IF(FILLME!$B$3 = "", "", FILLME!$B$3)</f>
        <v>WWS</v>
      </c>
      <c r="C290" t="str">
        <f>IF(FILLME!$B$4 = "", "", FILLME!$B$4)</f>
        <v>SSFLAT</v>
      </c>
      <c r="D290" s="7" t="str">
        <f ca="1">TEXT(FILLME!$B$6,"yyyymmdd")</f>
        <v>20260323</v>
      </c>
      <c r="E290" s="8"/>
      <c r="F290" s="7">
        <f ca="1">IF(FILLME!$B$7="ISCO",FILLME!$B$6+FILLME!$B$11+(FILLME!$B$13*(G290-FILLME!$B$14)),FILLME!$B$6)</f>
        <v>46104.25</v>
      </c>
      <c r="G290" s="8"/>
      <c r="H290" s="8"/>
      <c r="I290" s="2"/>
      <c r="J290" s="9" t="str">
        <f t="shared" si="12"/>
        <v>_00</v>
      </c>
      <c r="K290" s="10" t="str">
        <f t="shared" ca="1" si="13"/>
        <v>SSFLAT__20260323_00</v>
      </c>
      <c r="L290" s="10" t="str">
        <f t="shared" ca="1" si="14"/>
        <v>SSFLAT__20260323_0000</v>
      </c>
      <c r="M290" t="b">
        <f>IF(ROW()-ROW($M$1) &lt;= FILLME!$G$4, TRUE, FALSE)</f>
        <v>0</v>
      </c>
      <c r="N290" t="b">
        <f>IF(ROW()-ROW($N$1) &lt;= FILLME!$G$5, TRUE, FALSE)</f>
        <v>0</v>
      </c>
      <c r="O290" t="b">
        <f>IF(ROW()-ROW($O$1) &lt;= FILLME!$G$7, TRUE, FALSE)</f>
        <v>0</v>
      </c>
      <c r="P290" t="b">
        <f>IF(ROW()-ROW($P$1) &lt;= FILLME!$G$6, TRUE, FALSE)</f>
        <v>0</v>
      </c>
      <c r="Q290" t="b">
        <f>IF(ROW()-ROW($Q$1) &lt;= FILLME!$G$8, TRUE, FALSE)</f>
        <v>0</v>
      </c>
      <c r="R290" t="b">
        <f>IF(ROW()-ROW($R$1) &lt;= FILLME!$G$9, TRUE, FALSE)</f>
        <v>0</v>
      </c>
      <c r="S290" t="b">
        <f>IF(ROW()-ROW($S$1) &lt;= FILLME!$G$10, TRUE, FALSE)</f>
        <v>0</v>
      </c>
      <c r="T290" t="b">
        <f>IF(ROW()-ROW($T$1) &lt;= FILLME!$G$11, TRUE, FALSE)</f>
        <v>0</v>
      </c>
    </row>
    <row r="291" spans="1:20" x14ac:dyDescent="0.25">
      <c r="A291" s="7" t="str">
        <f>FILLME!$B$7</f>
        <v>ISCO</v>
      </c>
      <c r="B291" t="str">
        <f>IF(FILLME!$B$3 = "", "", FILLME!$B$3)</f>
        <v>WWS</v>
      </c>
      <c r="C291" t="str">
        <f>IF(FILLME!$B$4 = "", "", FILLME!$B$4)</f>
        <v>SSFLAT</v>
      </c>
      <c r="D291" s="7" t="str">
        <f ca="1">TEXT(FILLME!$B$6,"yyyymmdd")</f>
        <v>20260323</v>
      </c>
      <c r="E291" s="8"/>
      <c r="F291" s="7">
        <f ca="1">IF(FILLME!$B$7="ISCO",FILLME!$B$6+FILLME!$B$11+(FILLME!$B$13*(G291-FILLME!$B$14)),FILLME!$B$6)</f>
        <v>46104.25</v>
      </c>
      <c r="G291" s="8"/>
      <c r="H291" s="8"/>
      <c r="I291" s="2"/>
      <c r="J291" s="9" t="str">
        <f t="shared" si="12"/>
        <v>_00</v>
      </c>
      <c r="K291" s="10" t="str">
        <f t="shared" ca="1" si="13"/>
        <v>SSFLAT__20260323_00</v>
      </c>
      <c r="L291" s="10" t="str">
        <f t="shared" ca="1" si="14"/>
        <v>SSFLAT__20260323_0000</v>
      </c>
      <c r="M291" t="b">
        <f>IF(ROW()-ROW($M$1) &lt;= FILLME!$G$4, TRUE, FALSE)</f>
        <v>0</v>
      </c>
      <c r="N291" t="b">
        <f>IF(ROW()-ROW($N$1) &lt;= FILLME!$G$5, TRUE, FALSE)</f>
        <v>0</v>
      </c>
      <c r="O291" t="b">
        <f>IF(ROW()-ROW($O$1) &lt;= FILLME!$G$7, TRUE, FALSE)</f>
        <v>0</v>
      </c>
      <c r="P291" t="b">
        <f>IF(ROW()-ROW($P$1) &lt;= FILLME!$G$6, TRUE, FALSE)</f>
        <v>0</v>
      </c>
      <c r="Q291" t="b">
        <f>IF(ROW()-ROW($Q$1) &lt;= FILLME!$G$8, TRUE, FALSE)</f>
        <v>0</v>
      </c>
      <c r="R291" t="b">
        <f>IF(ROW()-ROW($R$1) &lt;= FILLME!$G$9, TRUE, FALSE)</f>
        <v>0</v>
      </c>
      <c r="S291" t="b">
        <f>IF(ROW()-ROW($S$1) &lt;= FILLME!$G$10, TRUE, FALSE)</f>
        <v>0</v>
      </c>
      <c r="T291" t="b">
        <f>IF(ROW()-ROW($T$1) &lt;= FILLME!$G$11, TRUE, FALSE)</f>
        <v>0</v>
      </c>
    </row>
    <row r="292" spans="1:20" x14ac:dyDescent="0.25">
      <c r="A292" s="7" t="str">
        <f>FILLME!$B$7</f>
        <v>ISCO</v>
      </c>
      <c r="B292" t="str">
        <f>IF(FILLME!$B$3 = "", "", FILLME!$B$3)</f>
        <v>WWS</v>
      </c>
      <c r="C292" t="str">
        <f>IF(FILLME!$B$4 = "", "", FILLME!$B$4)</f>
        <v>SSFLAT</v>
      </c>
      <c r="D292" s="7" t="str">
        <f ca="1">TEXT(FILLME!$B$6,"yyyymmdd")</f>
        <v>20260323</v>
      </c>
      <c r="E292" s="8"/>
      <c r="F292" s="7">
        <f ca="1">IF(FILLME!$B$7="ISCO",FILLME!$B$6+FILLME!$B$11+(FILLME!$B$13*(G292-FILLME!$B$14)),FILLME!$B$6)</f>
        <v>46104.25</v>
      </c>
      <c r="G292" s="8"/>
      <c r="H292" s="8"/>
      <c r="I292" s="2"/>
      <c r="J292" s="9" t="str">
        <f t="shared" si="12"/>
        <v>_00</v>
      </c>
      <c r="K292" s="10" t="str">
        <f t="shared" ca="1" si="13"/>
        <v>SSFLAT__20260323_00</v>
      </c>
      <c r="L292" s="10" t="str">
        <f t="shared" ca="1" si="14"/>
        <v>SSFLAT__20260323_0000</v>
      </c>
      <c r="M292" t="b">
        <f>IF(ROW()-ROW($M$1) &lt;= FILLME!$G$4, TRUE, FALSE)</f>
        <v>0</v>
      </c>
      <c r="N292" t="b">
        <f>IF(ROW()-ROW($N$1) &lt;= FILLME!$G$5, TRUE, FALSE)</f>
        <v>0</v>
      </c>
      <c r="O292" t="b">
        <f>IF(ROW()-ROW($O$1) &lt;= FILLME!$G$7, TRUE, FALSE)</f>
        <v>0</v>
      </c>
      <c r="P292" t="b">
        <f>IF(ROW()-ROW($P$1) &lt;= FILLME!$G$6, TRUE, FALSE)</f>
        <v>0</v>
      </c>
      <c r="Q292" t="b">
        <f>IF(ROW()-ROW($Q$1) &lt;= FILLME!$G$8, TRUE, FALSE)</f>
        <v>0</v>
      </c>
      <c r="R292" t="b">
        <f>IF(ROW()-ROW($R$1) &lt;= FILLME!$G$9, TRUE, FALSE)</f>
        <v>0</v>
      </c>
      <c r="S292" t="b">
        <f>IF(ROW()-ROW($S$1) &lt;= FILLME!$G$10, TRUE, FALSE)</f>
        <v>0</v>
      </c>
      <c r="T292" t="b">
        <f>IF(ROW()-ROW($T$1) &lt;= FILLME!$G$11, TRUE, FALSE)</f>
        <v>0</v>
      </c>
    </row>
    <row r="293" spans="1:20" x14ac:dyDescent="0.25">
      <c r="A293" s="7" t="str">
        <f>FILLME!$B$7</f>
        <v>ISCO</v>
      </c>
      <c r="B293" t="str">
        <f>IF(FILLME!$B$3 = "", "", FILLME!$B$3)</f>
        <v>WWS</v>
      </c>
      <c r="C293" t="str">
        <f>IF(FILLME!$B$4 = "", "", FILLME!$B$4)</f>
        <v>SSFLAT</v>
      </c>
      <c r="D293" s="7" t="str">
        <f ca="1">TEXT(FILLME!$B$6,"yyyymmdd")</f>
        <v>20260323</v>
      </c>
      <c r="E293" s="8"/>
      <c r="F293" s="7">
        <f ca="1">IF(FILLME!$B$7="ISCO",FILLME!$B$6+FILLME!$B$11+(FILLME!$B$13*(G293-FILLME!$B$14)),FILLME!$B$6)</f>
        <v>46104.25</v>
      </c>
      <c r="G293" s="8"/>
      <c r="H293" s="8"/>
      <c r="I293" s="2"/>
      <c r="J293" s="9" t="str">
        <f t="shared" si="12"/>
        <v>_00</v>
      </c>
      <c r="K293" s="10" t="str">
        <f t="shared" ca="1" si="13"/>
        <v>SSFLAT__20260323_00</v>
      </c>
      <c r="L293" s="10" t="str">
        <f t="shared" ca="1" si="14"/>
        <v>SSFLAT__20260323_0000</v>
      </c>
      <c r="M293" t="b">
        <f>IF(ROW()-ROW($M$1) &lt;= FILLME!$G$4, TRUE, FALSE)</f>
        <v>0</v>
      </c>
      <c r="N293" t="b">
        <f>IF(ROW()-ROW($N$1) &lt;= FILLME!$G$5, TRUE, FALSE)</f>
        <v>0</v>
      </c>
      <c r="O293" t="b">
        <f>IF(ROW()-ROW($O$1) &lt;= FILLME!$G$7, TRUE, FALSE)</f>
        <v>0</v>
      </c>
      <c r="P293" t="b">
        <f>IF(ROW()-ROW($P$1) &lt;= FILLME!$G$6, TRUE, FALSE)</f>
        <v>0</v>
      </c>
      <c r="Q293" t="b">
        <f>IF(ROW()-ROW($Q$1) &lt;= FILLME!$G$8, TRUE, FALSE)</f>
        <v>0</v>
      </c>
      <c r="R293" t="b">
        <f>IF(ROW()-ROW($R$1) &lt;= FILLME!$G$9, TRUE, FALSE)</f>
        <v>0</v>
      </c>
      <c r="S293" t="b">
        <f>IF(ROW()-ROW($S$1) &lt;= FILLME!$G$10, TRUE, FALSE)</f>
        <v>0</v>
      </c>
      <c r="T293" t="b">
        <f>IF(ROW()-ROW($T$1) &lt;= FILLME!$G$11, TRUE, FALSE)</f>
        <v>0</v>
      </c>
    </row>
    <row r="294" spans="1:20" x14ac:dyDescent="0.25">
      <c r="A294" s="7" t="str">
        <f>FILLME!$B$7</f>
        <v>ISCO</v>
      </c>
      <c r="B294" t="str">
        <f>IF(FILLME!$B$3 = "", "", FILLME!$B$3)</f>
        <v>WWS</v>
      </c>
      <c r="C294" t="str">
        <f>IF(FILLME!$B$4 = "", "", FILLME!$B$4)</f>
        <v>SSFLAT</v>
      </c>
      <c r="D294" s="7" t="str">
        <f ca="1">TEXT(FILLME!$B$6,"yyyymmdd")</f>
        <v>20260323</v>
      </c>
      <c r="E294" s="8"/>
      <c r="F294" s="7">
        <f ca="1">IF(FILLME!$B$7="ISCO",FILLME!$B$6+FILLME!$B$11+(FILLME!$B$13*(G294-FILLME!$B$14)),FILLME!$B$6)</f>
        <v>46104.25</v>
      </c>
      <c r="G294" s="8"/>
      <c r="H294" s="8"/>
      <c r="I294" s="2"/>
      <c r="J294" s="9" t="str">
        <f t="shared" si="12"/>
        <v>_00</v>
      </c>
      <c r="K294" s="10" t="str">
        <f t="shared" ca="1" si="13"/>
        <v>SSFLAT__20260323_00</v>
      </c>
      <c r="L294" s="10" t="str">
        <f t="shared" ca="1" si="14"/>
        <v>SSFLAT__20260323_0000</v>
      </c>
      <c r="M294" t="b">
        <f>IF(ROW()-ROW($M$1) &lt;= FILLME!$G$4, TRUE, FALSE)</f>
        <v>0</v>
      </c>
      <c r="N294" t="b">
        <f>IF(ROW()-ROW($N$1) &lt;= FILLME!$G$5, TRUE, FALSE)</f>
        <v>0</v>
      </c>
      <c r="O294" t="b">
        <f>IF(ROW()-ROW($O$1) &lt;= FILLME!$G$7, TRUE, FALSE)</f>
        <v>0</v>
      </c>
      <c r="P294" t="b">
        <f>IF(ROW()-ROW($P$1) &lt;= FILLME!$G$6, TRUE, FALSE)</f>
        <v>0</v>
      </c>
      <c r="Q294" t="b">
        <f>IF(ROW()-ROW($Q$1) &lt;= FILLME!$G$8, TRUE, FALSE)</f>
        <v>0</v>
      </c>
      <c r="R294" t="b">
        <f>IF(ROW()-ROW($R$1) &lt;= FILLME!$G$9, TRUE, FALSE)</f>
        <v>0</v>
      </c>
      <c r="S294" t="b">
        <f>IF(ROW()-ROW($S$1) &lt;= FILLME!$G$10, TRUE, FALSE)</f>
        <v>0</v>
      </c>
      <c r="T294" t="b">
        <f>IF(ROW()-ROW($T$1) &lt;= FILLME!$G$11, TRUE, FALSE)</f>
        <v>0</v>
      </c>
    </row>
    <row r="295" spans="1:20" x14ac:dyDescent="0.25">
      <c r="A295" s="7" t="str">
        <f>FILLME!$B$7</f>
        <v>ISCO</v>
      </c>
      <c r="B295" t="str">
        <f>IF(FILLME!$B$3 = "", "", FILLME!$B$3)</f>
        <v>WWS</v>
      </c>
      <c r="C295" t="str">
        <f>IF(FILLME!$B$4 = "", "", FILLME!$B$4)</f>
        <v>SSFLAT</v>
      </c>
      <c r="D295" s="7" t="str">
        <f ca="1">TEXT(FILLME!$B$6,"yyyymmdd")</f>
        <v>20260323</v>
      </c>
      <c r="E295" s="8"/>
      <c r="F295" s="7">
        <f ca="1">IF(FILLME!$B$7="ISCO",FILLME!$B$6+FILLME!$B$11+(FILLME!$B$13*(G295-FILLME!$B$14)),FILLME!$B$6)</f>
        <v>46104.25</v>
      </c>
      <c r="G295" s="8"/>
      <c r="H295" s="8"/>
      <c r="I295" s="2"/>
      <c r="J295" s="9" t="str">
        <f t="shared" si="12"/>
        <v>_00</v>
      </c>
      <c r="K295" s="10" t="str">
        <f t="shared" ca="1" si="13"/>
        <v>SSFLAT__20260323_00</v>
      </c>
      <c r="L295" s="10" t="str">
        <f t="shared" ca="1" si="14"/>
        <v>SSFLAT__20260323_0000</v>
      </c>
      <c r="M295" t="b">
        <f>IF(ROW()-ROW($M$1) &lt;= FILLME!$G$4, TRUE, FALSE)</f>
        <v>0</v>
      </c>
      <c r="N295" t="b">
        <f>IF(ROW()-ROW($N$1) &lt;= FILLME!$G$5, TRUE, FALSE)</f>
        <v>0</v>
      </c>
      <c r="O295" t="b">
        <f>IF(ROW()-ROW($O$1) &lt;= FILLME!$G$7, TRUE, FALSE)</f>
        <v>0</v>
      </c>
      <c r="P295" t="b">
        <f>IF(ROW()-ROW($P$1) &lt;= FILLME!$G$6, TRUE, FALSE)</f>
        <v>0</v>
      </c>
      <c r="Q295" t="b">
        <f>IF(ROW()-ROW($Q$1) &lt;= FILLME!$G$8, TRUE, FALSE)</f>
        <v>0</v>
      </c>
      <c r="R295" t="b">
        <f>IF(ROW()-ROW($R$1) &lt;= FILLME!$G$9, TRUE, FALSE)</f>
        <v>0</v>
      </c>
      <c r="S295" t="b">
        <f>IF(ROW()-ROW($S$1) &lt;= FILLME!$G$10, TRUE, FALSE)</f>
        <v>0</v>
      </c>
      <c r="T295" t="b">
        <f>IF(ROW()-ROW($T$1) &lt;= FILLME!$G$11, TRUE, FALSE)</f>
        <v>0</v>
      </c>
    </row>
    <row r="296" spans="1:20" x14ac:dyDescent="0.25">
      <c r="A296" s="7" t="str">
        <f>FILLME!$B$7</f>
        <v>ISCO</v>
      </c>
      <c r="B296" t="str">
        <f>IF(FILLME!$B$3 = "", "", FILLME!$B$3)</f>
        <v>WWS</v>
      </c>
      <c r="C296" t="str">
        <f>IF(FILLME!$B$4 = "", "", FILLME!$B$4)</f>
        <v>SSFLAT</v>
      </c>
      <c r="D296" s="7" t="str">
        <f ca="1">TEXT(FILLME!$B$6,"yyyymmdd")</f>
        <v>20260323</v>
      </c>
      <c r="E296" s="8"/>
      <c r="F296" s="7">
        <f ca="1">IF(FILLME!$B$7="ISCO",FILLME!$B$6+FILLME!$B$11+(FILLME!$B$13*(G296-FILLME!$B$14)),FILLME!$B$6)</f>
        <v>46104.25</v>
      </c>
      <c r="G296" s="8"/>
      <c r="H296" s="8"/>
      <c r="I296" s="2"/>
      <c r="J296" s="9" t="str">
        <f t="shared" si="12"/>
        <v>_00</v>
      </c>
      <c r="K296" s="10" t="str">
        <f t="shared" ca="1" si="13"/>
        <v>SSFLAT__20260323_00</v>
      </c>
      <c r="L296" s="10" t="str">
        <f t="shared" ca="1" si="14"/>
        <v>SSFLAT__20260323_0000</v>
      </c>
      <c r="M296" t="b">
        <f>IF(ROW()-ROW($M$1) &lt;= FILLME!$G$4, TRUE, FALSE)</f>
        <v>0</v>
      </c>
      <c r="N296" t="b">
        <f>IF(ROW()-ROW($N$1) &lt;= FILLME!$G$5, TRUE, FALSE)</f>
        <v>0</v>
      </c>
      <c r="O296" t="b">
        <f>IF(ROW()-ROW($O$1) &lt;= FILLME!$G$7, TRUE, FALSE)</f>
        <v>0</v>
      </c>
      <c r="P296" t="b">
        <f>IF(ROW()-ROW($P$1) &lt;= FILLME!$G$6, TRUE, FALSE)</f>
        <v>0</v>
      </c>
      <c r="Q296" t="b">
        <f>IF(ROW()-ROW($Q$1) &lt;= FILLME!$G$8, TRUE, FALSE)</f>
        <v>0</v>
      </c>
      <c r="R296" t="b">
        <f>IF(ROW()-ROW($R$1) &lt;= FILLME!$G$9, TRUE, FALSE)</f>
        <v>0</v>
      </c>
      <c r="S296" t="b">
        <f>IF(ROW()-ROW($S$1) &lt;= FILLME!$G$10, TRUE, FALSE)</f>
        <v>0</v>
      </c>
      <c r="T296" t="b">
        <f>IF(ROW()-ROW($T$1) &lt;= FILLME!$G$11, TRUE, FALSE)</f>
        <v>0</v>
      </c>
    </row>
    <row r="297" spans="1:20" x14ac:dyDescent="0.25">
      <c r="A297" s="7" t="str">
        <f>FILLME!$B$7</f>
        <v>ISCO</v>
      </c>
      <c r="B297" t="str">
        <f>IF(FILLME!$B$3 = "", "", FILLME!$B$3)</f>
        <v>WWS</v>
      </c>
      <c r="C297" t="str">
        <f>IF(FILLME!$B$4 = "", "", FILLME!$B$4)</f>
        <v>SSFLAT</v>
      </c>
      <c r="D297" s="7" t="str">
        <f ca="1">TEXT(FILLME!$B$6,"yyyymmdd")</f>
        <v>20260323</v>
      </c>
      <c r="E297" s="8"/>
      <c r="F297" s="7">
        <f ca="1">IF(FILLME!$B$7="ISCO",FILLME!$B$6+FILLME!$B$11+(FILLME!$B$13*(G297-FILLME!$B$14)),FILLME!$B$6)</f>
        <v>46104.25</v>
      </c>
      <c r="G297" s="8"/>
      <c r="H297" s="8"/>
      <c r="I297" s="2"/>
      <c r="J297" s="9" t="str">
        <f t="shared" si="12"/>
        <v>_00</v>
      </c>
      <c r="K297" s="10" t="str">
        <f t="shared" ca="1" si="13"/>
        <v>SSFLAT__20260323_00</v>
      </c>
      <c r="L297" s="10" t="str">
        <f t="shared" ca="1" si="14"/>
        <v>SSFLAT__20260323_0000</v>
      </c>
      <c r="M297" t="b">
        <f>IF(ROW()-ROW($M$1) &lt;= FILLME!$G$4, TRUE, FALSE)</f>
        <v>0</v>
      </c>
      <c r="N297" t="b">
        <f>IF(ROW()-ROW($N$1) &lt;= FILLME!$G$5, TRUE, FALSE)</f>
        <v>0</v>
      </c>
      <c r="O297" t="b">
        <f>IF(ROW()-ROW($O$1) &lt;= FILLME!$G$7, TRUE, FALSE)</f>
        <v>0</v>
      </c>
      <c r="P297" t="b">
        <f>IF(ROW()-ROW($P$1) &lt;= FILLME!$G$6, TRUE, FALSE)</f>
        <v>0</v>
      </c>
      <c r="Q297" t="b">
        <f>IF(ROW()-ROW($Q$1) &lt;= FILLME!$G$8, TRUE, FALSE)</f>
        <v>0</v>
      </c>
      <c r="R297" t="b">
        <f>IF(ROW()-ROW($R$1) &lt;= FILLME!$G$9, TRUE, FALSE)</f>
        <v>0</v>
      </c>
      <c r="S297" t="b">
        <f>IF(ROW()-ROW($S$1) &lt;= FILLME!$G$10, TRUE, FALSE)</f>
        <v>0</v>
      </c>
      <c r="T297" t="b">
        <f>IF(ROW()-ROW($T$1) &lt;= FILLME!$G$11, TRUE, FALSE)</f>
        <v>0</v>
      </c>
    </row>
    <row r="298" spans="1:20" x14ac:dyDescent="0.25">
      <c r="A298" s="7" t="str">
        <f>FILLME!$B$7</f>
        <v>ISCO</v>
      </c>
      <c r="B298" t="str">
        <f>IF(FILLME!$B$3 = "", "", FILLME!$B$3)</f>
        <v>WWS</v>
      </c>
      <c r="C298" t="str">
        <f>IF(FILLME!$B$4 = "", "", FILLME!$B$4)</f>
        <v>SSFLAT</v>
      </c>
      <c r="D298" s="7" t="str">
        <f ca="1">TEXT(FILLME!$B$6,"yyyymmdd")</f>
        <v>20260323</v>
      </c>
      <c r="E298" s="8"/>
      <c r="F298" s="7">
        <f ca="1">IF(FILLME!$B$7="ISCO",FILLME!$B$6+FILLME!$B$11+(FILLME!$B$13*(G298-FILLME!$B$14)),FILLME!$B$6)</f>
        <v>46104.25</v>
      </c>
      <c r="G298" s="8"/>
      <c r="H298" s="8"/>
      <c r="I298" s="2"/>
      <c r="J298" s="9" t="str">
        <f t="shared" si="12"/>
        <v>_00</v>
      </c>
      <c r="K298" s="10" t="str">
        <f t="shared" ca="1" si="13"/>
        <v>SSFLAT__20260323_00</v>
      </c>
      <c r="L298" s="10" t="str">
        <f t="shared" ca="1" si="14"/>
        <v>SSFLAT__20260323_0000</v>
      </c>
      <c r="M298" t="b">
        <f>IF(ROW()-ROW($M$1) &lt;= FILLME!$G$4, TRUE, FALSE)</f>
        <v>0</v>
      </c>
      <c r="N298" t="b">
        <f>IF(ROW()-ROW($N$1) &lt;= FILLME!$G$5, TRUE, FALSE)</f>
        <v>0</v>
      </c>
      <c r="O298" t="b">
        <f>IF(ROW()-ROW($O$1) &lt;= FILLME!$G$7, TRUE, FALSE)</f>
        <v>0</v>
      </c>
      <c r="P298" t="b">
        <f>IF(ROW()-ROW($P$1) &lt;= FILLME!$G$6, TRUE, FALSE)</f>
        <v>0</v>
      </c>
      <c r="Q298" t="b">
        <f>IF(ROW()-ROW($Q$1) &lt;= FILLME!$G$8, TRUE, FALSE)</f>
        <v>0</v>
      </c>
      <c r="R298" t="b">
        <f>IF(ROW()-ROW($R$1) &lt;= FILLME!$G$9, TRUE, FALSE)</f>
        <v>0</v>
      </c>
      <c r="S298" t="b">
        <f>IF(ROW()-ROW($S$1) &lt;= FILLME!$G$10, TRUE, FALSE)</f>
        <v>0</v>
      </c>
      <c r="T298" t="b">
        <f>IF(ROW()-ROW($T$1) &lt;= FILLME!$G$11, TRUE, FALSE)</f>
        <v>0</v>
      </c>
    </row>
    <row r="299" spans="1:20" x14ac:dyDescent="0.25">
      <c r="A299" s="7" t="str">
        <f>FILLME!$B$7</f>
        <v>ISCO</v>
      </c>
      <c r="B299" t="str">
        <f>IF(FILLME!$B$3 = "", "", FILLME!$B$3)</f>
        <v>WWS</v>
      </c>
      <c r="C299" t="str">
        <f>IF(FILLME!$B$4 = "", "", FILLME!$B$4)</f>
        <v>SSFLAT</v>
      </c>
      <c r="D299" s="7" t="str">
        <f ca="1">TEXT(FILLME!$B$6,"yyyymmdd")</f>
        <v>20260323</v>
      </c>
      <c r="E299" s="8"/>
      <c r="F299" s="7">
        <f ca="1">IF(FILLME!$B$7="ISCO",FILLME!$B$6+FILLME!$B$11+(FILLME!$B$13*(G299-FILLME!$B$14)),FILLME!$B$6)</f>
        <v>46104.25</v>
      </c>
      <c r="G299" s="8"/>
      <c r="H299" s="8"/>
      <c r="I299" s="2"/>
      <c r="J299" s="9" t="str">
        <f t="shared" si="12"/>
        <v>_00</v>
      </c>
      <c r="K299" s="10" t="str">
        <f t="shared" ca="1" si="13"/>
        <v>SSFLAT__20260323_00</v>
      </c>
      <c r="L299" s="10" t="str">
        <f t="shared" ca="1" si="14"/>
        <v>SSFLAT__20260323_0000</v>
      </c>
      <c r="M299" t="b">
        <f>IF(ROW()-ROW($M$1) &lt;= FILLME!$G$4, TRUE, FALSE)</f>
        <v>0</v>
      </c>
      <c r="N299" t="b">
        <f>IF(ROW()-ROW($N$1) &lt;= FILLME!$G$5, TRUE, FALSE)</f>
        <v>0</v>
      </c>
      <c r="O299" t="b">
        <f>IF(ROW()-ROW($O$1) &lt;= FILLME!$G$7, TRUE, FALSE)</f>
        <v>0</v>
      </c>
      <c r="P299" t="b">
        <f>IF(ROW()-ROW($P$1) &lt;= FILLME!$G$6, TRUE, FALSE)</f>
        <v>0</v>
      </c>
      <c r="Q299" t="b">
        <f>IF(ROW()-ROW($Q$1) &lt;= FILLME!$G$8, TRUE, FALSE)</f>
        <v>0</v>
      </c>
      <c r="R299" t="b">
        <f>IF(ROW()-ROW($R$1) &lt;= FILLME!$G$9, TRUE, FALSE)</f>
        <v>0</v>
      </c>
      <c r="S299" t="b">
        <f>IF(ROW()-ROW($S$1) &lt;= FILLME!$G$10, TRUE, FALSE)</f>
        <v>0</v>
      </c>
      <c r="T299" t="b">
        <f>IF(ROW()-ROW($T$1) &lt;= FILLME!$G$11, TRUE, FALSE)</f>
        <v>0</v>
      </c>
    </row>
    <row r="300" spans="1:20" x14ac:dyDescent="0.25">
      <c r="A300" s="7" t="str">
        <f>FILLME!$B$7</f>
        <v>ISCO</v>
      </c>
      <c r="B300" t="str">
        <f>IF(FILLME!$B$3 = "", "", FILLME!$B$3)</f>
        <v>WWS</v>
      </c>
      <c r="C300" t="str">
        <f>IF(FILLME!$B$4 = "", "", FILLME!$B$4)</f>
        <v>SSFLAT</v>
      </c>
      <c r="D300" s="7" t="str">
        <f ca="1">TEXT(FILLME!$B$6,"yyyymmdd")</f>
        <v>20260323</v>
      </c>
      <c r="E300" s="8"/>
      <c r="F300" s="7">
        <f ca="1">IF(FILLME!$B$7="ISCO",FILLME!$B$6+FILLME!$B$11+(FILLME!$B$13*(G300-FILLME!$B$14)),FILLME!$B$6)</f>
        <v>46104.25</v>
      </c>
      <c r="G300" s="8"/>
      <c r="H300" s="8"/>
      <c r="I300" s="2"/>
      <c r="J300" s="9" t="str">
        <f t="shared" si="12"/>
        <v>_00</v>
      </c>
      <c r="K300" s="10" t="str">
        <f t="shared" ca="1" si="13"/>
        <v>SSFLAT__20260323_00</v>
      </c>
      <c r="L300" s="10" t="str">
        <f t="shared" ca="1" si="14"/>
        <v>SSFLAT__20260323_0000</v>
      </c>
      <c r="M300" t="b">
        <f>IF(ROW()-ROW($M$1) &lt;= FILLME!$G$4, TRUE, FALSE)</f>
        <v>0</v>
      </c>
      <c r="N300" t="b">
        <f>IF(ROW()-ROW($N$1) &lt;= FILLME!$G$5, TRUE, FALSE)</f>
        <v>0</v>
      </c>
      <c r="O300" t="b">
        <f>IF(ROW()-ROW($O$1) &lt;= FILLME!$G$7, TRUE, FALSE)</f>
        <v>0</v>
      </c>
      <c r="P300" t="b">
        <f>IF(ROW()-ROW($P$1) &lt;= FILLME!$G$6, TRUE, FALSE)</f>
        <v>0</v>
      </c>
      <c r="Q300" t="b">
        <f>IF(ROW()-ROW($Q$1) &lt;= FILLME!$G$8, TRUE, FALSE)</f>
        <v>0</v>
      </c>
      <c r="R300" t="b">
        <f>IF(ROW()-ROW($R$1) &lt;= FILLME!$G$9, TRUE, FALSE)</f>
        <v>0</v>
      </c>
      <c r="S300" t="b">
        <f>IF(ROW()-ROW($S$1) &lt;= FILLME!$G$10, TRUE, FALSE)</f>
        <v>0</v>
      </c>
      <c r="T300" t="b">
        <f>IF(ROW()-ROW($T$1) &lt;= FILLME!$G$11, TRUE, FALSE)</f>
        <v>0</v>
      </c>
    </row>
    <row r="301" spans="1:20" x14ac:dyDescent="0.25">
      <c r="A301" s="7" t="str">
        <f>FILLME!$B$7</f>
        <v>ISCO</v>
      </c>
      <c r="B301" t="str">
        <f>IF(FILLME!$B$3 = "", "", FILLME!$B$3)</f>
        <v>WWS</v>
      </c>
      <c r="C301" t="str">
        <f>IF(FILLME!$B$4 = "", "", FILLME!$B$4)</f>
        <v>SSFLAT</v>
      </c>
      <c r="D301" s="7" t="str">
        <f ca="1">TEXT(FILLME!$B$6,"yyyymmdd")</f>
        <v>20260323</v>
      </c>
      <c r="E301" s="8"/>
      <c r="F301" s="7">
        <f ca="1">IF(FILLME!$B$7="ISCO",FILLME!$B$6+FILLME!$B$11+(FILLME!$B$13*(G301-FILLME!$B$14)),FILLME!$B$6)</f>
        <v>46104.25</v>
      </c>
      <c r="G301" s="8"/>
      <c r="H301" s="8"/>
      <c r="I301" s="2"/>
      <c r="J301" s="9" t="str">
        <f t="shared" si="12"/>
        <v>_00</v>
      </c>
      <c r="K301" s="10" t="str">
        <f t="shared" ca="1" si="13"/>
        <v>SSFLAT__20260323_00</v>
      </c>
      <c r="L301" s="10" t="str">
        <f t="shared" ca="1" si="14"/>
        <v>SSFLAT__20260323_0000</v>
      </c>
      <c r="M301" t="b">
        <f>IF(ROW()-ROW($M$1) &lt;= FILLME!$G$4, TRUE, FALSE)</f>
        <v>0</v>
      </c>
      <c r="N301" t="b">
        <f>IF(ROW()-ROW($N$1) &lt;= FILLME!$G$5, TRUE, FALSE)</f>
        <v>0</v>
      </c>
      <c r="O301" t="b">
        <f>IF(ROW()-ROW($O$1) &lt;= FILLME!$G$7, TRUE, FALSE)</f>
        <v>0</v>
      </c>
      <c r="P301" t="b">
        <f>IF(ROW()-ROW($P$1) &lt;= FILLME!$G$6, TRUE, FALSE)</f>
        <v>0</v>
      </c>
      <c r="Q301" t="b">
        <f>IF(ROW()-ROW($Q$1) &lt;= FILLME!$G$8, TRUE, FALSE)</f>
        <v>0</v>
      </c>
      <c r="R301" t="b">
        <f>IF(ROW()-ROW($R$1) &lt;= FILLME!$G$9, TRUE, FALSE)</f>
        <v>0</v>
      </c>
      <c r="S301" t="b">
        <f>IF(ROW()-ROW($S$1) &lt;= FILLME!$G$10, TRUE, FALSE)</f>
        <v>0</v>
      </c>
      <c r="T301" t="b">
        <f>IF(ROW()-ROW($T$1) &lt;= FILLME!$G$11, TRUE, FALSE)</f>
        <v>0</v>
      </c>
    </row>
    <row r="302" spans="1:20" x14ac:dyDescent="0.25">
      <c r="A302" s="7" t="str">
        <f>FILLME!$B$7</f>
        <v>ISCO</v>
      </c>
      <c r="B302" t="str">
        <f>IF(FILLME!$B$3 = "", "", FILLME!$B$3)</f>
        <v>WWS</v>
      </c>
      <c r="C302" t="str">
        <f>IF(FILLME!$B$4 = "", "", FILLME!$B$4)</f>
        <v>SSFLAT</v>
      </c>
      <c r="D302" s="7" t="str">
        <f ca="1">TEXT(FILLME!$B$6,"yyyymmdd")</f>
        <v>20260323</v>
      </c>
      <c r="E302" s="8"/>
      <c r="F302" s="7">
        <f ca="1">IF(FILLME!$B$7="ISCO",FILLME!$B$6+FILLME!$B$11+(FILLME!$B$13*(G302-FILLME!$B$14)),FILLME!$B$6)</f>
        <v>46104.25</v>
      </c>
      <c r="G302" s="8"/>
      <c r="H302" s="8"/>
      <c r="I302" s="2"/>
      <c r="J302" s="9" t="str">
        <f t="shared" si="12"/>
        <v>_00</v>
      </c>
      <c r="K302" s="10" t="str">
        <f t="shared" ca="1" si="13"/>
        <v>SSFLAT__20260323_00</v>
      </c>
      <c r="L302" s="10" t="str">
        <f t="shared" ca="1" si="14"/>
        <v>SSFLAT__20260323_0000</v>
      </c>
      <c r="M302" t="b">
        <f>IF(ROW()-ROW($M$1) &lt;= FILLME!$G$4, TRUE, FALSE)</f>
        <v>0</v>
      </c>
      <c r="N302" t="b">
        <f>IF(ROW()-ROW($N$1) &lt;= FILLME!$G$5, TRUE, FALSE)</f>
        <v>0</v>
      </c>
      <c r="O302" t="b">
        <f>IF(ROW()-ROW($O$1) &lt;= FILLME!$G$7, TRUE, FALSE)</f>
        <v>0</v>
      </c>
      <c r="P302" t="b">
        <f>IF(ROW()-ROW($P$1) &lt;= FILLME!$G$6, TRUE, FALSE)</f>
        <v>0</v>
      </c>
      <c r="Q302" t="b">
        <f>IF(ROW()-ROW($Q$1) &lt;= FILLME!$G$8, TRUE, FALSE)</f>
        <v>0</v>
      </c>
      <c r="R302" t="b">
        <f>IF(ROW()-ROW($R$1) &lt;= FILLME!$G$9, TRUE, FALSE)</f>
        <v>0</v>
      </c>
      <c r="S302" t="b">
        <f>IF(ROW()-ROW($S$1) &lt;= FILLME!$G$10, TRUE, FALSE)</f>
        <v>0</v>
      </c>
      <c r="T302" t="b">
        <f>IF(ROW()-ROW($T$1) &lt;= FILLME!$G$11, TRUE, FALSE)</f>
        <v>0</v>
      </c>
    </row>
    <row r="303" spans="1:20" x14ac:dyDescent="0.25">
      <c r="A303" s="7" t="str">
        <f>FILLME!$B$7</f>
        <v>ISCO</v>
      </c>
      <c r="B303" t="str">
        <f>IF(FILLME!$B$3 = "", "", FILLME!$B$3)</f>
        <v>WWS</v>
      </c>
      <c r="C303" t="str">
        <f>IF(FILLME!$B$4 = "", "", FILLME!$B$4)</f>
        <v>SSFLAT</v>
      </c>
      <c r="D303" s="7" t="str">
        <f ca="1">TEXT(FILLME!$B$6,"yyyymmdd")</f>
        <v>20260323</v>
      </c>
      <c r="E303" s="8"/>
      <c r="F303" s="7">
        <f ca="1">IF(FILLME!$B$7="ISCO",FILLME!$B$6+FILLME!$B$11+(FILLME!$B$13*(G303-FILLME!$B$14)),FILLME!$B$6)</f>
        <v>46104.25</v>
      </c>
      <c r="G303" s="8"/>
      <c r="H303" s="8"/>
      <c r="I303" s="2"/>
      <c r="J303" s="9" t="str">
        <f t="shared" si="12"/>
        <v>_00</v>
      </c>
      <c r="K303" s="10" t="str">
        <f t="shared" ca="1" si="13"/>
        <v>SSFLAT__20260323_00</v>
      </c>
      <c r="L303" s="10" t="str">
        <f t="shared" ca="1" si="14"/>
        <v>SSFLAT__20260323_0000</v>
      </c>
      <c r="M303" t="b">
        <f>IF(ROW()-ROW($M$1) &lt;= FILLME!$G$4, TRUE, FALSE)</f>
        <v>0</v>
      </c>
      <c r="N303" t="b">
        <f>IF(ROW()-ROW($N$1) &lt;= FILLME!$G$5, TRUE, FALSE)</f>
        <v>0</v>
      </c>
      <c r="O303" t="b">
        <f>IF(ROW()-ROW($O$1) &lt;= FILLME!$G$7, TRUE, FALSE)</f>
        <v>0</v>
      </c>
      <c r="P303" t="b">
        <f>IF(ROW()-ROW($P$1) &lt;= FILLME!$G$6, TRUE, FALSE)</f>
        <v>0</v>
      </c>
      <c r="Q303" t="b">
        <f>IF(ROW()-ROW($Q$1) &lt;= FILLME!$G$8, TRUE, FALSE)</f>
        <v>0</v>
      </c>
      <c r="R303" t="b">
        <f>IF(ROW()-ROW($R$1) &lt;= FILLME!$G$9, TRUE, FALSE)</f>
        <v>0</v>
      </c>
      <c r="S303" t="b">
        <f>IF(ROW()-ROW($S$1) &lt;= FILLME!$G$10, TRUE, FALSE)</f>
        <v>0</v>
      </c>
      <c r="T303" t="b">
        <f>IF(ROW()-ROW($T$1) &lt;= FILLME!$G$11, TRUE, FALSE)</f>
        <v>0</v>
      </c>
    </row>
    <row r="304" spans="1:20" x14ac:dyDescent="0.25">
      <c r="A304" s="7" t="str">
        <f>FILLME!$B$7</f>
        <v>ISCO</v>
      </c>
      <c r="B304" t="str">
        <f>IF(FILLME!$B$3 = "", "", FILLME!$B$3)</f>
        <v>WWS</v>
      </c>
      <c r="C304" t="str">
        <f>IF(FILLME!$B$4 = "", "", FILLME!$B$4)</f>
        <v>SSFLAT</v>
      </c>
      <c r="D304" s="7" t="str">
        <f ca="1">TEXT(FILLME!$B$6,"yyyymmdd")</f>
        <v>20260323</v>
      </c>
      <c r="E304" s="8"/>
      <c r="F304" s="7">
        <f ca="1">IF(FILLME!$B$7="ISCO",FILLME!$B$6+FILLME!$B$11+(FILLME!$B$13*(G304-FILLME!$B$14)),FILLME!$B$6)</f>
        <v>46104.25</v>
      </c>
      <c r="G304" s="8"/>
      <c r="H304" s="8"/>
      <c r="I304" s="2"/>
      <c r="J304" s="9" t="str">
        <f t="shared" si="12"/>
        <v>_00</v>
      </c>
      <c r="K304" s="10" t="str">
        <f t="shared" ca="1" si="13"/>
        <v>SSFLAT__20260323_00</v>
      </c>
      <c r="L304" s="10" t="str">
        <f t="shared" ca="1" si="14"/>
        <v>SSFLAT__20260323_0000</v>
      </c>
      <c r="M304" t="b">
        <f>IF(ROW()-ROW($M$1) &lt;= FILLME!$G$4, TRUE, FALSE)</f>
        <v>0</v>
      </c>
      <c r="N304" t="b">
        <f>IF(ROW()-ROW($N$1) &lt;= FILLME!$G$5, TRUE, FALSE)</f>
        <v>0</v>
      </c>
      <c r="O304" t="b">
        <f>IF(ROW()-ROW($O$1) &lt;= FILLME!$G$7, TRUE, FALSE)</f>
        <v>0</v>
      </c>
      <c r="P304" t="b">
        <f>IF(ROW()-ROW($P$1) &lt;= FILLME!$G$6, TRUE, FALSE)</f>
        <v>0</v>
      </c>
      <c r="Q304" t="b">
        <f>IF(ROW()-ROW($Q$1) &lt;= FILLME!$G$8, TRUE, FALSE)</f>
        <v>0</v>
      </c>
      <c r="R304" t="b">
        <f>IF(ROW()-ROW($R$1) &lt;= FILLME!$G$9, TRUE, FALSE)</f>
        <v>0</v>
      </c>
      <c r="S304" t="b">
        <f>IF(ROW()-ROW($S$1) &lt;= FILLME!$G$10, TRUE, FALSE)</f>
        <v>0</v>
      </c>
      <c r="T304" t="b">
        <f>IF(ROW()-ROW($T$1) &lt;= FILLME!$G$11, TRUE, FALSE)</f>
        <v>0</v>
      </c>
    </row>
    <row r="305" spans="1:20" x14ac:dyDescent="0.25">
      <c r="A305" s="7" t="str">
        <f>FILLME!$B$7</f>
        <v>ISCO</v>
      </c>
      <c r="B305" t="str">
        <f>IF(FILLME!$B$3 = "", "", FILLME!$B$3)</f>
        <v>WWS</v>
      </c>
      <c r="C305" t="str">
        <f>IF(FILLME!$B$4 = "", "", FILLME!$B$4)</f>
        <v>SSFLAT</v>
      </c>
      <c r="D305" s="7" t="str">
        <f ca="1">TEXT(FILLME!$B$6,"yyyymmdd")</f>
        <v>20260323</v>
      </c>
      <c r="E305" s="8"/>
      <c r="F305" s="7">
        <f ca="1">IF(FILLME!$B$7="ISCO",FILLME!$B$6+FILLME!$B$11+(FILLME!$B$13*(G305-FILLME!$B$14)),FILLME!$B$6)</f>
        <v>46104.25</v>
      </c>
      <c r="G305" s="8"/>
      <c r="H305" s="8"/>
      <c r="I305" s="2"/>
      <c r="J305" s="9" t="str">
        <f t="shared" si="12"/>
        <v>_00</v>
      </c>
      <c r="K305" s="10" t="str">
        <f t="shared" ca="1" si="13"/>
        <v>SSFLAT__20260323_00</v>
      </c>
      <c r="L305" s="10" t="str">
        <f t="shared" ca="1" si="14"/>
        <v>SSFLAT__20260323_0000</v>
      </c>
      <c r="M305" t="b">
        <f>IF(ROW()-ROW($M$1) &lt;= FILLME!$G$4, TRUE, FALSE)</f>
        <v>0</v>
      </c>
      <c r="N305" t="b">
        <f>IF(ROW()-ROW($N$1) &lt;= FILLME!$G$5, TRUE, FALSE)</f>
        <v>0</v>
      </c>
      <c r="O305" t="b">
        <f>IF(ROW()-ROW($O$1) &lt;= FILLME!$G$7, TRUE, FALSE)</f>
        <v>0</v>
      </c>
      <c r="P305" t="b">
        <f>IF(ROW()-ROW($P$1) &lt;= FILLME!$G$6, TRUE, FALSE)</f>
        <v>0</v>
      </c>
      <c r="Q305" t="b">
        <f>IF(ROW()-ROW($Q$1) &lt;= FILLME!$G$8, TRUE, FALSE)</f>
        <v>0</v>
      </c>
      <c r="R305" t="b">
        <f>IF(ROW()-ROW($R$1) &lt;= FILLME!$G$9, TRUE, FALSE)</f>
        <v>0</v>
      </c>
      <c r="S305" t="b">
        <f>IF(ROW()-ROW($S$1) &lt;= FILLME!$G$10, TRUE, FALSE)</f>
        <v>0</v>
      </c>
      <c r="T305" t="b">
        <f>IF(ROW()-ROW($T$1) &lt;= FILLME!$G$11, TRUE, FALSE)</f>
        <v>0</v>
      </c>
    </row>
    <row r="306" spans="1:20" x14ac:dyDescent="0.25">
      <c r="A306" s="7" t="str">
        <f>FILLME!$B$7</f>
        <v>ISCO</v>
      </c>
      <c r="B306" t="str">
        <f>IF(FILLME!$B$3 = "", "", FILLME!$B$3)</f>
        <v>WWS</v>
      </c>
      <c r="C306" t="str">
        <f>IF(FILLME!$B$4 = "", "", FILLME!$B$4)</f>
        <v>SSFLAT</v>
      </c>
      <c r="D306" s="7" t="str">
        <f ca="1">TEXT(FILLME!$B$6,"yyyymmdd")</f>
        <v>20260323</v>
      </c>
      <c r="E306" s="8"/>
      <c r="F306" s="7">
        <f ca="1">IF(FILLME!$B$7="ISCO",FILLME!$B$6+FILLME!$B$11+(FILLME!$B$13*(G306-FILLME!$B$14)),FILLME!$B$6)</f>
        <v>46104.25</v>
      </c>
      <c r="G306" s="8"/>
      <c r="H306" s="8"/>
      <c r="I306" s="2"/>
      <c r="J306" s="9" t="str">
        <f t="shared" si="12"/>
        <v>_00</v>
      </c>
      <c r="K306" s="10" t="str">
        <f t="shared" ca="1" si="13"/>
        <v>SSFLAT__20260323_00</v>
      </c>
      <c r="L306" s="10" t="str">
        <f t="shared" ca="1" si="14"/>
        <v>SSFLAT__20260323_0000</v>
      </c>
      <c r="M306" t="b">
        <f>IF(ROW()-ROW($M$1) &lt;= FILLME!$G$4, TRUE, FALSE)</f>
        <v>0</v>
      </c>
      <c r="N306" t="b">
        <f>IF(ROW()-ROW($N$1) &lt;= FILLME!$G$5, TRUE, FALSE)</f>
        <v>0</v>
      </c>
      <c r="O306" t="b">
        <f>IF(ROW()-ROW($O$1) &lt;= FILLME!$G$7, TRUE, FALSE)</f>
        <v>0</v>
      </c>
      <c r="P306" t="b">
        <f>IF(ROW()-ROW($P$1) &lt;= FILLME!$G$6, TRUE, FALSE)</f>
        <v>0</v>
      </c>
      <c r="Q306" t="b">
        <f>IF(ROW()-ROW($Q$1) &lt;= FILLME!$G$8, TRUE, FALSE)</f>
        <v>0</v>
      </c>
      <c r="R306" t="b">
        <f>IF(ROW()-ROW($R$1) &lt;= FILLME!$G$9, TRUE, FALSE)</f>
        <v>0</v>
      </c>
      <c r="S306" t="b">
        <f>IF(ROW()-ROW($S$1) &lt;= FILLME!$G$10, TRUE, FALSE)</f>
        <v>0</v>
      </c>
      <c r="T306" t="b">
        <f>IF(ROW()-ROW($T$1) &lt;= FILLME!$G$11, TRUE, FALSE)</f>
        <v>0</v>
      </c>
    </row>
    <row r="307" spans="1:20" x14ac:dyDescent="0.25">
      <c r="A307" s="7" t="str">
        <f>FILLME!$B$7</f>
        <v>ISCO</v>
      </c>
      <c r="B307" t="str">
        <f>IF(FILLME!$B$3 = "", "", FILLME!$B$3)</f>
        <v>WWS</v>
      </c>
      <c r="C307" t="str">
        <f>IF(FILLME!$B$4 = "", "", FILLME!$B$4)</f>
        <v>SSFLAT</v>
      </c>
      <c r="D307" s="7" t="str">
        <f ca="1">TEXT(FILLME!$B$6,"yyyymmdd")</f>
        <v>20260323</v>
      </c>
      <c r="E307" s="8"/>
      <c r="F307" s="7">
        <f ca="1">IF(FILLME!$B$7="ISCO",FILLME!$B$6+FILLME!$B$11+(FILLME!$B$13*(G307-FILLME!$B$14)),FILLME!$B$6)</f>
        <v>46104.25</v>
      </c>
      <c r="G307" s="8"/>
      <c r="H307" s="8"/>
      <c r="I307" s="2"/>
      <c r="J307" s="9" t="str">
        <f t="shared" si="12"/>
        <v>_00</v>
      </c>
      <c r="K307" s="10" t="str">
        <f t="shared" ca="1" si="13"/>
        <v>SSFLAT__20260323_00</v>
      </c>
      <c r="L307" s="10" t="str">
        <f t="shared" ca="1" si="14"/>
        <v>SSFLAT__20260323_0000</v>
      </c>
      <c r="M307" t="b">
        <f>IF(ROW()-ROW($M$1) &lt;= FILLME!$G$4, TRUE, FALSE)</f>
        <v>0</v>
      </c>
      <c r="N307" t="b">
        <f>IF(ROW()-ROW($N$1) &lt;= FILLME!$G$5, TRUE, FALSE)</f>
        <v>0</v>
      </c>
      <c r="O307" t="b">
        <f>IF(ROW()-ROW($O$1) &lt;= FILLME!$G$7, TRUE, FALSE)</f>
        <v>0</v>
      </c>
      <c r="P307" t="b">
        <f>IF(ROW()-ROW($P$1) &lt;= FILLME!$G$6, TRUE, FALSE)</f>
        <v>0</v>
      </c>
      <c r="Q307" t="b">
        <f>IF(ROW()-ROW($Q$1) &lt;= FILLME!$G$8, TRUE, FALSE)</f>
        <v>0</v>
      </c>
      <c r="R307" t="b">
        <f>IF(ROW()-ROW($R$1) &lt;= FILLME!$G$9, TRUE, FALSE)</f>
        <v>0</v>
      </c>
      <c r="S307" t="b">
        <f>IF(ROW()-ROW($S$1) &lt;= FILLME!$G$10, TRUE, FALSE)</f>
        <v>0</v>
      </c>
      <c r="T307" t="b">
        <f>IF(ROW()-ROW($T$1) &lt;= FILLME!$G$11, TRUE, FALSE)</f>
        <v>0</v>
      </c>
    </row>
    <row r="308" spans="1:20" x14ac:dyDescent="0.25">
      <c r="A308" s="7" t="str">
        <f>FILLME!$B$7</f>
        <v>ISCO</v>
      </c>
      <c r="B308" t="str">
        <f>IF(FILLME!$B$3 = "", "", FILLME!$B$3)</f>
        <v>WWS</v>
      </c>
      <c r="C308" t="str">
        <f>IF(FILLME!$B$4 = "", "", FILLME!$B$4)</f>
        <v>SSFLAT</v>
      </c>
      <c r="D308" s="7" t="str">
        <f ca="1">TEXT(FILLME!$B$6,"yyyymmdd")</f>
        <v>20260323</v>
      </c>
      <c r="E308" s="8"/>
      <c r="F308" s="7">
        <f ca="1">IF(FILLME!$B$7="ISCO",FILLME!$B$6+FILLME!$B$11+(FILLME!$B$13*(G308-FILLME!$B$14)),FILLME!$B$6)</f>
        <v>46104.25</v>
      </c>
      <c r="G308" s="8"/>
      <c r="H308" s="8"/>
      <c r="I308" s="2"/>
      <c r="J308" s="9" t="str">
        <f t="shared" si="12"/>
        <v>_00</v>
      </c>
      <c r="K308" s="10" t="str">
        <f t="shared" ca="1" si="13"/>
        <v>SSFLAT__20260323_00</v>
      </c>
      <c r="L308" s="10" t="str">
        <f t="shared" ca="1" si="14"/>
        <v>SSFLAT__20260323_0000</v>
      </c>
      <c r="M308" t="b">
        <f>IF(ROW()-ROW($M$1) &lt;= FILLME!$G$4, TRUE, FALSE)</f>
        <v>0</v>
      </c>
      <c r="N308" t="b">
        <f>IF(ROW()-ROW($N$1) &lt;= FILLME!$G$5, TRUE, FALSE)</f>
        <v>0</v>
      </c>
      <c r="O308" t="b">
        <f>IF(ROW()-ROW($O$1) &lt;= FILLME!$G$7, TRUE, FALSE)</f>
        <v>0</v>
      </c>
      <c r="P308" t="b">
        <f>IF(ROW()-ROW($P$1) &lt;= FILLME!$G$6, TRUE, FALSE)</f>
        <v>0</v>
      </c>
      <c r="Q308" t="b">
        <f>IF(ROW()-ROW($Q$1) &lt;= FILLME!$G$8, TRUE, FALSE)</f>
        <v>0</v>
      </c>
      <c r="R308" t="b">
        <f>IF(ROW()-ROW($R$1) &lt;= FILLME!$G$9, TRUE, FALSE)</f>
        <v>0</v>
      </c>
      <c r="S308" t="b">
        <f>IF(ROW()-ROW($S$1) &lt;= FILLME!$G$10, TRUE, FALSE)</f>
        <v>0</v>
      </c>
      <c r="T308" t="b">
        <f>IF(ROW()-ROW($T$1) &lt;= FILLME!$G$11, TRUE, FALSE)</f>
        <v>0</v>
      </c>
    </row>
    <row r="309" spans="1:20" x14ac:dyDescent="0.25">
      <c r="A309" s="7" t="str">
        <f>FILLME!$B$7</f>
        <v>ISCO</v>
      </c>
      <c r="B309" t="str">
        <f>IF(FILLME!$B$3 = "", "", FILLME!$B$3)</f>
        <v>WWS</v>
      </c>
      <c r="C309" t="str">
        <f>IF(FILLME!$B$4 = "", "", FILLME!$B$4)</f>
        <v>SSFLAT</v>
      </c>
      <c r="D309" s="7" t="str">
        <f ca="1">TEXT(FILLME!$B$6,"yyyymmdd")</f>
        <v>20260323</v>
      </c>
      <c r="E309" s="8"/>
      <c r="F309" s="7">
        <f ca="1">IF(FILLME!$B$7="ISCO",FILLME!$B$6+FILLME!$B$11+(FILLME!$B$13*(G309-FILLME!$B$14)),FILLME!$B$6)</f>
        <v>46104.25</v>
      </c>
      <c r="G309" s="8"/>
      <c r="H309" s="8"/>
      <c r="I309" s="2"/>
      <c r="J309" s="9" t="str">
        <f t="shared" si="12"/>
        <v>_00</v>
      </c>
      <c r="K309" s="10" t="str">
        <f t="shared" ca="1" si="13"/>
        <v>SSFLAT__20260323_00</v>
      </c>
      <c r="L309" s="10" t="str">
        <f t="shared" ca="1" si="14"/>
        <v>SSFLAT__20260323_0000</v>
      </c>
      <c r="M309" t="b">
        <f>IF(ROW()-ROW($M$1) &lt;= FILLME!$G$4, TRUE, FALSE)</f>
        <v>0</v>
      </c>
      <c r="N309" t="b">
        <f>IF(ROW()-ROW($N$1) &lt;= FILLME!$G$5, TRUE, FALSE)</f>
        <v>0</v>
      </c>
      <c r="O309" t="b">
        <f>IF(ROW()-ROW($O$1) &lt;= FILLME!$G$7, TRUE, FALSE)</f>
        <v>0</v>
      </c>
      <c r="P309" t="b">
        <f>IF(ROW()-ROW($P$1) &lt;= FILLME!$G$6, TRUE, FALSE)</f>
        <v>0</v>
      </c>
      <c r="Q309" t="b">
        <f>IF(ROW()-ROW($Q$1) &lt;= FILLME!$G$8, TRUE, FALSE)</f>
        <v>0</v>
      </c>
      <c r="R309" t="b">
        <f>IF(ROW()-ROW($R$1) &lt;= FILLME!$G$9, TRUE, FALSE)</f>
        <v>0</v>
      </c>
      <c r="S309" t="b">
        <f>IF(ROW()-ROW($S$1) &lt;= FILLME!$G$10, TRUE, FALSE)</f>
        <v>0</v>
      </c>
      <c r="T309" t="b">
        <f>IF(ROW()-ROW($T$1) &lt;= FILLME!$G$11, TRUE, FALSE)</f>
        <v>0</v>
      </c>
    </row>
    <row r="310" spans="1:20" x14ac:dyDescent="0.25">
      <c r="A310" s="7" t="str">
        <f>FILLME!$B$7</f>
        <v>ISCO</v>
      </c>
      <c r="B310" t="str">
        <f>IF(FILLME!$B$3 = "", "", FILLME!$B$3)</f>
        <v>WWS</v>
      </c>
      <c r="C310" t="str">
        <f>IF(FILLME!$B$4 = "", "", FILLME!$B$4)</f>
        <v>SSFLAT</v>
      </c>
      <c r="D310" s="7" t="str">
        <f ca="1">TEXT(FILLME!$B$6,"yyyymmdd")</f>
        <v>20260323</v>
      </c>
      <c r="E310" s="8"/>
      <c r="F310" s="7">
        <f ca="1">IF(FILLME!$B$7="ISCO",FILLME!$B$6+FILLME!$B$11+(FILLME!$B$13*(G310-FILLME!$B$14)),FILLME!$B$6)</f>
        <v>46104.25</v>
      </c>
      <c r="G310" s="8"/>
      <c r="H310" s="8"/>
      <c r="I310" s="2"/>
      <c r="J310" s="9" t="str">
        <f t="shared" si="12"/>
        <v>_00</v>
      </c>
      <c r="K310" s="10" t="str">
        <f t="shared" ca="1" si="13"/>
        <v>SSFLAT__20260323_00</v>
      </c>
      <c r="L310" s="10" t="str">
        <f t="shared" ca="1" si="14"/>
        <v>SSFLAT__20260323_0000</v>
      </c>
      <c r="M310" t="b">
        <f>IF(ROW()-ROW($M$1) &lt;= FILLME!$G$4, TRUE, FALSE)</f>
        <v>0</v>
      </c>
      <c r="N310" t="b">
        <f>IF(ROW()-ROW($N$1) &lt;= FILLME!$G$5, TRUE, FALSE)</f>
        <v>0</v>
      </c>
      <c r="O310" t="b">
        <f>IF(ROW()-ROW($O$1) &lt;= FILLME!$G$7, TRUE, FALSE)</f>
        <v>0</v>
      </c>
      <c r="P310" t="b">
        <f>IF(ROW()-ROW($P$1) &lt;= FILLME!$G$6, TRUE, FALSE)</f>
        <v>0</v>
      </c>
      <c r="Q310" t="b">
        <f>IF(ROW()-ROW($Q$1) &lt;= FILLME!$G$8, TRUE, FALSE)</f>
        <v>0</v>
      </c>
      <c r="R310" t="b">
        <f>IF(ROW()-ROW($R$1) &lt;= FILLME!$G$9, TRUE, FALSE)</f>
        <v>0</v>
      </c>
      <c r="S310" t="b">
        <f>IF(ROW()-ROW($S$1) &lt;= FILLME!$G$10, TRUE, FALSE)</f>
        <v>0</v>
      </c>
      <c r="T310" t="b">
        <f>IF(ROW()-ROW($T$1) &lt;= FILLME!$G$11, TRUE, FALSE)</f>
        <v>0</v>
      </c>
    </row>
    <row r="311" spans="1:20" x14ac:dyDescent="0.25">
      <c r="A311" s="7" t="str">
        <f>FILLME!$B$7</f>
        <v>ISCO</v>
      </c>
      <c r="B311" t="str">
        <f>IF(FILLME!$B$3 = "", "", FILLME!$B$3)</f>
        <v>WWS</v>
      </c>
      <c r="C311" t="str">
        <f>IF(FILLME!$B$4 = "", "", FILLME!$B$4)</f>
        <v>SSFLAT</v>
      </c>
      <c r="D311" s="7" t="str">
        <f ca="1">TEXT(FILLME!$B$6,"yyyymmdd")</f>
        <v>20260323</v>
      </c>
      <c r="E311" s="8"/>
      <c r="F311" s="7">
        <f ca="1">IF(FILLME!$B$7="ISCO",FILLME!$B$6+FILLME!$B$11+(FILLME!$B$13*(G311-FILLME!$B$14)),FILLME!$B$6)</f>
        <v>46104.25</v>
      </c>
      <c r="G311" s="8"/>
      <c r="H311" s="8"/>
      <c r="I311" s="2"/>
      <c r="J311" s="9" t="str">
        <f t="shared" si="12"/>
        <v>_00</v>
      </c>
      <c r="K311" s="10" t="str">
        <f t="shared" ca="1" si="13"/>
        <v>SSFLAT__20260323_00</v>
      </c>
      <c r="L311" s="10" t="str">
        <f t="shared" ca="1" si="14"/>
        <v>SSFLAT__20260323_0000</v>
      </c>
      <c r="M311" t="b">
        <f>IF(ROW()-ROW($M$1) &lt;= FILLME!$G$4, TRUE, FALSE)</f>
        <v>0</v>
      </c>
      <c r="N311" t="b">
        <f>IF(ROW()-ROW($N$1) &lt;= FILLME!$G$5, TRUE, FALSE)</f>
        <v>0</v>
      </c>
      <c r="O311" t="b">
        <f>IF(ROW()-ROW($O$1) &lt;= FILLME!$G$7, TRUE, FALSE)</f>
        <v>0</v>
      </c>
      <c r="P311" t="b">
        <f>IF(ROW()-ROW($P$1) &lt;= FILLME!$G$6, TRUE, FALSE)</f>
        <v>0</v>
      </c>
      <c r="Q311" t="b">
        <f>IF(ROW()-ROW($Q$1) &lt;= FILLME!$G$8, TRUE, FALSE)</f>
        <v>0</v>
      </c>
      <c r="R311" t="b">
        <f>IF(ROW()-ROW($R$1) &lt;= FILLME!$G$9, TRUE, FALSE)</f>
        <v>0</v>
      </c>
      <c r="S311" t="b">
        <f>IF(ROW()-ROW($S$1) &lt;= FILLME!$G$10, TRUE, FALSE)</f>
        <v>0</v>
      </c>
      <c r="T311" t="b">
        <f>IF(ROW()-ROW($T$1) &lt;= FILLME!$G$11, TRUE, FALSE)</f>
        <v>0</v>
      </c>
    </row>
    <row r="312" spans="1:20" x14ac:dyDescent="0.25">
      <c r="A312" s="7" t="str">
        <f>FILLME!$B$7</f>
        <v>ISCO</v>
      </c>
      <c r="B312" t="str">
        <f>IF(FILLME!$B$3 = "", "", FILLME!$B$3)</f>
        <v>WWS</v>
      </c>
      <c r="C312" t="str">
        <f>IF(FILLME!$B$4 = "", "", FILLME!$B$4)</f>
        <v>SSFLAT</v>
      </c>
      <c r="D312" s="7" t="str">
        <f ca="1">TEXT(FILLME!$B$6,"yyyymmdd")</f>
        <v>20260323</v>
      </c>
      <c r="E312" s="8"/>
      <c r="F312" s="7">
        <f ca="1">IF(FILLME!$B$7="ISCO",FILLME!$B$6+FILLME!$B$11+(FILLME!$B$13*(G312-FILLME!$B$14)),FILLME!$B$6)</f>
        <v>46104.25</v>
      </c>
      <c r="G312" s="8"/>
      <c r="H312" s="8"/>
      <c r="I312" s="2"/>
      <c r="J312" s="9" t="str">
        <f t="shared" si="12"/>
        <v>_00</v>
      </c>
      <c r="K312" s="10" t="str">
        <f t="shared" ca="1" si="13"/>
        <v>SSFLAT__20260323_00</v>
      </c>
      <c r="L312" s="10" t="str">
        <f t="shared" ca="1" si="14"/>
        <v>SSFLAT__20260323_0000</v>
      </c>
      <c r="M312" t="b">
        <f>IF(ROW()-ROW($M$1) &lt;= FILLME!$G$4, TRUE, FALSE)</f>
        <v>0</v>
      </c>
      <c r="N312" t="b">
        <f>IF(ROW()-ROW($N$1) &lt;= FILLME!$G$5, TRUE, FALSE)</f>
        <v>0</v>
      </c>
      <c r="O312" t="b">
        <f>IF(ROW()-ROW($O$1) &lt;= FILLME!$G$7, TRUE, FALSE)</f>
        <v>0</v>
      </c>
      <c r="P312" t="b">
        <f>IF(ROW()-ROW($P$1) &lt;= FILLME!$G$6, TRUE, FALSE)</f>
        <v>0</v>
      </c>
      <c r="Q312" t="b">
        <f>IF(ROW()-ROW($Q$1) &lt;= FILLME!$G$8, TRUE, FALSE)</f>
        <v>0</v>
      </c>
      <c r="R312" t="b">
        <f>IF(ROW()-ROW($R$1) &lt;= FILLME!$G$9, TRUE, FALSE)</f>
        <v>0</v>
      </c>
      <c r="S312" t="b">
        <f>IF(ROW()-ROW($S$1) &lt;= FILLME!$G$10, TRUE, FALSE)</f>
        <v>0</v>
      </c>
      <c r="T312" t="b">
        <f>IF(ROW()-ROW($T$1) &lt;= FILLME!$G$11, TRUE, FALSE)</f>
        <v>0</v>
      </c>
    </row>
    <row r="313" spans="1:20" x14ac:dyDescent="0.25">
      <c r="A313" s="7" t="str">
        <f>FILLME!$B$7</f>
        <v>ISCO</v>
      </c>
      <c r="B313" t="str">
        <f>IF(FILLME!$B$3 = "", "", FILLME!$B$3)</f>
        <v>WWS</v>
      </c>
      <c r="C313" t="str">
        <f>IF(FILLME!$B$4 = "", "", FILLME!$B$4)</f>
        <v>SSFLAT</v>
      </c>
      <c r="D313" s="7" t="str">
        <f ca="1">TEXT(FILLME!$B$6,"yyyymmdd")</f>
        <v>20260323</v>
      </c>
      <c r="E313" s="8"/>
      <c r="F313" s="7">
        <f ca="1">IF(FILLME!$B$7="ISCO",FILLME!$B$6+FILLME!$B$11+(FILLME!$B$13*(G313-FILLME!$B$14)),FILLME!$B$6)</f>
        <v>46104.25</v>
      </c>
      <c r="G313" s="8"/>
      <c r="H313" s="8"/>
      <c r="I313" s="2"/>
      <c r="J313" s="9" t="str">
        <f t="shared" si="12"/>
        <v>_00</v>
      </c>
      <c r="K313" s="10" t="str">
        <f t="shared" ca="1" si="13"/>
        <v>SSFLAT__20260323_00</v>
      </c>
      <c r="L313" s="10" t="str">
        <f t="shared" ca="1" si="14"/>
        <v>SSFLAT__20260323_0000</v>
      </c>
      <c r="M313" t="b">
        <f>IF(ROW()-ROW($M$1) &lt;= FILLME!$G$4, TRUE, FALSE)</f>
        <v>0</v>
      </c>
      <c r="N313" t="b">
        <f>IF(ROW()-ROW($N$1) &lt;= FILLME!$G$5, TRUE, FALSE)</f>
        <v>0</v>
      </c>
      <c r="O313" t="b">
        <f>IF(ROW()-ROW($O$1) &lt;= FILLME!$G$7, TRUE, FALSE)</f>
        <v>0</v>
      </c>
      <c r="P313" t="b">
        <f>IF(ROW()-ROW($P$1) &lt;= FILLME!$G$6, TRUE, FALSE)</f>
        <v>0</v>
      </c>
      <c r="Q313" t="b">
        <f>IF(ROW()-ROW($Q$1) &lt;= FILLME!$G$8, TRUE, FALSE)</f>
        <v>0</v>
      </c>
      <c r="R313" t="b">
        <f>IF(ROW()-ROW($R$1) &lt;= FILLME!$G$9, TRUE, FALSE)</f>
        <v>0</v>
      </c>
      <c r="S313" t="b">
        <f>IF(ROW()-ROW($S$1) &lt;= FILLME!$G$10, TRUE, FALSE)</f>
        <v>0</v>
      </c>
      <c r="T313" t="b">
        <f>IF(ROW()-ROW($T$1) &lt;= FILLME!$G$11, TRUE, FALSE)</f>
        <v>0</v>
      </c>
    </row>
    <row r="314" spans="1:20" x14ac:dyDescent="0.25">
      <c r="A314" s="7" t="str">
        <f>FILLME!$B$7</f>
        <v>ISCO</v>
      </c>
      <c r="B314" t="str">
        <f>IF(FILLME!$B$3 = "", "", FILLME!$B$3)</f>
        <v>WWS</v>
      </c>
      <c r="C314" t="str">
        <f>IF(FILLME!$B$4 = "", "", FILLME!$B$4)</f>
        <v>SSFLAT</v>
      </c>
      <c r="D314" s="7" t="str">
        <f ca="1">TEXT(FILLME!$B$6,"yyyymmdd")</f>
        <v>20260323</v>
      </c>
      <c r="E314" s="8"/>
      <c r="F314" s="7">
        <f ca="1">IF(FILLME!$B$7="ISCO",FILLME!$B$6+FILLME!$B$11+(FILLME!$B$13*(G314-FILLME!$B$14)),FILLME!$B$6)</f>
        <v>46104.25</v>
      </c>
      <c r="G314" s="8"/>
      <c r="H314" s="8"/>
      <c r="I314" s="2"/>
      <c r="J314" s="9" t="str">
        <f t="shared" si="12"/>
        <v>_00</v>
      </c>
      <c r="K314" s="10" t="str">
        <f t="shared" ca="1" si="13"/>
        <v>SSFLAT__20260323_00</v>
      </c>
      <c r="L314" s="10" t="str">
        <f t="shared" ca="1" si="14"/>
        <v>SSFLAT__20260323_0000</v>
      </c>
      <c r="M314" t="b">
        <f>IF(ROW()-ROW($M$1) &lt;= FILLME!$G$4, TRUE, FALSE)</f>
        <v>0</v>
      </c>
      <c r="N314" t="b">
        <f>IF(ROW()-ROW($N$1) &lt;= FILLME!$G$5, TRUE, FALSE)</f>
        <v>0</v>
      </c>
      <c r="O314" t="b">
        <f>IF(ROW()-ROW($O$1) &lt;= FILLME!$G$7, TRUE, FALSE)</f>
        <v>0</v>
      </c>
      <c r="P314" t="b">
        <f>IF(ROW()-ROW($P$1) &lt;= FILLME!$G$6, TRUE, FALSE)</f>
        <v>0</v>
      </c>
      <c r="Q314" t="b">
        <f>IF(ROW()-ROW($Q$1) &lt;= FILLME!$G$8, TRUE, FALSE)</f>
        <v>0</v>
      </c>
      <c r="R314" t="b">
        <f>IF(ROW()-ROW($R$1) &lt;= FILLME!$G$9, TRUE, FALSE)</f>
        <v>0</v>
      </c>
      <c r="S314" t="b">
        <f>IF(ROW()-ROW($S$1) &lt;= FILLME!$G$10, TRUE, FALSE)</f>
        <v>0</v>
      </c>
      <c r="T314" t="b">
        <f>IF(ROW()-ROW($T$1) &lt;= FILLME!$G$11, TRUE, FALSE)</f>
        <v>0</v>
      </c>
    </row>
    <row r="315" spans="1:20" x14ac:dyDescent="0.25">
      <c r="A315" s="7" t="str">
        <f>FILLME!$B$7</f>
        <v>ISCO</v>
      </c>
      <c r="B315" t="str">
        <f>IF(FILLME!$B$3 = "", "", FILLME!$B$3)</f>
        <v>WWS</v>
      </c>
      <c r="C315" t="str">
        <f>IF(FILLME!$B$4 = "", "", FILLME!$B$4)</f>
        <v>SSFLAT</v>
      </c>
      <c r="D315" s="7" t="str">
        <f ca="1">TEXT(FILLME!$B$6,"yyyymmdd")</f>
        <v>20260323</v>
      </c>
      <c r="E315" s="8"/>
      <c r="F315" s="7">
        <f ca="1">IF(FILLME!$B$7="ISCO",FILLME!$B$6+FILLME!$B$11+(FILLME!$B$13*(G315-FILLME!$B$14)),FILLME!$B$6)</f>
        <v>46104.25</v>
      </c>
      <c r="G315" s="8"/>
      <c r="H315" s="8"/>
      <c r="I315" s="2"/>
      <c r="J315" s="9" t="str">
        <f t="shared" si="12"/>
        <v>_00</v>
      </c>
      <c r="K315" s="10" t="str">
        <f t="shared" ca="1" si="13"/>
        <v>SSFLAT__20260323_00</v>
      </c>
      <c r="L315" s="10" t="str">
        <f t="shared" ca="1" si="14"/>
        <v>SSFLAT__20260323_0000</v>
      </c>
      <c r="M315" t="b">
        <f>IF(ROW()-ROW($M$1) &lt;= FILLME!$G$4, TRUE, FALSE)</f>
        <v>0</v>
      </c>
      <c r="N315" t="b">
        <f>IF(ROW()-ROW($N$1) &lt;= FILLME!$G$5, TRUE, FALSE)</f>
        <v>0</v>
      </c>
      <c r="O315" t="b">
        <f>IF(ROW()-ROW($O$1) &lt;= FILLME!$G$7, TRUE, FALSE)</f>
        <v>0</v>
      </c>
      <c r="P315" t="b">
        <f>IF(ROW()-ROW($P$1) &lt;= FILLME!$G$6, TRUE, FALSE)</f>
        <v>0</v>
      </c>
      <c r="Q315" t="b">
        <f>IF(ROW()-ROW($Q$1) &lt;= FILLME!$G$8, TRUE, FALSE)</f>
        <v>0</v>
      </c>
      <c r="R315" t="b">
        <f>IF(ROW()-ROW($R$1) &lt;= FILLME!$G$9, TRUE, FALSE)</f>
        <v>0</v>
      </c>
      <c r="S315" t="b">
        <f>IF(ROW()-ROW($S$1) &lt;= FILLME!$G$10, TRUE, FALSE)</f>
        <v>0</v>
      </c>
      <c r="T315" t="b">
        <f>IF(ROW()-ROW($T$1) &lt;= FILLME!$G$11, TRUE, FALSE)</f>
        <v>0</v>
      </c>
    </row>
    <row r="316" spans="1:20" x14ac:dyDescent="0.25">
      <c r="A316" s="7" t="str">
        <f>FILLME!$B$7</f>
        <v>ISCO</v>
      </c>
      <c r="B316" t="str">
        <f>IF(FILLME!$B$3 = "", "", FILLME!$B$3)</f>
        <v>WWS</v>
      </c>
      <c r="C316" t="str">
        <f>IF(FILLME!$B$4 = "", "", FILLME!$B$4)</f>
        <v>SSFLAT</v>
      </c>
      <c r="D316" s="7" t="str">
        <f ca="1">TEXT(FILLME!$B$6,"yyyymmdd")</f>
        <v>20260323</v>
      </c>
      <c r="E316" s="8"/>
      <c r="F316" s="7">
        <f ca="1">IF(FILLME!$B$7="ISCO",FILLME!$B$6+FILLME!$B$11+(FILLME!$B$13*(G316-FILLME!$B$14)),FILLME!$B$6)</f>
        <v>46104.25</v>
      </c>
      <c r="G316" s="8"/>
      <c r="H316" s="8"/>
      <c r="I316" s="2"/>
      <c r="J316" s="9" t="str">
        <f t="shared" si="12"/>
        <v>_00</v>
      </c>
      <c r="K316" s="10" t="str">
        <f t="shared" ca="1" si="13"/>
        <v>SSFLAT__20260323_00</v>
      </c>
      <c r="L316" s="10" t="str">
        <f t="shared" ca="1" si="14"/>
        <v>SSFLAT__20260323_0000</v>
      </c>
      <c r="M316" t="b">
        <f>IF(ROW()-ROW($M$1) &lt;= FILLME!$G$4, TRUE, FALSE)</f>
        <v>0</v>
      </c>
      <c r="N316" t="b">
        <f>IF(ROW()-ROW($N$1) &lt;= FILLME!$G$5, TRUE, FALSE)</f>
        <v>0</v>
      </c>
      <c r="O316" t="b">
        <f>IF(ROW()-ROW($O$1) &lt;= FILLME!$G$7, TRUE, FALSE)</f>
        <v>0</v>
      </c>
      <c r="P316" t="b">
        <f>IF(ROW()-ROW($P$1) &lt;= FILLME!$G$6, TRUE, FALSE)</f>
        <v>0</v>
      </c>
      <c r="Q316" t="b">
        <f>IF(ROW()-ROW($Q$1) &lt;= FILLME!$G$8, TRUE, FALSE)</f>
        <v>0</v>
      </c>
      <c r="R316" t="b">
        <f>IF(ROW()-ROW($R$1) &lt;= FILLME!$G$9, TRUE, FALSE)</f>
        <v>0</v>
      </c>
      <c r="S316" t="b">
        <f>IF(ROW()-ROW($S$1) &lt;= FILLME!$G$10, TRUE, FALSE)</f>
        <v>0</v>
      </c>
      <c r="T316" t="b">
        <f>IF(ROW()-ROW($T$1) &lt;= FILLME!$G$11, TRUE, FALSE)</f>
        <v>0</v>
      </c>
    </row>
    <row r="317" spans="1:20" x14ac:dyDescent="0.25">
      <c r="A317" s="7" t="str">
        <f>FILLME!$B$7</f>
        <v>ISCO</v>
      </c>
      <c r="B317" t="str">
        <f>IF(FILLME!$B$3 = "", "", FILLME!$B$3)</f>
        <v>WWS</v>
      </c>
      <c r="C317" t="str">
        <f>IF(FILLME!$B$4 = "", "", FILLME!$B$4)</f>
        <v>SSFLAT</v>
      </c>
      <c r="D317" s="7" t="str">
        <f ca="1">TEXT(FILLME!$B$6,"yyyymmdd")</f>
        <v>20260323</v>
      </c>
      <c r="E317" s="8"/>
      <c r="F317" s="7">
        <f ca="1">IF(FILLME!$B$7="ISCO",FILLME!$B$6+FILLME!$B$11+(FILLME!$B$13*(G317-FILLME!$B$14)),FILLME!$B$6)</f>
        <v>46104.25</v>
      </c>
      <c r="G317" s="8"/>
      <c r="H317" s="8"/>
      <c r="I317" s="2"/>
      <c r="J317" s="9" t="str">
        <f t="shared" si="12"/>
        <v>_00</v>
      </c>
      <c r="K317" s="10" t="str">
        <f t="shared" ca="1" si="13"/>
        <v>SSFLAT__20260323_00</v>
      </c>
      <c r="L317" s="10" t="str">
        <f t="shared" ca="1" si="14"/>
        <v>SSFLAT__20260323_0000</v>
      </c>
      <c r="M317" t="b">
        <f>IF(ROW()-ROW($M$1) &lt;= FILLME!$G$4, TRUE, FALSE)</f>
        <v>0</v>
      </c>
      <c r="N317" t="b">
        <f>IF(ROW()-ROW($N$1) &lt;= FILLME!$G$5, TRUE, FALSE)</f>
        <v>0</v>
      </c>
      <c r="O317" t="b">
        <f>IF(ROW()-ROW($O$1) &lt;= FILLME!$G$7, TRUE, FALSE)</f>
        <v>0</v>
      </c>
      <c r="P317" t="b">
        <f>IF(ROW()-ROW($P$1) &lt;= FILLME!$G$6, TRUE, FALSE)</f>
        <v>0</v>
      </c>
      <c r="Q317" t="b">
        <f>IF(ROW()-ROW($Q$1) &lt;= FILLME!$G$8, TRUE, FALSE)</f>
        <v>0</v>
      </c>
      <c r="R317" t="b">
        <f>IF(ROW()-ROW($R$1) &lt;= FILLME!$G$9, TRUE, FALSE)</f>
        <v>0</v>
      </c>
      <c r="S317" t="b">
        <f>IF(ROW()-ROW($S$1) &lt;= FILLME!$G$10, TRUE, FALSE)</f>
        <v>0</v>
      </c>
      <c r="T317" t="b">
        <f>IF(ROW()-ROW($T$1) &lt;= FILLME!$G$11, TRUE, FALSE)</f>
        <v>0</v>
      </c>
    </row>
    <row r="318" spans="1:20" x14ac:dyDescent="0.25">
      <c r="A318" s="7" t="str">
        <f>FILLME!$B$7</f>
        <v>ISCO</v>
      </c>
      <c r="B318" t="str">
        <f>IF(FILLME!$B$3 = "", "", FILLME!$B$3)</f>
        <v>WWS</v>
      </c>
      <c r="C318" t="str">
        <f>IF(FILLME!$B$4 = "", "", FILLME!$B$4)</f>
        <v>SSFLAT</v>
      </c>
      <c r="D318" s="7" t="str">
        <f ca="1">TEXT(FILLME!$B$6,"yyyymmdd")</f>
        <v>20260323</v>
      </c>
      <c r="E318" s="8"/>
      <c r="F318" s="7">
        <f ca="1">IF(FILLME!$B$7="ISCO",FILLME!$B$6+FILLME!$B$11+(FILLME!$B$13*(G318-FILLME!$B$14)),FILLME!$B$6)</f>
        <v>46104.25</v>
      </c>
      <c r="G318" s="8"/>
      <c r="H318" s="8"/>
      <c r="I318" s="2"/>
      <c r="J318" s="9" t="str">
        <f t="shared" si="12"/>
        <v>_00</v>
      </c>
      <c r="K318" s="10" t="str">
        <f t="shared" ca="1" si="13"/>
        <v>SSFLAT__20260323_00</v>
      </c>
      <c r="L318" s="10" t="str">
        <f t="shared" ca="1" si="14"/>
        <v>SSFLAT__20260323_0000</v>
      </c>
      <c r="M318" t="b">
        <f>IF(ROW()-ROW($M$1) &lt;= FILLME!$G$4, TRUE, FALSE)</f>
        <v>0</v>
      </c>
      <c r="N318" t="b">
        <f>IF(ROW()-ROW($N$1) &lt;= FILLME!$G$5, TRUE, FALSE)</f>
        <v>0</v>
      </c>
      <c r="O318" t="b">
        <f>IF(ROW()-ROW($O$1) &lt;= FILLME!$G$7, TRUE, FALSE)</f>
        <v>0</v>
      </c>
      <c r="P318" t="b">
        <f>IF(ROW()-ROW($P$1) &lt;= FILLME!$G$6, TRUE, FALSE)</f>
        <v>0</v>
      </c>
      <c r="Q318" t="b">
        <f>IF(ROW()-ROW($Q$1) &lt;= FILLME!$G$8, TRUE, FALSE)</f>
        <v>0</v>
      </c>
      <c r="R318" t="b">
        <f>IF(ROW()-ROW($R$1) &lt;= FILLME!$G$9, TRUE, FALSE)</f>
        <v>0</v>
      </c>
      <c r="S318" t="b">
        <f>IF(ROW()-ROW($S$1) &lt;= FILLME!$G$10, TRUE, FALSE)</f>
        <v>0</v>
      </c>
      <c r="T318" t="b">
        <f>IF(ROW()-ROW($T$1) &lt;= FILLME!$G$11, TRUE, FALSE)</f>
        <v>0</v>
      </c>
    </row>
    <row r="319" spans="1:20" x14ac:dyDescent="0.25">
      <c r="A319" s="7" t="str">
        <f>FILLME!$B$7</f>
        <v>ISCO</v>
      </c>
      <c r="B319" t="str">
        <f>IF(FILLME!$B$3 = "", "", FILLME!$B$3)</f>
        <v>WWS</v>
      </c>
      <c r="C319" t="str">
        <f>IF(FILLME!$B$4 = "", "", FILLME!$B$4)</f>
        <v>SSFLAT</v>
      </c>
      <c r="D319" s="7" t="str">
        <f ca="1">TEXT(FILLME!$B$6,"yyyymmdd")</f>
        <v>20260323</v>
      </c>
      <c r="E319" s="8"/>
      <c r="F319" s="7">
        <f ca="1">IF(FILLME!$B$7="ISCO",FILLME!$B$6+FILLME!$B$11+(FILLME!$B$13*(G319-FILLME!$B$14)),FILLME!$B$6)</f>
        <v>46104.25</v>
      </c>
      <c r="G319" s="8"/>
      <c r="H319" s="8"/>
      <c r="I319" s="2"/>
      <c r="J319" s="9" t="str">
        <f t="shared" si="12"/>
        <v>_00</v>
      </c>
      <c r="K319" s="10" t="str">
        <f t="shared" ca="1" si="13"/>
        <v>SSFLAT__20260323_00</v>
      </c>
      <c r="L319" s="10" t="str">
        <f t="shared" ca="1" si="14"/>
        <v>SSFLAT__20260323_0000</v>
      </c>
      <c r="M319" t="b">
        <f>IF(ROW()-ROW($M$1) &lt;= FILLME!$G$4, TRUE, FALSE)</f>
        <v>0</v>
      </c>
      <c r="N319" t="b">
        <f>IF(ROW()-ROW($N$1) &lt;= FILLME!$G$5, TRUE, FALSE)</f>
        <v>0</v>
      </c>
      <c r="O319" t="b">
        <f>IF(ROW()-ROW($O$1) &lt;= FILLME!$G$7, TRUE, FALSE)</f>
        <v>0</v>
      </c>
      <c r="P319" t="b">
        <f>IF(ROW()-ROW($P$1) &lt;= FILLME!$G$6, TRUE, FALSE)</f>
        <v>0</v>
      </c>
      <c r="Q319" t="b">
        <f>IF(ROW()-ROW($Q$1) &lt;= FILLME!$G$8, TRUE, FALSE)</f>
        <v>0</v>
      </c>
      <c r="R319" t="b">
        <f>IF(ROW()-ROW($R$1) &lt;= FILLME!$G$9, TRUE, FALSE)</f>
        <v>0</v>
      </c>
      <c r="S319" t="b">
        <f>IF(ROW()-ROW($S$1) &lt;= FILLME!$G$10, TRUE, FALSE)</f>
        <v>0</v>
      </c>
      <c r="T319" t="b">
        <f>IF(ROW()-ROW($T$1) &lt;= FILLME!$G$11, TRUE, FALSE)</f>
        <v>0</v>
      </c>
    </row>
    <row r="320" spans="1:20" x14ac:dyDescent="0.25">
      <c r="A320" s="7" t="str">
        <f>FILLME!$B$7</f>
        <v>ISCO</v>
      </c>
      <c r="B320" t="str">
        <f>IF(FILLME!$B$3 = "", "", FILLME!$B$3)</f>
        <v>WWS</v>
      </c>
      <c r="C320" t="str">
        <f>IF(FILLME!$B$4 = "", "", FILLME!$B$4)</f>
        <v>SSFLAT</v>
      </c>
      <c r="D320" s="7" t="str">
        <f ca="1">TEXT(FILLME!$B$6,"yyyymmdd")</f>
        <v>20260323</v>
      </c>
      <c r="E320" s="8"/>
      <c r="F320" s="7">
        <f ca="1">IF(FILLME!$B$7="ISCO",FILLME!$B$6+FILLME!$B$11+(FILLME!$B$13*(G320-FILLME!$B$14)),FILLME!$B$6)</f>
        <v>46104.25</v>
      </c>
      <c r="G320" s="8"/>
      <c r="H320" s="8"/>
      <c r="I320" s="2"/>
      <c r="J320" s="9" t="str">
        <f t="shared" si="12"/>
        <v>_00</v>
      </c>
      <c r="K320" s="10" t="str">
        <f t="shared" ca="1" si="13"/>
        <v>SSFLAT__20260323_00</v>
      </c>
      <c r="L320" s="10" t="str">
        <f t="shared" ca="1" si="14"/>
        <v>SSFLAT__20260323_0000</v>
      </c>
      <c r="M320" t="b">
        <f>IF(ROW()-ROW($M$1) &lt;= FILLME!$G$4, TRUE, FALSE)</f>
        <v>0</v>
      </c>
      <c r="N320" t="b">
        <f>IF(ROW()-ROW($N$1) &lt;= FILLME!$G$5, TRUE, FALSE)</f>
        <v>0</v>
      </c>
      <c r="O320" t="b">
        <f>IF(ROW()-ROW($O$1) &lt;= FILLME!$G$7, TRUE, FALSE)</f>
        <v>0</v>
      </c>
      <c r="P320" t="b">
        <f>IF(ROW()-ROW($P$1) &lt;= FILLME!$G$6, TRUE, FALSE)</f>
        <v>0</v>
      </c>
      <c r="Q320" t="b">
        <f>IF(ROW()-ROW($Q$1) &lt;= FILLME!$G$8, TRUE, FALSE)</f>
        <v>0</v>
      </c>
      <c r="R320" t="b">
        <f>IF(ROW()-ROW($R$1) &lt;= FILLME!$G$9, TRUE, FALSE)</f>
        <v>0</v>
      </c>
      <c r="S320" t="b">
        <f>IF(ROW()-ROW($S$1) &lt;= FILLME!$G$10, TRUE, FALSE)</f>
        <v>0</v>
      </c>
      <c r="T320" t="b">
        <f>IF(ROW()-ROW($T$1) &lt;= FILLME!$G$11, TRUE, FALSE)</f>
        <v>0</v>
      </c>
    </row>
    <row r="321" spans="1:20" x14ac:dyDescent="0.25">
      <c r="A321" s="7" t="str">
        <f>FILLME!$B$7</f>
        <v>ISCO</v>
      </c>
      <c r="B321" t="str">
        <f>IF(FILLME!$B$3 = "", "", FILLME!$B$3)</f>
        <v>WWS</v>
      </c>
      <c r="C321" t="str">
        <f>IF(FILLME!$B$4 = "", "", FILLME!$B$4)</f>
        <v>SSFLAT</v>
      </c>
      <c r="D321" s="7" t="str">
        <f ca="1">TEXT(FILLME!$B$6,"yyyymmdd")</f>
        <v>20260323</v>
      </c>
      <c r="E321" s="8"/>
      <c r="F321" s="7">
        <f ca="1">IF(FILLME!$B$7="ISCO",FILLME!$B$6+FILLME!$B$11+(FILLME!$B$13*(G321-FILLME!$B$14)),FILLME!$B$6)</f>
        <v>46104.25</v>
      </c>
      <c r="G321" s="8"/>
      <c r="H321" s="8"/>
      <c r="I321" s="2"/>
      <c r="J321" s="9" t="str">
        <f t="shared" si="12"/>
        <v>_00</v>
      </c>
      <c r="K321" s="10" t="str">
        <f t="shared" ca="1" si="13"/>
        <v>SSFLAT__20260323_00</v>
      </c>
      <c r="L321" s="10" t="str">
        <f t="shared" ca="1" si="14"/>
        <v>SSFLAT__20260323_0000</v>
      </c>
      <c r="M321" t="b">
        <f>IF(ROW()-ROW($M$1) &lt;= FILLME!$G$4, TRUE, FALSE)</f>
        <v>0</v>
      </c>
      <c r="N321" t="b">
        <f>IF(ROW()-ROW($N$1) &lt;= FILLME!$G$5, TRUE, FALSE)</f>
        <v>0</v>
      </c>
      <c r="O321" t="b">
        <f>IF(ROW()-ROW($O$1) &lt;= FILLME!$G$7, TRUE, FALSE)</f>
        <v>0</v>
      </c>
      <c r="P321" t="b">
        <f>IF(ROW()-ROW($P$1) &lt;= FILLME!$G$6, TRUE, FALSE)</f>
        <v>0</v>
      </c>
      <c r="Q321" t="b">
        <f>IF(ROW()-ROW($Q$1) &lt;= FILLME!$G$8, TRUE, FALSE)</f>
        <v>0</v>
      </c>
      <c r="R321" t="b">
        <f>IF(ROW()-ROW($R$1) &lt;= FILLME!$G$9, TRUE, FALSE)</f>
        <v>0</v>
      </c>
      <c r="S321" t="b">
        <f>IF(ROW()-ROW($S$1) &lt;= FILLME!$G$10, TRUE, FALSE)</f>
        <v>0</v>
      </c>
      <c r="T321" t="b">
        <f>IF(ROW()-ROW($T$1) &lt;= FILLME!$G$11, TRUE, FALSE)</f>
        <v>0</v>
      </c>
    </row>
  </sheetData>
  <conditionalFormatting sqref="A1:C1 A2:A321">
    <cfRule type="expression" dxfId="23" priority="5">
      <formula>#REF!="Shipped"</formula>
    </cfRule>
  </conditionalFormatting>
  <conditionalFormatting sqref="B1:F1 A1:A321">
    <cfRule type="expression" dxfId="22" priority="4">
      <formula>#REF!="Aqualog"</formula>
    </cfRule>
  </conditionalFormatting>
  <conditionalFormatting sqref="D1:F1 I1">
    <cfRule type="expression" dxfId="21" priority="6">
      <formula>$B1048576="Shipped"</formula>
    </cfRule>
  </conditionalFormatting>
  <conditionalFormatting sqref="I1:K321 L2:L321">
    <cfRule type="expression" dxfId="20" priority="3">
      <formula>#REF!="Shipped"</formula>
    </cfRule>
  </conditionalFormatting>
  <conditionalFormatting sqref="I1:L1 I2:K321">
    <cfRule type="expression" dxfId="19" priority="7">
      <formula>#REF!="Aqualog"</formula>
    </cfRule>
  </conditionalFormatting>
  <conditionalFormatting sqref="L2:L321">
    <cfRule type="expression" dxfId="18" priority="8">
      <formula>$I3="Aqualog"</formula>
    </cfRule>
  </conditionalFormatting>
  <conditionalFormatting sqref="M2:T321">
    <cfRule type="cellIs" dxfId="17" priority="1" operator="equal">
      <formula>TRUE</formula>
    </cfRule>
    <cfRule type="cellIs" dxfId="16" priority="2" operator="equal">
      <formula>FALSE</formula>
    </cfRule>
  </conditionalFormatting>
  <conditionalFormatting sqref="O1:T1">
    <cfRule type="expression" dxfId="15" priority="9">
      <formula>$F1="Aqualog"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F0D1-F35D-46A9-AB3E-79F4F5A54491}">
  <dimension ref="A1:B51"/>
  <sheetViews>
    <sheetView topLeftCell="A31" workbookViewId="0">
      <selection activeCell="C47" sqref="C47"/>
    </sheetView>
  </sheetViews>
  <sheetFormatPr defaultRowHeight="15" x14ac:dyDescent="0.25"/>
  <cols>
    <col min="2" max="2" width="29.28515625" customWidth="1"/>
  </cols>
  <sheetData>
    <row r="1" spans="1:2" x14ac:dyDescent="0.25">
      <c r="A1" s="32" t="s">
        <v>41</v>
      </c>
      <c r="B1" s="32" t="s">
        <v>42</v>
      </c>
    </row>
    <row r="2" spans="1:2" x14ac:dyDescent="0.25">
      <c r="A2" t="str" cm="1">
        <f t="array" aca="1" ref="A2:B51" ca="1">_xlfn._xlws.SORT(
    _xlfn.LET(
        _xlpm.data, 'Label IDs'!M2:O321,
        _xlpm.headers, 'Label IDs'!M1:O1,
        _xlpm.values, IF(FILLME!B8 = "Bottle Number", 'Label IDs'!J2:J321, IF(FILLME!B8 = "Sample Date/Time", 'Label IDs'!L2:L321,'Label IDs'!K2:K321)),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_xlpm.empty, CHOOSE({1,2}, "", ""),
        _xlpm.base, _xlfn._xlws.FILTER(CHOOSE({1,2}, _xlpm.hdr, _xlpm.val), _xlpm.flag, _xlpm.empty),
        _xlpm.normal, _xlfn._xlws.FILTER(_xlpm.base, INDEX(_xlpm.base,,1)&lt;&gt;"BPCA", _xlpm.empty),
        _xlpm.bpca, _xlfn._xlws.FILTER(_xlpm.base, INDEX(_xlpm.base,,1)="BPCA", _xlpm.empty),
        IF(COUNTA(_xlpm.base)=0,
            _xlpm.empty,
            IF(COUNTA(_xlpm.bpca)=0,
                _xlpm.normal,
                _xlfn.VSTACK(_xlpm.normal, _xlpm.bpca, _xlpm.bpca)
            )
        )
    ),
    {1,2},
    {-1,1}
)</f>
        <v>ISCO</v>
      </c>
      <c r="B2" t="str">
        <f ca="1"/>
        <v>SSFLAT_ALD_20260323_01</v>
      </c>
    </row>
    <row r="3" spans="1:2" x14ac:dyDescent="0.25">
      <c r="A3" t="str">
        <f ca="1"/>
        <v>ISCO</v>
      </c>
      <c r="B3" t="str">
        <f ca="1"/>
        <v>SSFLAT_ALD_20260323_02</v>
      </c>
    </row>
    <row r="4" spans="1:2" x14ac:dyDescent="0.25">
      <c r="A4" t="str">
        <f ca="1"/>
        <v>ISCO</v>
      </c>
      <c r="B4" t="str">
        <f ca="1"/>
        <v>SSFLAT_ALD_20260323_03</v>
      </c>
    </row>
    <row r="5" spans="1:2" x14ac:dyDescent="0.25">
      <c r="A5" t="str">
        <f ca="1"/>
        <v>ISCO</v>
      </c>
      <c r="B5" t="str">
        <f ca="1"/>
        <v>SSFLAT_ALD_20260323_04</v>
      </c>
    </row>
    <row r="6" spans="1:2" x14ac:dyDescent="0.25">
      <c r="A6" t="str">
        <f ca="1"/>
        <v>ISCO</v>
      </c>
      <c r="B6" t="str">
        <f ca="1"/>
        <v>SSFLAT_ALD_20260323_05</v>
      </c>
    </row>
    <row r="7" spans="1:2" x14ac:dyDescent="0.25">
      <c r="A7" t="str">
        <f ca="1"/>
        <v>ISCO</v>
      </c>
      <c r="B7" t="str">
        <f ca="1"/>
        <v>SSFLAT_ALD_20260323_06</v>
      </c>
    </row>
    <row r="8" spans="1:2" x14ac:dyDescent="0.25">
      <c r="A8" t="str">
        <f ca="1"/>
        <v>ISCO</v>
      </c>
      <c r="B8" t="str">
        <f ca="1"/>
        <v>SSFLAT_ALD_20260323_07</v>
      </c>
    </row>
    <row r="9" spans="1:2" x14ac:dyDescent="0.25">
      <c r="A9" t="str">
        <f ca="1"/>
        <v>ISCO</v>
      </c>
      <c r="B9" t="str">
        <f ca="1"/>
        <v>SSFLAT_ALD_20260323_08</v>
      </c>
    </row>
    <row r="10" spans="1:2" x14ac:dyDescent="0.25">
      <c r="A10" t="str">
        <f ca="1"/>
        <v>ISCO</v>
      </c>
      <c r="B10" t="str">
        <f ca="1"/>
        <v>SSFLAT_ALD_20260323_09</v>
      </c>
    </row>
    <row r="11" spans="1:2" x14ac:dyDescent="0.25">
      <c r="A11" t="str">
        <f ca="1"/>
        <v>ISCO</v>
      </c>
      <c r="B11" t="str">
        <f ca="1"/>
        <v>SSFLAT_ALD_20260323_10</v>
      </c>
    </row>
    <row r="12" spans="1:2" x14ac:dyDescent="0.25">
      <c r="A12" t="str">
        <f ca="1"/>
        <v>ISCO</v>
      </c>
      <c r="B12" t="str">
        <f ca="1"/>
        <v>SSFLAT_ALD_20260323_11</v>
      </c>
    </row>
    <row r="13" spans="1:2" x14ac:dyDescent="0.25">
      <c r="A13" t="str">
        <f ca="1"/>
        <v>ISCO</v>
      </c>
      <c r="B13" t="str">
        <f ca="1"/>
        <v>SSFLAT_ALD_20260323_12</v>
      </c>
    </row>
    <row r="14" spans="1:2" x14ac:dyDescent="0.25">
      <c r="A14" t="str">
        <f ca="1"/>
        <v>ISCO</v>
      </c>
      <c r="B14" t="str">
        <f ca="1"/>
        <v>SSFLAT_ALD_20260323_13</v>
      </c>
    </row>
    <row r="15" spans="1:2" x14ac:dyDescent="0.25">
      <c r="A15" t="str">
        <f ca="1"/>
        <v>ISCO</v>
      </c>
      <c r="B15" t="str">
        <f ca="1"/>
        <v>SSFLAT_ALD_20260323_14</v>
      </c>
    </row>
    <row r="16" spans="1:2" x14ac:dyDescent="0.25">
      <c r="A16" t="str">
        <f ca="1"/>
        <v>ISCO</v>
      </c>
      <c r="B16" t="str">
        <f ca="1"/>
        <v>SSFLAT_ALD_20260323_15</v>
      </c>
    </row>
    <row r="17" spans="1:2" x14ac:dyDescent="0.25">
      <c r="A17" t="str">
        <f ca="1"/>
        <v>ISCO</v>
      </c>
      <c r="B17" t="str">
        <f ca="1"/>
        <v>SSFLAT_ALD_20260323_16</v>
      </c>
    </row>
    <row r="18" spans="1:2" x14ac:dyDescent="0.25">
      <c r="A18" t="str">
        <f ca="1"/>
        <v>ISCO</v>
      </c>
      <c r="B18" t="str">
        <f ca="1"/>
        <v>SSFLAT_ALD_20260323_17</v>
      </c>
    </row>
    <row r="19" spans="1:2" x14ac:dyDescent="0.25">
      <c r="A19" t="str">
        <f ca="1"/>
        <v>ISCO</v>
      </c>
      <c r="B19" t="str">
        <f ca="1"/>
        <v>SSFLAT_ALD_20260323_18</v>
      </c>
    </row>
    <row r="20" spans="1:2" x14ac:dyDescent="0.25">
      <c r="A20" t="str">
        <f ca="1"/>
        <v>ISCO</v>
      </c>
      <c r="B20" t="str">
        <f ca="1"/>
        <v>SSFLAT_ALD_20260323_19</v>
      </c>
    </row>
    <row r="21" spans="1:2" x14ac:dyDescent="0.25">
      <c r="A21" t="str">
        <f ca="1"/>
        <v>ISCO</v>
      </c>
      <c r="B21" t="str">
        <f ca="1"/>
        <v>SSFLAT_ALD_20260323_20</v>
      </c>
    </row>
    <row r="22" spans="1:2" x14ac:dyDescent="0.25">
      <c r="A22" t="str">
        <f ca="1"/>
        <v>ISCO</v>
      </c>
      <c r="B22" t="str">
        <f ca="1"/>
        <v>SSFLAT_ALD_20260323_21</v>
      </c>
    </row>
    <row r="23" spans="1:2" x14ac:dyDescent="0.25">
      <c r="A23" t="str">
        <f ca="1"/>
        <v>ISCO</v>
      </c>
      <c r="B23" t="str">
        <f ca="1"/>
        <v>SSFLAT_ALD_20260323_22</v>
      </c>
    </row>
    <row r="24" spans="1:2" x14ac:dyDescent="0.25">
      <c r="A24" t="str">
        <f ca="1"/>
        <v>ISCO</v>
      </c>
      <c r="B24" t="str">
        <f ca="1"/>
        <v>SSFLAT_ALD_20260323_23</v>
      </c>
    </row>
    <row r="25" spans="1:2" x14ac:dyDescent="0.25">
      <c r="A25" t="str">
        <f ca="1"/>
        <v>ISCO</v>
      </c>
      <c r="B25" t="str">
        <f ca="1"/>
        <v>SSFLAT_ALD_20260323_24</v>
      </c>
    </row>
    <row r="26" spans="1:2" x14ac:dyDescent="0.25">
      <c r="A26" t="str">
        <f ca="1"/>
        <v>ISCO</v>
      </c>
      <c r="B26" t="str">
        <f ca="1"/>
        <v>SSFLAT_CMP_20260323_01</v>
      </c>
    </row>
    <row r="27" spans="1:2" x14ac:dyDescent="0.25">
      <c r="A27" t="str">
        <f ca="1"/>
        <v>ISCO</v>
      </c>
      <c r="B27" t="str">
        <f ca="1"/>
        <v>SSFLAT_CMP_20260323_02</v>
      </c>
    </row>
    <row r="28" spans="1:2" x14ac:dyDescent="0.25">
      <c r="A28" t="str">
        <f ca="1"/>
        <v>ISCO</v>
      </c>
      <c r="B28" t="str">
        <f ca="1"/>
        <v>SSFLAT_CMP_20260323_03</v>
      </c>
    </row>
    <row r="29" spans="1:2" x14ac:dyDescent="0.25">
      <c r="A29" t="str">
        <f ca="1"/>
        <v>ISCO</v>
      </c>
      <c r="B29" t="str">
        <f ca="1"/>
        <v>SSFLAT_CMP_20260323_04</v>
      </c>
    </row>
    <row r="30" spans="1:2" x14ac:dyDescent="0.25">
      <c r="A30" t="str">
        <f ca="1"/>
        <v>ISCO</v>
      </c>
      <c r="B30" t="str">
        <f ca="1"/>
        <v>SSFLAT_CMP_20260323_05</v>
      </c>
    </row>
    <row r="31" spans="1:2" x14ac:dyDescent="0.25">
      <c r="A31" t="str">
        <f ca="1"/>
        <v>ISCO</v>
      </c>
      <c r="B31" t="str">
        <f ca="1"/>
        <v>SSFLAT_CMP_20260323_06</v>
      </c>
    </row>
    <row r="32" spans="1:2" x14ac:dyDescent="0.25">
      <c r="A32" t="str">
        <f ca="1"/>
        <v>ISCO</v>
      </c>
      <c r="B32" t="str">
        <f ca="1"/>
        <v>SSFLAT_CMP_20260323_07</v>
      </c>
    </row>
    <row r="33" spans="1:2" x14ac:dyDescent="0.25">
      <c r="A33" t="str">
        <f ca="1"/>
        <v>ISCO</v>
      </c>
      <c r="B33" t="str">
        <f ca="1"/>
        <v>SSFLAT_CMP_20260323_08</v>
      </c>
    </row>
    <row r="34" spans="1:2" x14ac:dyDescent="0.25">
      <c r="A34" t="str">
        <f ca="1"/>
        <v>ISCO</v>
      </c>
      <c r="B34" t="str">
        <f ca="1"/>
        <v>SSFLAT_CMP_20260323_09</v>
      </c>
    </row>
    <row r="35" spans="1:2" x14ac:dyDescent="0.25">
      <c r="A35" t="str">
        <f ca="1"/>
        <v>ISCO</v>
      </c>
      <c r="B35" t="str">
        <f ca="1"/>
        <v>SSFLAT_CMP_20260323_10</v>
      </c>
    </row>
    <row r="36" spans="1:2" x14ac:dyDescent="0.25">
      <c r="A36" t="str">
        <f ca="1"/>
        <v>ISCO</v>
      </c>
      <c r="B36" t="str">
        <f ca="1"/>
        <v>SSFLAT_CMP_20260323_11</v>
      </c>
    </row>
    <row r="37" spans="1:2" x14ac:dyDescent="0.25">
      <c r="A37" t="str">
        <f ca="1"/>
        <v>ISCO</v>
      </c>
      <c r="B37" t="str">
        <f ca="1"/>
        <v>SSFLAT_CMP_20260323_12</v>
      </c>
    </row>
    <row r="38" spans="1:2" x14ac:dyDescent="0.25">
      <c r="A38" t="str">
        <f ca="1"/>
        <v>ISCO</v>
      </c>
      <c r="B38" t="str">
        <f ca="1"/>
        <v>SSFLAT_CMP_20260323_13</v>
      </c>
    </row>
    <row r="39" spans="1:2" x14ac:dyDescent="0.25">
      <c r="A39" t="str">
        <f ca="1"/>
        <v>ISCO</v>
      </c>
      <c r="B39" t="str">
        <f ca="1"/>
        <v>SSFLAT_CMP_20260323_14</v>
      </c>
    </row>
    <row r="40" spans="1:2" x14ac:dyDescent="0.25">
      <c r="A40" t="str">
        <f ca="1"/>
        <v>ISCO</v>
      </c>
      <c r="B40" t="str">
        <f ca="1"/>
        <v>SSFLAT_CMP_20260323_15</v>
      </c>
    </row>
    <row r="41" spans="1:2" x14ac:dyDescent="0.25">
      <c r="A41" t="str">
        <f ca="1"/>
        <v>ISCO</v>
      </c>
      <c r="B41" t="str">
        <f ca="1"/>
        <v>SSFLAT_CMP_20260323_16</v>
      </c>
    </row>
    <row r="42" spans="1:2" x14ac:dyDescent="0.25">
      <c r="A42" t="str">
        <f ca="1"/>
        <v>ISCO</v>
      </c>
      <c r="B42" t="str">
        <f ca="1"/>
        <v>SSFLAT_CMP_20260323_17</v>
      </c>
    </row>
    <row r="43" spans="1:2" x14ac:dyDescent="0.25">
      <c r="A43" t="str">
        <f ca="1"/>
        <v>ISCO</v>
      </c>
      <c r="B43" t="str">
        <f ca="1"/>
        <v>SSFLAT_CMP_20260323_18</v>
      </c>
    </row>
    <row r="44" spans="1:2" x14ac:dyDescent="0.25">
      <c r="A44" t="str">
        <f ca="1"/>
        <v>ISCO</v>
      </c>
      <c r="B44" t="str">
        <f ca="1"/>
        <v>SSFLAT_CMP_20260323_19</v>
      </c>
    </row>
    <row r="45" spans="1:2" x14ac:dyDescent="0.25">
      <c r="A45" t="str">
        <f ca="1"/>
        <v>ISCO</v>
      </c>
      <c r="B45" t="str">
        <f ca="1"/>
        <v>SSFLAT_CMP_20260323_20</v>
      </c>
    </row>
    <row r="46" spans="1:2" x14ac:dyDescent="0.25">
      <c r="A46" t="str">
        <f ca="1"/>
        <v>ISCO</v>
      </c>
      <c r="B46" t="str">
        <f ca="1"/>
        <v>SSFLAT_CMP_20260323_21</v>
      </c>
    </row>
    <row r="47" spans="1:2" x14ac:dyDescent="0.25">
      <c r="A47" t="str">
        <f ca="1"/>
        <v>ISCO</v>
      </c>
      <c r="B47" t="str">
        <f ca="1"/>
        <v>SSFLAT_CMP_20260323_22</v>
      </c>
    </row>
    <row r="48" spans="1:2" x14ac:dyDescent="0.25">
      <c r="A48" t="str">
        <f ca="1"/>
        <v>ISCO</v>
      </c>
      <c r="B48" t="str">
        <f ca="1"/>
        <v>SSFLAT_CMP_20260323_23</v>
      </c>
    </row>
    <row r="49" spans="1:2" x14ac:dyDescent="0.25">
      <c r="A49" t="str">
        <f ca="1"/>
        <v>ISCO</v>
      </c>
      <c r="B49" t="str">
        <f ca="1"/>
        <v>SSFLAT_CMP_20260323_24</v>
      </c>
    </row>
    <row r="50" spans="1:2" x14ac:dyDescent="0.25">
      <c r="A50" t="str">
        <f ca="1"/>
        <v/>
      </c>
      <c r="B50" t="str">
        <f ca="1"/>
        <v/>
      </c>
    </row>
    <row r="51" spans="1:2" x14ac:dyDescent="0.25">
      <c r="A51" t="str">
        <f ca="1"/>
        <v/>
      </c>
      <c r="B51" t="str">
        <f ca="1"/>
        <v/>
      </c>
    </row>
  </sheetData>
  <conditionalFormatting sqref="A1:A283">
    <cfRule type="cellIs" dxfId="14" priority="1" operator="equal">
      <formula>"BPCA"</formula>
    </cfRule>
    <cfRule type="cellIs" dxfId="13" priority="2" operator="equal">
      <formula>"Grab"</formula>
    </cfRule>
    <cfRule type="cellIs" dxfId="12" priority="3" operator="equal">
      <formula>"ISCO"</formula>
    </cfRule>
    <cfRule type="cellIs" dxfId="11" priority="4" operator="equal">
      <formula>"Excess"</formula>
    </cfRule>
    <cfRule type="cellIs" dxfId="10" priority="5" operator="equal">
      <formula>"CCAL"</formula>
    </cfRule>
    <cfRule type="cellIs" dxfId="9" priority="6" operator="equal">
      <formula>"Levoglucosan"</formula>
    </cfRule>
    <cfRule type="cellIs" dxfId="8" priority="7" operator="equal">
      <formula>"Aqualog"</formula>
    </cfRule>
    <cfRule type="cellIs" dxfId="7" priority="8" operator="equal">
      <formula>"Shimadzu"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E4EE-0A7A-4560-B9C6-822B0B7C8D4A}">
  <sheetPr>
    <pageSetUpPr fitToPage="1"/>
  </sheetPr>
  <dimension ref="A1:B193"/>
  <sheetViews>
    <sheetView zoomScaleNormal="100" workbookViewId="0">
      <selection activeCell="E249" sqref="E249"/>
    </sheetView>
  </sheetViews>
  <sheetFormatPr defaultRowHeight="15" x14ac:dyDescent="0.25"/>
  <cols>
    <col min="1" max="1" width="13.28515625" customWidth="1"/>
    <col min="2" max="2" width="32.5703125" customWidth="1"/>
  </cols>
  <sheetData>
    <row r="1" spans="1:2" x14ac:dyDescent="0.25">
      <c r="A1" s="32" t="s">
        <v>41</v>
      </c>
      <c r="B1" s="32" t="s">
        <v>42</v>
      </c>
    </row>
    <row r="2" spans="1:2" x14ac:dyDescent="0.25">
      <c r="A2" t="str" cm="1">
        <f t="array" aca="1" ref="A2:B193" ca="1">_xlfn._xlws.SORT(
    _xlfn.LET(
        _xlpm.data, 'Label IDs'!P2:T321,
        _xlpm.headers, 'Label IDs'!P1:T1,
        _xlpm.values, IF(FILLME!B9 = "Bottle Number", 'Label IDs'!K2:K321, 'Label IDs'!L2:L321),
        _xlpm.nrows, ROWS(_xlpm.data),
        _xlpm.ncols, COLUMNS(_xlpm.data),
        _xlpm.rowidx, INT((_xlfn.SEQUENCE(_xlpm.nrows*_xlpm.ncols)-1)/_xlpm.ncols)+1,
        _xlpm.colidx, MOD(_xlfn.SEQUENCE(_xlpm.nrows*_xlpm.ncols)-1, _xlpm.ncols)+1,
        _xlpm.flag, INDEX(_xlpm.data, _xlpm.rowidx, _xlpm.colidx),
        _xlpm.val, INDEX(_xlpm.values, _xlpm.rowidx),
        _xlpm.hdr, INDEX(_xlpm.headers, _xlpm.colidx),
        _xlfn._xlws.FILTER(CHOOSE({1,2}, _xlpm.hdr, _xlpm.val), _xlpm.flag)
    ),
    1, 1
)</f>
        <v>Aqualog</v>
      </c>
      <c r="B2" t="str">
        <f ca="1"/>
        <v>SSFLAT_ALD_20260323_01</v>
      </c>
    </row>
    <row r="3" spans="1:2" x14ac:dyDescent="0.25">
      <c r="A3" t="str">
        <f ca="1"/>
        <v>Aqualog</v>
      </c>
      <c r="B3" t="str">
        <f ca="1"/>
        <v>SSFLAT_ALD_20260323_02</v>
      </c>
    </row>
    <row r="4" spans="1:2" x14ac:dyDescent="0.25">
      <c r="A4" t="str">
        <f ca="1"/>
        <v>Aqualog</v>
      </c>
      <c r="B4" t="str">
        <f ca="1"/>
        <v>SSFLAT_ALD_20260323_03</v>
      </c>
    </row>
    <row r="5" spans="1:2" x14ac:dyDescent="0.25">
      <c r="A5" t="str">
        <f ca="1"/>
        <v>Aqualog</v>
      </c>
      <c r="B5" t="str">
        <f ca="1"/>
        <v>SSFLAT_ALD_20260323_04</v>
      </c>
    </row>
    <row r="6" spans="1:2" x14ac:dyDescent="0.25">
      <c r="A6" t="str">
        <f ca="1"/>
        <v>Aqualog</v>
      </c>
      <c r="B6" t="str">
        <f ca="1"/>
        <v>SSFLAT_ALD_20260323_05</v>
      </c>
    </row>
    <row r="7" spans="1:2" x14ac:dyDescent="0.25">
      <c r="A7" t="str">
        <f ca="1"/>
        <v>Aqualog</v>
      </c>
      <c r="B7" t="str">
        <f ca="1"/>
        <v>SSFLAT_ALD_20260323_06</v>
      </c>
    </row>
    <row r="8" spans="1:2" x14ac:dyDescent="0.25">
      <c r="A8" t="str">
        <f ca="1"/>
        <v>Aqualog</v>
      </c>
      <c r="B8" t="str">
        <f ca="1"/>
        <v>SSFLAT_ALD_20260323_07</v>
      </c>
    </row>
    <row r="9" spans="1:2" x14ac:dyDescent="0.25">
      <c r="A9" t="str">
        <f ca="1"/>
        <v>Aqualog</v>
      </c>
      <c r="B9" t="str">
        <f ca="1"/>
        <v>SSFLAT_ALD_20260323_08</v>
      </c>
    </row>
    <row r="10" spans="1:2" x14ac:dyDescent="0.25">
      <c r="A10" t="str">
        <f ca="1"/>
        <v>Aqualog</v>
      </c>
      <c r="B10" t="str">
        <f ca="1"/>
        <v>SSFLAT_ALD_20260323_09</v>
      </c>
    </row>
    <row r="11" spans="1:2" x14ac:dyDescent="0.25">
      <c r="A11" t="str">
        <f ca="1"/>
        <v>Aqualog</v>
      </c>
      <c r="B11" t="str">
        <f ca="1"/>
        <v>SSFLAT_ALD_20260323_10</v>
      </c>
    </row>
    <row r="12" spans="1:2" x14ac:dyDescent="0.25">
      <c r="A12" t="str">
        <f ca="1"/>
        <v>Aqualog</v>
      </c>
      <c r="B12" t="str">
        <f ca="1"/>
        <v>SSFLAT_ALD_20260323_11</v>
      </c>
    </row>
    <row r="13" spans="1:2" x14ac:dyDescent="0.25">
      <c r="A13" t="str">
        <f ca="1"/>
        <v>Aqualog</v>
      </c>
      <c r="B13" t="str">
        <f ca="1"/>
        <v>SSFLAT_ALD_20260323_12</v>
      </c>
    </row>
    <row r="14" spans="1:2" x14ac:dyDescent="0.25">
      <c r="A14" t="str">
        <f ca="1"/>
        <v>Aqualog</v>
      </c>
      <c r="B14" t="str">
        <f ca="1"/>
        <v>SSFLAT_ALD_20260323_13</v>
      </c>
    </row>
    <row r="15" spans="1:2" x14ac:dyDescent="0.25">
      <c r="A15" t="str">
        <f ca="1"/>
        <v>Aqualog</v>
      </c>
      <c r="B15" t="str">
        <f ca="1"/>
        <v>SSFLAT_ALD_20260323_14</v>
      </c>
    </row>
    <row r="16" spans="1:2" x14ac:dyDescent="0.25">
      <c r="A16" t="str">
        <f ca="1"/>
        <v>Aqualog</v>
      </c>
      <c r="B16" t="str">
        <f ca="1"/>
        <v>SSFLAT_ALD_20260323_15</v>
      </c>
    </row>
    <row r="17" spans="1:2" x14ac:dyDescent="0.25">
      <c r="A17" t="str">
        <f ca="1"/>
        <v>Aqualog</v>
      </c>
      <c r="B17" t="str">
        <f ca="1"/>
        <v>SSFLAT_ALD_20260323_16</v>
      </c>
    </row>
    <row r="18" spans="1:2" x14ac:dyDescent="0.25">
      <c r="A18" t="str">
        <f ca="1"/>
        <v>Aqualog</v>
      </c>
      <c r="B18" t="str">
        <f ca="1"/>
        <v>SSFLAT_ALD_20260323_17</v>
      </c>
    </row>
    <row r="19" spans="1:2" x14ac:dyDescent="0.25">
      <c r="A19" t="str">
        <f ca="1"/>
        <v>Aqualog</v>
      </c>
      <c r="B19" t="str">
        <f ca="1"/>
        <v>SSFLAT_ALD_20260323_18</v>
      </c>
    </row>
    <row r="20" spans="1:2" x14ac:dyDescent="0.25">
      <c r="A20" t="str">
        <f ca="1"/>
        <v>Aqualog</v>
      </c>
      <c r="B20" t="str">
        <f ca="1"/>
        <v>SSFLAT_ALD_20260323_19</v>
      </c>
    </row>
    <row r="21" spans="1:2" x14ac:dyDescent="0.25">
      <c r="A21" t="str">
        <f ca="1"/>
        <v>Aqualog</v>
      </c>
      <c r="B21" t="str">
        <f ca="1"/>
        <v>SSFLAT_ALD_20260323_20</v>
      </c>
    </row>
    <row r="22" spans="1:2" x14ac:dyDescent="0.25">
      <c r="A22" t="str">
        <f ca="1"/>
        <v>Aqualog</v>
      </c>
      <c r="B22" t="str">
        <f ca="1"/>
        <v>SSFLAT_ALD_20260323_21</v>
      </c>
    </row>
    <row r="23" spans="1:2" x14ac:dyDescent="0.25">
      <c r="A23" t="str">
        <f ca="1"/>
        <v>Aqualog</v>
      </c>
      <c r="B23" t="str">
        <f ca="1"/>
        <v>SSFLAT_ALD_20260323_22</v>
      </c>
    </row>
    <row r="24" spans="1:2" x14ac:dyDescent="0.25">
      <c r="A24" t="str">
        <f ca="1"/>
        <v>Aqualog</v>
      </c>
      <c r="B24" t="str">
        <f ca="1"/>
        <v>SSFLAT_ALD_20260323_23</v>
      </c>
    </row>
    <row r="25" spans="1:2" x14ac:dyDescent="0.25">
      <c r="A25" t="str">
        <f ca="1"/>
        <v>Aqualog</v>
      </c>
      <c r="B25" t="str">
        <f ca="1"/>
        <v>SSFLAT_ALD_20260323_24</v>
      </c>
    </row>
    <row r="26" spans="1:2" x14ac:dyDescent="0.25">
      <c r="A26" t="str">
        <f ca="1"/>
        <v>Aqualog</v>
      </c>
      <c r="B26" t="str">
        <f ca="1"/>
        <v>SSFLAT_CMP_20260323_01</v>
      </c>
    </row>
    <row r="27" spans="1:2" x14ac:dyDescent="0.25">
      <c r="A27" t="str">
        <f ca="1"/>
        <v>Aqualog</v>
      </c>
      <c r="B27" t="str">
        <f ca="1"/>
        <v>SSFLAT_CMP_20260323_02</v>
      </c>
    </row>
    <row r="28" spans="1:2" x14ac:dyDescent="0.25">
      <c r="A28" t="str">
        <f ca="1"/>
        <v>Aqualog</v>
      </c>
      <c r="B28" t="str">
        <f ca="1"/>
        <v>SSFLAT_CMP_20260323_03</v>
      </c>
    </row>
    <row r="29" spans="1:2" x14ac:dyDescent="0.25">
      <c r="A29" t="str">
        <f ca="1"/>
        <v>Aqualog</v>
      </c>
      <c r="B29" t="str">
        <f ca="1"/>
        <v>SSFLAT_CMP_20260323_04</v>
      </c>
    </row>
    <row r="30" spans="1:2" x14ac:dyDescent="0.25">
      <c r="A30" t="str">
        <f ca="1"/>
        <v>Aqualog</v>
      </c>
      <c r="B30" t="str">
        <f ca="1"/>
        <v>SSFLAT_CMP_20260323_05</v>
      </c>
    </row>
    <row r="31" spans="1:2" x14ac:dyDescent="0.25">
      <c r="A31" t="str">
        <f ca="1"/>
        <v>Aqualog</v>
      </c>
      <c r="B31" t="str">
        <f ca="1"/>
        <v>SSFLAT_CMP_20260323_06</v>
      </c>
    </row>
    <row r="32" spans="1:2" x14ac:dyDescent="0.25">
      <c r="A32" t="str">
        <f ca="1"/>
        <v>Aqualog</v>
      </c>
      <c r="B32" t="str">
        <f ca="1"/>
        <v>SSFLAT_CMP_20260323_07</v>
      </c>
    </row>
    <row r="33" spans="1:2" x14ac:dyDescent="0.25">
      <c r="A33" t="str">
        <f ca="1"/>
        <v>Aqualog</v>
      </c>
      <c r="B33" t="str">
        <f ca="1"/>
        <v>SSFLAT_CMP_20260323_08</v>
      </c>
    </row>
    <row r="34" spans="1:2" x14ac:dyDescent="0.25">
      <c r="A34" t="str">
        <f ca="1"/>
        <v>Aqualog</v>
      </c>
      <c r="B34" t="str">
        <f ca="1"/>
        <v>SSFLAT_CMP_20260323_09</v>
      </c>
    </row>
    <row r="35" spans="1:2" x14ac:dyDescent="0.25">
      <c r="A35" t="str">
        <f ca="1"/>
        <v>Aqualog</v>
      </c>
      <c r="B35" t="str">
        <f ca="1"/>
        <v>SSFLAT_CMP_20260323_10</v>
      </c>
    </row>
    <row r="36" spans="1:2" x14ac:dyDescent="0.25">
      <c r="A36" t="str">
        <f ca="1"/>
        <v>Aqualog</v>
      </c>
      <c r="B36" t="str">
        <f ca="1"/>
        <v>SSFLAT_CMP_20260323_11</v>
      </c>
    </row>
    <row r="37" spans="1:2" x14ac:dyDescent="0.25">
      <c r="A37" t="str">
        <f ca="1"/>
        <v>Aqualog</v>
      </c>
      <c r="B37" t="str">
        <f ca="1"/>
        <v>SSFLAT_CMP_20260323_12</v>
      </c>
    </row>
    <row r="38" spans="1:2" x14ac:dyDescent="0.25">
      <c r="A38" t="str">
        <f ca="1"/>
        <v>Aqualog</v>
      </c>
      <c r="B38" t="str">
        <f ca="1"/>
        <v>SSFLAT_CMP_20260323_13</v>
      </c>
    </row>
    <row r="39" spans="1:2" x14ac:dyDescent="0.25">
      <c r="A39" t="str">
        <f ca="1"/>
        <v>Aqualog</v>
      </c>
      <c r="B39" t="str">
        <f ca="1"/>
        <v>SSFLAT_CMP_20260323_14</v>
      </c>
    </row>
    <row r="40" spans="1:2" x14ac:dyDescent="0.25">
      <c r="A40" t="str">
        <f ca="1"/>
        <v>Aqualog</v>
      </c>
      <c r="B40" t="str">
        <f ca="1"/>
        <v>SSFLAT_CMP_20260323_15</v>
      </c>
    </row>
    <row r="41" spans="1:2" x14ac:dyDescent="0.25">
      <c r="A41" t="str">
        <f ca="1"/>
        <v>Aqualog</v>
      </c>
      <c r="B41" t="str">
        <f ca="1"/>
        <v>SSFLAT_CMP_20260323_16</v>
      </c>
    </row>
    <row r="42" spans="1:2" x14ac:dyDescent="0.25">
      <c r="A42" t="str">
        <f ca="1"/>
        <v>Aqualog</v>
      </c>
      <c r="B42" t="str">
        <f ca="1"/>
        <v>SSFLAT_CMP_20260323_17</v>
      </c>
    </row>
    <row r="43" spans="1:2" x14ac:dyDescent="0.25">
      <c r="A43" t="str">
        <f ca="1"/>
        <v>Aqualog</v>
      </c>
      <c r="B43" t="str">
        <f ca="1"/>
        <v>SSFLAT_CMP_20260323_18</v>
      </c>
    </row>
    <row r="44" spans="1:2" x14ac:dyDescent="0.25">
      <c r="A44" t="str">
        <f ca="1"/>
        <v>Aqualog</v>
      </c>
      <c r="B44" t="str">
        <f ca="1"/>
        <v>SSFLAT_CMP_20260323_19</v>
      </c>
    </row>
    <row r="45" spans="1:2" x14ac:dyDescent="0.25">
      <c r="A45" t="str">
        <f ca="1"/>
        <v>Aqualog</v>
      </c>
      <c r="B45" t="str">
        <f ca="1"/>
        <v>SSFLAT_CMP_20260323_20</v>
      </c>
    </row>
    <row r="46" spans="1:2" x14ac:dyDescent="0.25">
      <c r="A46" t="str">
        <f ca="1"/>
        <v>Aqualog</v>
      </c>
      <c r="B46" t="str">
        <f ca="1"/>
        <v>SSFLAT_CMP_20260323_21</v>
      </c>
    </row>
    <row r="47" spans="1:2" x14ac:dyDescent="0.25">
      <c r="A47" t="str">
        <f ca="1"/>
        <v>Aqualog</v>
      </c>
      <c r="B47" t="str">
        <f ca="1"/>
        <v>SSFLAT_CMP_20260323_22</v>
      </c>
    </row>
    <row r="48" spans="1:2" x14ac:dyDescent="0.25">
      <c r="A48" t="str">
        <f ca="1"/>
        <v>Aqualog</v>
      </c>
      <c r="B48" t="str">
        <f ca="1"/>
        <v>SSFLAT_CMP_20260323_23</v>
      </c>
    </row>
    <row r="49" spans="1:2" x14ac:dyDescent="0.25">
      <c r="A49" t="str">
        <f ca="1"/>
        <v>Aqualog</v>
      </c>
      <c r="B49" t="str">
        <f ca="1"/>
        <v>SSFLAT_CMP_20260323_24</v>
      </c>
    </row>
    <row r="50" spans="1:2" x14ac:dyDescent="0.25">
      <c r="A50" t="str">
        <f ca="1"/>
        <v>CCAL</v>
      </c>
      <c r="B50" t="str">
        <f ca="1"/>
        <v>SSFLAT_ALD_20260323_01</v>
      </c>
    </row>
    <row r="51" spans="1:2" x14ac:dyDescent="0.25">
      <c r="A51" t="str">
        <f ca="1"/>
        <v>CCAL</v>
      </c>
      <c r="B51" t="str">
        <f ca="1"/>
        <v>SSFLAT_ALD_20260323_02</v>
      </c>
    </row>
    <row r="52" spans="1:2" x14ac:dyDescent="0.25">
      <c r="A52" t="str">
        <f ca="1"/>
        <v>CCAL</v>
      </c>
      <c r="B52" t="str">
        <f ca="1"/>
        <v>SSFLAT_ALD_20260323_03</v>
      </c>
    </row>
    <row r="53" spans="1:2" x14ac:dyDescent="0.25">
      <c r="A53" t="str">
        <f ca="1"/>
        <v>CCAL</v>
      </c>
      <c r="B53" t="str">
        <f ca="1"/>
        <v>SSFLAT_ALD_20260323_04</v>
      </c>
    </row>
    <row r="54" spans="1:2" x14ac:dyDescent="0.25">
      <c r="A54" t="str">
        <f ca="1"/>
        <v>CCAL</v>
      </c>
      <c r="B54" t="str">
        <f ca="1"/>
        <v>SSFLAT_ALD_20260323_05</v>
      </c>
    </row>
    <row r="55" spans="1:2" x14ac:dyDescent="0.25">
      <c r="A55" t="str">
        <f ca="1"/>
        <v>CCAL</v>
      </c>
      <c r="B55" t="str">
        <f ca="1"/>
        <v>SSFLAT_ALD_20260323_06</v>
      </c>
    </row>
    <row r="56" spans="1:2" x14ac:dyDescent="0.25">
      <c r="A56" t="str">
        <f ca="1"/>
        <v>CCAL</v>
      </c>
      <c r="B56" t="str">
        <f ca="1"/>
        <v>SSFLAT_ALD_20260323_07</v>
      </c>
    </row>
    <row r="57" spans="1:2" x14ac:dyDescent="0.25">
      <c r="A57" t="str">
        <f ca="1"/>
        <v>CCAL</v>
      </c>
      <c r="B57" t="str">
        <f ca="1"/>
        <v>SSFLAT_ALD_20260323_08</v>
      </c>
    </row>
    <row r="58" spans="1:2" x14ac:dyDescent="0.25">
      <c r="A58" t="str">
        <f ca="1"/>
        <v>CCAL</v>
      </c>
      <c r="B58" t="str">
        <f ca="1"/>
        <v>SSFLAT_ALD_20260323_09</v>
      </c>
    </row>
    <row r="59" spans="1:2" x14ac:dyDescent="0.25">
      <c r="A59" t="str">
        <f ca="1"/>
        <v>CCAL</v>
      </c>
      <c r="B59" t="str">
        <f ca="1"/>
        <v>SSFLAT_ALD_20260323_10</v>
      </c>
    </row>
    <row r="60" spans="1:2" x14ac:dyDescent="0.25">
      <c r="A60" t="str">
        <f ca="1"/>
        <v>CCAL</v>
      </c>
      <c r="B60" t="str">
        <f ca="1"/>
        <v>SSFLAT_ALD_20260323_11</v>
      </c>
    </row>
    <row r="61" spans="1:2" x14ac:dyDescent="0.25">
      <c r="A61" t="str">
        <f ca="1"/>
        <v>CCAL</v>
      </c>
      <c r="B61" t="str">
        <f ca="1"/>
        <v>SSFLAT_ALD_20260323_12</v>
      </c>
    </row>
    <row r="62" spans="1:2" x14ac:dyDescent="0.25">
      <c r="A62" t="str">
        <f ca="1"/>
        <v>CCAL</v>
      </c>
      <c r="B62" t="str">
        <f ca="1"/>
        <v>SSFLAT_ALD_20260323_13</v>
      </c>
    </row>
    <row r="63" spans="1:2" x14ac:dyDescent="0.25">
      <c r="A63" t="str">
        <f ca="1"/>
        <v>CCAL</v>
      </c>
      <c r="B63" t="str">
        <f ca="1"/>
        <v>SSFLAT_ALD_20260323_14</v>
      </c>
    </row>
    <row r="64" spans="1:2" x14ac:dyDescent="0.25">
      <c r="A64" t="str">
        <f ca="1"/>
        <v>CCAL</v>
      </c>
      <c r="B64" t="str">
        <f ca="1"/>
        <v>SSFLAT_ALD_20260323_15</v>
      </c>
    </row>
    <row r="65" spans="1:2" x14ac:dyDescent="0.25">
      <c r="A65" t="str">
        <f ca="1"/>
        <v>CCAL</v>
      </c>
      <c r="B65" t="str">
        <f ca="1"/>
        <v>SSFLAT_ALD_20260323_16</v>
      </c>
    </row>
    <row r="66" spans="1:2" x14ac:dyDescent="0.25">
      <c r="A66" t="str">
        <f ca="1"/>
        <v>CCAL</v>
      </c>
      <c r="B66" t="str">
        <f ca="1"/>
        <v>SSFLAT_ALD_20260323_17</v>
      </c>
    </row>
    <row r="67" spans="1:2" x14ac:dyDescent="0.25">
      <c r="A67" t="str">
        <f ca="1"/>
        <v>CCAL</v>
      </c>
      <c r="B67" t="str">
        <f ca="1"/>
        <v>SSFLAT_ALD_20260323_18</v>
      </c>
    </row>
    <row r="68" spans="1:2" x14ac:dyDescent="0.25">
      <c r="A68" t="str">
        <f ca="1"/>
        <v>CCAL</v>
      </c>
      <c r="B68" t="str">
        <f ca="1"/>
        <v>SSFLAT_ALD_20260323_19</v>
      </c>
    </row>
    <row r="69" spans="1:2" x14ac:dyDescent="0.25">
      <c r="A69" t="str">
        <f ca="1"/>
        <v>CCAL</v>
      </c>
      <c r="B69" t="str">
        <f ca="1"/>
        <v>SSFLAT_ALD_20260323_20</v>
      </c>
    </row>
    <row r="70" spans="1:2" x14ac:dyDescent="0.25">
      <c r="A70" t="str">
        <f ca="1"/>
        <v>CCAL</v>
      </c>
      <c r="B70" t="str">
        <f ca="1"/>
        <v>SSFLAT_ALD_20260323_21</v>
      </c>
    </row>
    <row r="71" spans="1:2" x14ac:dyDescent="0.25">
      <c r="A71" t="str">
        <f ca="1"/>
        <v>CCAL</v>
      </c>
      <c r="B71" t="str">
        <f ca="1"/>
        <v>SSFLAT_ALD_20260323_22</v>
      </c>
    </row>
    <row r="72" spans="1:2" x14ac:dyDescent="0.25">
      <c r="A72" t="str">
        <f ca="1"/>
        <v>CCAL</v>
      </c>
      <c r="B72" t="str">
        <f ca="1"/>
        <v>SSFLAT_ALD_20260323_23</v>
      </c>
    </row>
    <row r="73" spans="1:2" x14ac:dyDescent="0.25">
      <c r="A73" t="str">
        <f ca="1"/>
        <v>CCAL</v>
      </c>
      <c r="B73" t="str">
        <f ca="1"/>
        <v>SSFLAT_ALD_20260323_24</v>
      </c>
    </row>
    <row r="74" spans="1:2" x14ac:dyDescent="0.25">
      <c r="A74" t="str">
        <f ca="1"/>
        <v>CCAL</v>
      </c>
      <c r="B74" t="str">
        <f ca="1"/>
        <v>SSFLAT_CMP_20260323_01</v>
      </c>
    </row>
    <row r="75" spans="1:2" x14ac:dyDescent="0.25">
      <c r="A75" t="str">
        <f ca="1"/>
        <v>CCAL</v>
      </c>
      <c r="B75" t="str">
        <f ca="1"/>
        <v>SSFLAT_CMP_20260323_02</v>
      </c>
    </row>
    <row r="76" spans="1:2" x14ac:dyDescent="0.25">
      <c r="A76" t="str">
        <f ca="1"/>
        <v>CCAL</v>
      </c>
      <c r="B76" t="str">
        <f ca="1"/>
        <v>SSFLAT_CMP_20260323_03</v>
      </c>
    </row>
    <row r="77" spans="1:2" x14ac:dyDescent="0.25">
      <c r="A77" t="str">
        <f ca="1"/>
        <v>CCAL</v>
      </c>
      <c r="B77" t="str">
        <f ca="1"/>
        <v>SSFLAT_CMP_20260323_04</v>
      </c>
    </row>
    <row r="78" spans="1:2" x14ac:dyDescent="0.25">
      <c r="A78" t="str">
        <f ca="1"/>
        <v>CCAL</v>
      </c>
      <c r="B78" t="str">
        <f ca="1"/>
        <v>SSFLAT_CMP_20260323_05</v>
      </c>
    </row>
    <row r="79" spans="1:2" x14ac:dyDescent="0.25">
      <c r="A79" t="str">
        <f ca="1"/>
        <v>CCAL</v>
      </c>
      <c r="B79" t="str">
        <f ca="1"/>
        <v>SSFLAT_CMP_20260323_06</v>
      </c>
    </row>
    <row r="80" spans="1:2" x14ac:dyDescent="0.25">
      <c r="A80" t="str">
        <f ca="1"/>
        <v>CCAL</v>
      </c>
      <c r="B80" t="str">
        <f ca="1"/>
        <v>SSFLAT_CMP_20260323_07</v>
      </c>
    </row>
    <row r="81" spans="1:2" x14ac:dyDescent="0.25">
      <c r="A81" t="str">
        <f ca="1"/>
        <v>CCAL</v>
      </c>
      <c r="B81" t="str">
        <f ca="1"/>
        <v>SSFLAT_CMP_20260323_08</v>
      </c>
    </row>
    <row r="82" spans="1:2" x14ac:dyDescent="0.25">
      <c r="A82" t="str">
        <f ca="1"/>
        <v>CCAL</v>
      </c>
      <c r="B82" t="str">
        <f ca="1"/>
        <v>SSFLAT_CMP_20260323_09</v>
      </c>
    </row>
    <row r="83" spans="1:2" x14ac:dyDescent="0.25">
      <c r="A83" t="str">
        <f ca="1"/>
        <v>CCAL</v>
      </c>
      <c r="B83" t="str">
        <f ca="1"/>
        <v>SSFLAT_CMP_20260323_10</v>
      </c>
    </row>
    <row r="84" spans="1:2" x14ac:dyDescent="0.25">
      <c r="A84" t="str">
        <f ca="1"/>
        <v>CCAL</v>
      </c>
      <c r="B84" t="str">
        <f ca="1"/>
        <v>SSFLAT_CMP_20260323_11</v>
      </c>
    </row>
    <row r="85" spans="1:2" x14ac:dyDescent="0.25">
      <c r="A85" t="str">
        <f ca="1"/>
        <v>CCAL</v>
      </c>
      <c r="B85" t="str">
        <f ca="1"/>
        <v>SSFLAT_CMP_20260323_12</v>
      </c>
    </row>
    <row r="86" spans="1:2" x14ac:dyDescent="0.25">
      <c r="A86" t="str">
        <f ca="1"/>
        <v>CCAL</v>
      </c>
      <c r="B86" t="str">
        <f ca="1"/>
        <v>SSFLAT_CMP_20260323_13</v>
      </c>
    </row>
    <row r="87" spans="1:2" x14ac:dyDescent="0.25">
      <c r="A87" t="str">
        <f ca="1"/>
        <v>CCAL</v>
      </c>
      <c r="B87" t="str">
        <f ca="1"/>
        <v>SSFLAT_CMP_20260323_14</v>
      </c>
    </row>
    <row r="88" spans="1:2" x14ac:dyDescent="0.25">
      <c r="A88" t="str">
        <f ca="1"/>
        <v>CCAL</v>
      </c>
      <c r="B88" t="str">
        <f ca="1"/>
        <v>SSFLAT_CMP_20260323_15</v>
      </c>
    </row>
    <row r="89" spans="1:2" x14ac:dyDescent="0.25">
      <c r="A89" t="str">
        <f ca="1"/>
        <v>CCAL</v>
      </c>
      <c r="B89" t="str">
        <f ca="1"/>
        <v>SSFLAT_CMP_20260323_16</v>
      </c>
    </row>
    <row r="90" spans="1:2" x14ac:dyDescent="0.25">
      <c r="A90" t="str">
        <f ca="1"/>
        <v>CCAL</v>
      </c>
      <c r="B90" t="str">
        <f ca="1"/>
        <v>SSFLAT_CMP_20260323_17</v>
      </c>
    </row>
    <row r="91" spans="1:2" x14ac:dyDescent="0.25">
      <c r="A91" t="str">
        <f ca="1"/>
        <v>CCAL</v>
      </c>
      <c r="B91" t="str">
        <f ca="1"/>
        <v>SSFLAT_CMP_20260323_18</v>
      </c>
    </row>
    <row r="92" spans="1:2" x14ac:dyDescent="0.25">
      <c r="A92" t="str">
        <f ca="1"/>
        <v>CCAL</v>
      </c>
      <c r="B92" t="str">
        <f ca="1"/>
        <v>SSFLAT_CMP_20260323_19</v>
      </c>
    </row>
    <row r="93" spans="1:2" x14ac:dyDescent="0.25">
      <c r="A93" t="str">
        <f ca="1"/>
        <v>CCAL</v>
      </c>
      <c r="B93" t="str">
        <f ca="1"/>
        <v>SSFLAT_CMP_20260323_20</v>
      </c>
    </row>
    <row r="94" spans="1:2" x14ac:dyDescent="0.25">
      <c r="A94" t="str">
        <f ca="1"/>
        <v>CCAL</v>
      </c>
      <c r="B94" t="str">
        <f ca="1"/>
        <v>SSFLAT_CMP_20260323_21</v>
      </c>
    </row>
    <row r="95" spans="1:2" x14ac:dyDescent="0.25">
      <c r="A95" t="str">
        <f ca="1"/>
        <v>CCAL</v>
      </c>
      <c r="B95" t="str">
        <f ca="1"/>
        <v>SSFLAT_CMP_20260323_22</v>
      </c>
    </row>
    <row r="96" spans="1:2" x14ac:dyDescent="0.25">
      <c r="A96" t="str">
        <f ca="1"/>
        <v>CCAL</v>
      </c>
      <c r="B96" t="str">
        <f ca="1"/>
        <v>SSFLAT_CMP_20260323_23</v>
      </c>
    </row>
    <row r="97" spans="1:2" x14ac:dyDescent="0.25">
      <c r="A97" t="str">
        <f ca="1"/>
        <v>CCAL</v>
      </c>
      <c r="B97" t="str">
        <f ca="1"/>
        <v>SSFLAT_CMP_20260323_24</v>
      </c>
    </row>
    <row r="98" spans="1:2" x14ac:dyDescent="0.25">
      <c r="A98" t="str">
        <f ca="1"/>
        <v>Excess</v>
      </c>
      <c r="B98" t="str">
        <f ca="1"/>
        <v>SSFLAT_ALD_20260323_01</v>
      </c>
    </row>
    <row r="99" spans="1:2" x14ac:dyDescent="0.25">
      <c r="A99" t="str">
        <f ca="1"/>
        <v>Excess</v>
      </c>
      <c r="B99" t="str">
        <f ca="1"/>
        <v>SSFLAT_ALD_20260323_02</v>
      </c>
    </row>
    <row r="100" spans="1:2" x14ac:dyDescent="0.25">
      <c r="A100" t="str">
        <f ca="1"/>
        <v>Excess</v>
      </c>
      <c r="B100" t="str">
        <f ca="1"/>
        <v>SSFLAT_ALD_20260323_03</v>
      </c>
    </row>
    <row r="101" spans="1:2" x14ac:dyDescent="0.25">
      <c r="A101" t="str">
        <f ca="1"/>
        <v>Excess</v>
      </c>
      <c r="B101" t="str">
        <f ca="1"/>
        <v>SSFLAT_ALD_20260323_04</v>
      </c>
    </row>
    <row r="102" spans="1:2" x14ac:dyDescent="0.25">
      <c r="A102" t="str">
        <f ca="1"/>
        <v>Excess</v>
      </c>
      <c r="B102" t="str">
        <f ca="1"/>
        <v>SSFLAT_ALD_20260323_05</v>
      </c>
    </row>
    <row r="103" spans="1:2" x14ac:dyDescent="0.25">
      <c r="A103" t="str">
        <f ca="1"/>
        <v>Excess</v>
      </c>
      <c r="B103" t="str">
        <f ca="1"/>
        <v>SSFLAT_ALD_20260323_06</v>
      </c>
    </row>
    <row r="104" spans="1:2" x14ac:dyDescent="0.25">
      <c r="A104" t="str">
        <f ca="1"/>
        <v>Excess</v>
      </c>
      <c r="B104" t="str">
        <f ca="1"/>
        <v>SSFLAT_ALD_20260323_07</v>
      </c>
    </row>
    <row r="105" spans="1:2" x14ac:dyDescent="0.25">
      <c r="A105" t="str">
        <f ca="1"/>
        <v>Excess</v>
      </c>
      <c r="B105" t="str">
        <f ca="1"/>
        <v>SSFLAT_ALD_20260323_08</v>
      </c>
    </row>
    <row r="106" spans="1:2" x14ac:dyDescent="0.25">
      <c r="A106" t="str">
        <f ca="1"/>
        <v>Excess</v>
      </c>
      <c r="B106" t="str">
        <f ca="1"/>
        <v>SSFLAT_ALD_20260323_09</v>
      </c>
    </row>
    <row r="107" spans="1:2" x14ac:dyDescent="0.25">
      <c r="A107" t="str">
        <f ca="1"/>
        <v>Excess</v>
      </c>
      <c r="B107" t="str">
        <f ca="1"/>
        <v>SSFLAT_ALD_20260323_10</v>
      </c>
    </row>
    <row r="108" spans="1:2" x14ac:dyDescent="0.25">
      <c r="A108" t="str">
        <f ca="1"/>
        <v>Excess</v>
      </c>
      <c r="B108" t="str">
        <f ca="1"/>
        <v>SSFLAT_ALD_20260323_11</v>
      </c>
    </row>
    <row r="109" spans="1:2" x14ac:dyDescent="0.25">
      <c r="A109" t="str">
        <f ca="1"/>
        <v>Excess</v>
      </c>
      <c r="B109" t="str">
        <f ca="1"/>
        <v>SSFLAT_ALD_20260323_12</v>
      </c>
    </row>
    <row r="110" spans="1:2" x14ac:dyDescent="0.25">
      <c r="A110" t="str">
        <f ca="1"/>
        <v>Excess</v>
      </c>
      <c r="B110" t="str">
        <f ca="1"/>
        <v>SSFLAT_ALD_20260323_13</v>
      </c>
    </row>
    <row r="111" spans="1:2" x14ac:dyDescent="0.25">
      <c r="A111" t="str">
        <f ca="1"/>
        <v>Excess</v>
      </c>
      <c r="B111" t="str">
        <f ca="1"/>
        <v>SSFLAT_ALD_20260323_14</v>
      </c>
    </row>
    <row r="112" spans="1:2" x14ac:dyDescent="0.25">
      <c r="A112" t="str">
        <f ca="1"/>
        <v>Excess</v>
      </c>
      <c r="B112" t="str">
        <f ca="1"/>
        <v>SSFLAT_ALD_20260323_15</v>
      </c>
    </row>
    <row r="113" spans="1:2" x14ac:dyDescent="0.25">
      <c r="A113" t="str">
        <f ca="1"/>
        <v>Excess</v>
      </c>
      <c r="B113" t="str">
        <f ca="1"/>
        <v>SSFLAT_ALD_20260323_16</v>
      </c>
    </row>
    <row r="114" spans="1:2" x14ac:dyDescent="0.25">
      <c r="A114" t="str">
        <f ca="1"/>
        <v>Excess</v>
      </c>
      <c r="B114" t="str">
        <f ca="1"/>
        <v>SSFLAT_ALD_20260323_17</v>
      </c>
    </row>
    <row r="115" spans="1:2" x14ac:dyDescent="0.25">
      <c r="A115" t="str">
        <f ca="1"/>
        <v>Excess</v>
      </c>
      <c r="B115" t="str">
        <f ca="1"/>
        <v>SSFLAT_ALD_20260323_18</v>
      </c>
    </row>
    <row r="116" spans="1:2" x14ac:dyDescent="0.25">
      <c r="A116" t="str">
        <f ca="1"/>
        <v>Excess</v>
      </c>
      <c r="B116" t="str">
        <f ca="1"/>
        <v>SSFLAT_ALD_20260323_19</v>
      </c>
    </row>
    <row r="117" spans="1:2" x14ac:dyDescent="0.25">
      <c r="A117" t="str">
        <f ca="1"/>
        <v>Excess</v>
      </c>
      <c r="B117" t="str">
        <f ca="1"/>
        <v>SSFLAT_ALD_20260323_20</v>
      </c>
    </row>
    <row r="118" spans="1:2" x14ac:dyDescent="0.25">
      <c r="A118" t="str">
        <f ca="1"/>
        <v>Excess</v>
      </c>
      <c r="B118" t="str">
        <f ca="1"/>
        <v>SSFLAT_ALD_20260323_21</v>
      </c>
    </row>
    <row r="119" spans="1:2" x14ac:dyDescent="0.25">
      <c r="A119" t="str">
        <f ca="1"/>
        <v>Excess</v>
      </c>
      <c r="B119" t="str">
        <f ca="1"/>
        <v>SSFLAT_ALD_20260323_22</v>
      </c>
    </row>
    <row r="120" spans="1:2" x14ac:dyDescent="0.25">
      <c r="A120" t="str">
        <f ca="1"/>
        <v>Excess</v>
      </c>
      <c r="B120" t="str">
        <f ca="1"/>
        <v>SSFLAT_ALD_20260323_23</v>
      </c>
    </row>
    <row r="121" spans="1:2" x14ac:dyDescent="0.25">
      <c r="A121" t="str">
        <f ca="1"/>
        <v>Excess</v>
      </c>
      <c r="B121" t="str">
        <f ca="1"/>
        <v>SSFLAT_ALD_20260323_24</v>
      </c>
    </row>
    <row r="122" spans="1:2" x14ac:dyDescent="0.25">
      <c r="A122" t="str">
        <f ca="1"/>
        <v>Excess</v>
      </c>
      <c r="B122" t="str">
        <f ca="1"/>
        <v>SSFLAT_CMP_20260323_01</v>
      </c>
    </row>
    <row r="123" spans="1:2" x14ac:dyDescent="0.25">
      <c r="A123" t="str">
        <f ca="1"/>
        <v>Excess</v>
      </c>
      <c r="B123" t="str">
        <f ca="1"/>
        <v>SSFLAT_CMP_20260323_02</v>
      </c>
    </row>
    <row r="124" spans="1:2" x14ac:dyDescent="0.25">
      <c r="A124" t="str">
        <f ca="1"/>
        <v>Excess</v>
      </c>
      <c r="B124" t="str">
        <f ca="1"/>
        <v>SSFLAT_CMP_20260323_03</v>
      </c>
    </row>
    <row r="125" spans="1:2" x14ac:dyDescent="0.25">
      <c r="A125" t="str">
        <f ca="1"/>
        <v>Excess</v>
      </c>
      <c r="B125" t="str">
        <f ca="1"/>
        <v>SSFLAT_CMP_20260323_04</v>
      </c>
    </row>
    <row r="126" spans="1:2" x14ac:dyDescent="0.25">
      <c r="A126" t="str">
        <f ca="1"/>
        <v>Excess</v>
      </c>
      <c r="B126" t="str">
        <f ca="1"/>
        <v>SSFLAT_CMP_20260323_05</v>
      </c>
    </row>
    <row r="127" spans="1:2" x14ac:dyDescent="0.25">
      <c r="A127" t="str">
        <f ca="1"/>
        <v>Excess</v>
      </c>
      <c r="B127" t="str">
        <f ca="1"/>
        <v>SSFLAT_CMP_20260323_06</v>
      </c>
    </row>
    <row r="128" spans="1:2" x14ac:dyDescent="0.25">
      <c r="A128" t="str">
        <f ca="1"/>
        <v>Excess</v>
      </c>
      <c r="B128" t="str">
        <f ca="1"/>
        <v>SSFLAT_CMP_20260323_07</v>
      </c>
    </row>
    <row r="129" spans="1:2" x14ac:dyDescent="0.25">
      <c r="A129" t="str">
        <f ca="1"/>
        <v>Excess</v>
      </c>
      <c r="B129" t="str">
        <f ca="1"/>
        <v>SSFLAT_CMP_20260323_08</v>
      </c>
    </row>
    <row r="130" spans="1:2" x14ac:dyDescent="0.25">
      <c r="A130" t="str">
        <f ca="1"/>
        <v>Excess</v>
      </c>
      <c r="B130" t="str">
        <f ca="1"/>
        <v>SSFLAT_CMP_20260323_09</v>
      </c>
    </row>
    <row r="131" spans="1:2" x14ac:dyDescent="0.25">
      <c r="A131" t="str">
        <f ca="1"/>
        <v>Excess</v>
      </c>
      <c r="B131" t="str">
        <f ca="1"/>
        <v>SSFLAT_CMP_20260323_10</v>
      </c>
    </row>
    <row r="132" spans="1:2" x14ac:dyDescent="0.25">
      <c r="A132" t="str">
        <f ca="1"/>
        <v>Excess</v>
      </c>
      <c r="B132" t="str">
        <f ca="1"/>
        <v>SSFLAT_CMP_20260323_11</v>
      </c>
    </row>
    <row r="133" spans="1:2" x14ac:dyDescent="0.25">
      <c r="A133" t="str">
        <f ca="1"/>
        <v>Excess</v>
      </c>
      <c r="B133" t="str">
        <f ca="1"/>
        <v>SSFLAT_CMP_20260323_12</v>
      </c>
    </row>
    <row r="134" spans="1:2" x14ac:dyDescent="0.25">
      <c r="A134" t="str">
        <f ca="1"/>
        <v>Excess</v>
      </c>
      <c r="B134" t="str">
        <f ca="1"/>
        <v>SSFLAT_CMP_20260323_13</v>
      </c>
    </row>
    <row r="135" spans="1:2" x14ac:dyDescent="0.25">
      <c r="A135" t="str">
        <f ca="1"/>
        <v>Excess</v>
      </c>
      <c r="B135" t="str">
        <f ca="1"/>
        <v>SSFLAT_CMP_20260323_14</v>
      </c>
    </row>
    <row r="136" spans="1:2" x14ac:dyDescent="0.25">
      <c r="A136" t="str">
        <f ca="1"/>
        <v>Excess</v>
      </c>
      <c r="B136" t="str">
        <f ca="1"/>
        <v>SSFLAT_CMP_20260323_15</v>
      </c>
    </row>
    <row r="137" spans="1:2" x14ac:dyDescent="0.25">
      <c r="A137" t="str">
        <f ca="1"/>
        <v>Excess</v>
      </c>
      <c r="B137" t="str">
        <f ca="1"/>
        <v>SSFLAT_CMP_20260323_16</v>
      </c>
    </row>
    <row r="138" spans="1:2" x14ac:dyDescent="0.25">
      <c r="A138" t="str">
        <f ca="1"/>
        <v>Excess</v>
      </c>
      <c r="B138" t="str">
        <f ca="1"/>
        <v>SSFLAT_CMP_20260323_17</v>
      </c>
    </row>
    <row r="139" spans="1:2" x14ac:dyDescent="0.25">
      <c r="A139" t="str">
        <f ca="1"/>
        <v>Excess</v>
      </c>
      <c r="B139" t="str">
        <f ca="1"/>
        <v>SSFLAT_CMP_20260323_18</v>
      </c>
    </row>
    <row r="140" spans="1:2" x14ac:dyDescent="0.25">
      <c r="A140" t="str">
        <f ca="1"/>
        <v>Excess</v>
      </c>
      <c r="B140" t="str">
        <f ca="1"/>
        <v>SSFLAT_CMP_20260323_19</v>
      </c>
    </row>
    <row r="141" spans="1:2" x14ac:dyDescent="0.25">
      <c r="A141" t="str">
        <f ca="1"/>
        <v>Excess</v>
      </c>
      <c r="B141" t="str">
        <f ca="1"/>
        <v>SSFLAT_CMP_20260323_20</v>
      </c>
    </row>
    <row r="142" spans="1:2" x14ac:dyDescent="0.25">
      <c r="A142" t="str">
        <f ca="1"/>
        <v>Excess</v>
      </c>
      <c r="B142" t="str">
        <f ca="1"/>
        <v>SSFLAT_CMP_20260323_21</v>
      </c>
    </row>
    <row r="143" spans="1:2" x14ac:dyDescent="0.25">
      <c r="A143" t="str">
        <f ca="1"/>
        <v>Excess</v>
      </c>
      <c r="B143" t="str">
        <f ca="1"/>
        <v>SSFLAT_CMP_20260323_22</v>
      </c>
    </row>
    <row r="144" spans="1:2" x14ac:dyDescent="0.25">
      <c r="A144" t="str">
        <f ca="1"/>
        <v>Excess</v>
      </c>
      <c r="B144" t="str">
        <f ca="1"/>
        <v>SSFLAT_CMP_20260323_23</v>
      </c>
    </row>
    <row r="145" spans="1:2" x14ac:dyDescent="0.25">
      <c r="A145" t="str">
        <f ca="1"/>
        <v>Excess</v>
      </c>
      <c r="B145" t="str">
        <f ca="1"/>
        <v>SSFLAT_CMP_20260323_24</v>
      </c>
    </row>
    <row r="146" spans="1:2" x14ac:dyDescent="0.25">
      <c r="A146" t="str">
        <f ca="1"/>
        <v>Shimadzu</v>
      </c>
      <c r="B146" t="str">
        <f ca="1"/>
        <v>SSFLAT_ALD_20260323_01</v>
      </c>
    </row>
    <row r="147" spans="1:2" x14ac:dyDescent="0.25">
      <c r="A147" t="str">
        <f ca="1"/>
        <v>Shimadzu</v>
      </c>
      <c r="B147" t="str">
        <f ca="1"/>
        <v>SSFLAT_ALD_20260323_02</v>
      </c>
    </row>
    <row r="148" spans="1:2" x14ac:dyDescent="0.25">
      <c r="A148" t="str">
        <f ca="1"/>
        <v>Shimadzu</v>
      </c>
      <c r="B148" t="str">
        <f ca="1"/>
        <v>SSFLAT_ALD_20260323_03</v>
      </c>
    </row>
    <row r="149" spans="1:2" x14ac:dyDescent="0.25">
      <c r="A149" t="str">
        <f ca="1"/>
        <v>Shimadzu</v>
      </c>
      <c r="B149" t="str">
        <f ca="1"/>
        <v>SSFLAT_ALD_20260323_04</v>
      </c>
    </row>
    <row r="150" spans="1:2" x14ac:dyDescent="0.25">
      <c r="A150" t="str">
        <f ca="1"/>
        <v>Shimadzu</v>
      </c>
      <c r="B150" t="str">
        <f ca="1"/>
        <v>SSFLAT_ALD_20260323_05</v>
      </c>
    </row>
    <row r="151" spans="1:2" x14ac:dyDescent="0.25">
      <c r="A151" t="str">
        <f ca="1"/>
        <v>Shimadzu</v>
      </c>
      <c r="B151" t="str">
        <f ca="1"/>
        <v>SSFLAT_ALD_20260323_06</v>
      </c>
    </row>
    <row r="152" spans="1:2" x14ac:dyDescent="0.25">
      <c r="A152" t="str">
        <f ca="1"/>
        <v>Shimadzu</v>
      </c>
      <c r="B152" t="str">
        <f ca="1"/>
        <v>SSFLAT_ALD_20260323_07</v>
      </c>
    </row>
    <row r="153" spans="1:2" x14ac:dyDescent="0.25">
      <c r="A153" t="str">
        <f ca="1"/>
        <v>Shimadzu</v>
      </c>
      <c r="B153" t="str">
        <f ca="1"/>
        <v>SSFLAT_ALD_20260323_08</v>
      </c>
    </row>
    <row r="154" spans="1:2" x14ac:dyDescent="0.25">
      <c r="A154" t="str">
        <f ca="1"/>
        <v>Shimadzu</v>
      </c>
      <c r="B154" t="str">
        <f ca="1"/>
        <v>SSFLAT_ALD_20260323_09</v>
      </c>
    </row>
    <row r="155" spans="1:2" x14ac:dyDescent="0.25">
      <c r="A155" t="str">
        <f ca="1"/>
        <v>Shimadzu</v>
      </c>
      <c r="B155" t="str">
        <f ca="1"/>
        <v>SSFLAT_ALD_20260323_10</v>
      </c>
    </row>
    <row r="156" spans="1:2" x14ac:dyDescent="0.25">
      <c r="A156" t="str">
        <f ca="1"/>
        <v>Shimadzu</v>
      </c>
      <c r="B156" t="str">
        <f ca="1"/>
        <v>SSFLAT_ALD_20260323_11</v>
      </c>
    </row>
    <row r="157" spans="1:2" x14ac:dyDescent="0.25">
      <c r="A157" t="str">
        <f ca="1"/>
        <v>Shimadzu</v>
      </c>
      <c r="B157" t="str">
        <f ca="1"/>
        <v>SSFLAT_ALD_20260323_12</v>
      </c>
    </row>
    <row r="158" spans="1:2" x14ac:dyDescent="0.25">
      <c r="A158" t="str">
        <f ca="1"/>
        <v>Shimadzu</v>
      </c>
      <c r="B158" t="str">
        <f ca="1"/>
        <v>SSFLAT_ALD_20260323_13</v>
      </c>
    </row>
    <row r="159" spans="1:2" x14ac:dyDescent="0.25">
      <c r="A159" t="str">
        <f ca="1"/>
        <v>Shimadzu</v>
      </c>
      <c r="B159" t="str">
        <f ca="1"/>
        <v>SSFLAT_ALD_20260323_14</v>
      </c>
    </row>
    <row r="160" spans="1:2" x14ac:dyDescent="0.25">
      <c r="A160" t="str">
        <f ca="1"/>
        <v>Shimadzu</v>
      </c>
      <c r="B160" t="str">
        <f ca="1"/>
        <v>SSFLAT_ALD_20260323_15</v>
      </c>
    </row>
    <row r="161" spans="1:2" x14ac:dyDescent="0.25">
      <c r="A161" t="str">
        <f ca="1"/>
        <v>Shimadzu</v>
      </c>
      <c r="B161" t="str">
        <f ca="1"/>
        <v>SSFLAT_ALD_20260323_16</v>
      </c>
    </row>
    <row r="162" spans="1:2" x14ac:dyDescent="0.25">
      <c r="A162" t="str">
        <f ca="1"/>
        <v>Shimadzu</v>
      </c>
      <c r="B162" t="str">
        <f ca="1"/>
        <v>SSFLAT_ALD_20260323_17</v>
      </c>
    </row>
    <row r="163" spans="1:2" x14ac:dyDescent="0.25">
      <c r="A163" t="str">
        <f ca="1"/>
        <v>Shimadzu</v>
      </c>
      <c r="B163" t="str">
        <f ca="1"/>
        <v>SSFLAT_ALD_20260323_18</v>
      </c>
    </row>
    <row r="164" spans="1:2" x14ac:dyDescent="0.25">
      <c r="A164" t="str">
        <f ca="1"/>
        <v>Shimadzu</v>
      </c>
      <c r="B164" t="str">
        <f ca="1"/>
        <v>SSFLAT_ALD_20260323_19</v>
      </c>
    </row>
    <row r="165" spans="1:2" x14ac:dyDescent="0.25">
      <c r="A165" t="str">
        <f ca="1"/>
        <v>Shimadzu</v>
      </c>
      <c r="B165" t="str">
        <f ca="1"/>
        <v>SSFLAT_ALD_20260323_20</v>
      </c>
    </row>
    <row r="166" spans="1:2" x14ac:dyDescent="0.25">
      <c r="A166" t="str">
        <f ca="1"/>
        <v>Shimadzu</v>
      </c>
      <c r="B166" t="str">
        <f ca="1"/>
        <v>SSFLAT_ALD_20260323_21</v>
      </c>
    </row>
    <row r="167" spans="1:2" x14ac:dyDescent="0.25">
      <c r="A167" t="str">
        <f ca="1"/>
        <v>Shimadzu</v>
      </c>
      <c r="B167" t="str">
        <f ca="1"/>
        <v>SSFLAT_ALD_20260323_22</v>
      </c>
    </row>
    <row r="168" spans="1:2" x14ac:dyDescent="0.25">
      <c r="A168" t="str">
        <f ca="1"/>
        <v>Shimadzu</v>
      </c>
      <c r="B168" t="str">
        <f ca="1"/>
        <v>SSFLAT_ALD_20260323_23</v>
      </c>
    </row>
    <row r="169" spans="1:2" x14ac:dyDescent="0.25">
      <c r="A169" t="str">
        <f ca="1"/>
        <v>Shimadzu</v>
      </c>
      <c r="B169" t="str">
        <f ca="1"/>
        <v>SSFLAT_ALD_20260323_24</v>
      </c>
    </row>
    <row r="170" spans="1:2" x14ac:dyDescent="0.25">
      <c r="A170" t="str">
        <f ca="1"/>
        <v>Shimadzu</v>
      </c>
      <c r="B170" t="str">
        <f ca="1"/>
        <v>SSFLAT_CMP_20260323_01</v>
      </c>
    </row>
    <row r="171" spans="1:2" x14ac:dyDescent="0.25">
      <c r="A171" t="str">
        <f ca="1"/>
        <v>Shimadzu</v>
      </c>
      <c r="B171" t="str">
        <f ca="1"/>
        <v>SSFLAT_CMP_20260323_02</v>
      </c>
    </row>
    <row r="172" spans="1:2" x14ac:dyDescent="0.25">
      <c r="A172" t="str">
        <f ca="1"/>
        <v>Shimadzu</v>
      </c>
      <c r="B172" t="str">
        <f ca="1"/>
        <v>SSFLAT_CMP_20260323_03</v>
      </c>
    </row>
    <row r="173" spans="1:2" x14ac:dyDescent="0.25">
      <c r="A173" t="str">
        <f ca="1"/>
        <v>Shimadzu</v>
      </c>
      <c r="B173" t="str">
        <f ca="1"/>
        <v>SSFLAT_CMP_20260323_04</v>
      </c>
    </row>
    <row r="174" spans="1:2" x14ac:dyDescent="0.25">
      <c r="A174" t="str">
        <f ca="1"/>
        <v>Shimadzu</v>
      </c>
      <c r="B174" t="str">
        <f ca="1"/>
        <v>SSFLAT_CMP_20260323_05</v>
      </c>
    </row>
    <row r="175" spans="1:2" x14ac:dyDescent="0.25">
      <c r="A175" t="str">
        <f ca="1"/>
        <v>Shimadzu</v>
      </c>
      <c r="B175" t="str">
        <f ca="1"/>
        <v>SSFLAT_CMP_20260323_06</v>
      </c>
    </row>
    <row r="176" spans="1:2" x14ac:dyDescent="0.25">
      <c r="A176" t="str">
        <f ca="1"/>
        <v>Shimadzu</v>
      </c>
      <c r="B176" t="str">
        <f ca="1"/>
        <v>SSFLAT_CMP_20260323_07</v>
      </c>
    </row>
    <row r="177" spans="1:2" x14ac:dyDescent="0.25">
      <c r="A177" t="str">
        <f ca="1"/>
        <v>Shimadzu</v>
      </c>
      <c r="B177" t="str">
        <f ca="1"/>
        <v>SSFLAT_CMP_20260323_08</v>
      </c>
    </row>
    <row r="178" spans="1:2" x14ac:dyDescent="0.25">
      <c r="A178" t="str">
        <f ca="1"/>
        <v>Shimadzu</v>
      </c>
      <c r="B178" t="str">
        <f ca="1"/>
        <v>SSFLAT_CMP_20260323_09</v>
      </c>
    </row>
    <row r="179" spans="1:2" x14ac:dyDescent="0.25">
      <c r="A179" t="str">
        <f ca="1"/>
        <v>Shimadzu</v>
      </c>
      <c r="B179" t="str">
        <f ca="1"/>
        <v>SSFLAT_CMP_20260323_10</v>
      </c>
    </row>
    <row r="180" spans="1:2" x14ac:dyDescent="0.25">
      <c r="A180" t="str">
        <f ca="1"/>
        <v>Shimadzu</v>
      </c>
      <c r="B180" t="str">
        <f ca="1"/>
        <v>SSFLAT_CMP_20260323_11</v>
      </c>
    </row>
    <row r="181" spans="1:2" x14ac:dyDescent="0.25">
      <c r="A181" t="str">
        <f ca="1"/>
        <v>Shimadzu</v>
      </c>
      <c r="B181" t="str">
        <f ca="1"/>
        <v>SSFLAT_CMP_20260323_12</v>
      </c>
    </row>
    <row r="182" spans="1:2" x14ac:dyDescent="0.25">
      <c r="A182" t="str">
        <f ca="1"/>
        <v>Shimadzu</v>
      </c>
      <c r="B182" t="str">
        <f ca="1"/>
        <v>SSFLAT_CMP_20260323_13</v>
      </c>
    </row>
    <row r="183" spans="1:2" x14ac:dyDescent="0.25">
      <c r="A183" t="str">
        <f ca="1"/>
        <v>Shimadzu</v>
      </c>
      <c r="B183" t="str">
        <f ca="1"/>
        <v>SSFLAT_CMP_20260323_14</v>
      </c>
    </row>
    <row r="184" spans="1:2" x14ac:dyDescent="0.25">
      <c r="A184" t="str">
        <f ca="1"/>
        <v>Shimadzu</v>
      </c>
      <c r="B184" t="str">
        <f ca="1"/>
        <v>SSFLAT_CMP_20260323_15</v>
      </c>
    </row>
    <row r="185" spans="1:2" x14ac:dyDescent="0.25">
      <c r="A185" t="str">
        <f ca="1"/>
        <v>Shimadzu</v>
      </c>
      <c r="B185" t="str">
        <f ca="1"/>
        <v>SSFLAT_CMP_20260323_16</v>
      </c>
    </row>
    <row r="186" spans="1:2" x14ac:dyDescent="0.25">
      <c r="A186" t="str">
        <f ca="1"/>
        <v>Shimadzu</v>
      </c>
      <c r="B186" t="str">
        <f ca="1"/>
        <v>SSFLAT_CMP_20260323_17</v>
      </c>
    </row>
    <row r="187" spans="1:2" x14ac:dyDescent="0.25">
      <c r="A187" t="str">
        <f ca="1"/>
        <v>Shimadzu</v>
      </c>
      <c r="B187" t="str">
        <f ca="1"/>
        <v>SSFLAT_CMP_20260323_18</v>
      </c>
    </row>
    <row r="188" spans="1:2" x14ac:dyDescent="0.25">
      <c r="A188" t="str">
        <f ca="1"/>
        <v>Shimadzu</v>
      </c>
      <c r="B188" t="str">
        <f ca="1"/>
        <v>SSFLAT_CMP_20260323_19</v>
      </c>
    </row>
    <row r="189" spans="1:2" x14ac:dyDescent="0.25">
      <c r="A189" t="str">
        <f ca="1"/>
        <v>Shimadzu</v>
      </c>
      <c r="B189" t="str">
        <f ca="1"/>
        <v>SSFLAT_CMP_20260323_20</v>
      </c>
    </row>
    <row r="190" spans="1:2" x14ac:dyDescent="0.25">
      <c r="A190" t="str">
        <f ca="1"/>
        <v>Shimadzu</v>
      </c>
      <c r="B190" t="str">
        <f ca="1"/>
        <v>SSFLAT_CMP_20260323_21</v>
      </c>
    </row>
    <row r="191" spans="1:2" x14ac:dyDescent="0.25">
      <c r="A191" t="str">
        <f ca="1"/>
        <v>Shimadzu</v>
      </c>
      <c r="B191" t="str">
        <f ca="1"/>
        <v>SSFLAT_CMP_20260323_22</v>
      </c>
    </row>
    <row r="192" spans="1:2" x14ac:dyDescent="0.25">
      <c r="A192" t="str">
        <f ca="1"/>
        <v>Shimadzu</v>
      </c>
      <c r="B192" t="str">
        <f ca="1"/>
        <v>SSFLAT_CMP_20260323_23</v>
      </c>
    </row>
    <row r="193" spans="1:2" x14ac:dyDescent="0.25">
      <c r="A193" t="str">
        <f ca="1"/>
        <v>Shimadzu</v>
      </c>
      <c r="B193" t="str">
        <f ca="1"/>
        <v>SSFLAT_CMP_20260323_24</v>
      </c>
    </row>
  </sheetData>
  <phoneticPr fontId="2" type="noConversion"/>
  <conditionalFormatting sqref="A1:A1048576">
    <cfRule type="cellIs" dxfId="6" priority="1" operator="equal">
      <formula>"Grab"</formula>
    </cfRule>
    <cfRule type="cellIs" dxfId="5" priority="2" operator="equal">
      <formula>"ISCO"</formula>
    </cfRule>
    <cfRule type="cellIs" dxfId="4" priority="3" operator="equal">
      <formula>"Excess"</formula>
    </cfRule>
    <cfRule type="cellIs" dxfId="3" priority="4" operator="equal">
      <formula>"CCAL"</formula>
    </cfRule>
    <cfRule type="cellIs" dxfId="2" priority="5" operator="equal">
      <formula>"Levoglucosan"</formula>
    </cfRule>
    <cfRule type="cellIs" dxfId="1" priority="6" operator="equal">
      <formula>"Aqualog"</formula>
    </cfRule>
    <cfRule type="cellIs" dxfId="0" priority="7" operator="equal">
      <formula>"Shimadzu"</formula>
    </cfRule>
  </conditionalFormatting>
  <pageMargins left="0.7" right="0.7" top="0.75" bottom="0.75" header="0.3" footer="0.3"/>
  <pageSetup scale="86" fitToHeight="0" orientation="landscape" r:id="rId1"/>
  <headerFooter>
    <oddHeader>&amp;L&amp;"Consolas,Bold"&amp;13Date:____________________ Technican:___________________ 
Project Code:___________  Study Code:_____________</oddHeader>
    <oddFooter>&amp;C&amp;"Consolas,Regular"&amp;14&amp;P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F4C7-78F1-4C98-B28B-4E3D6C123D4A}">
  <sheetPr>
    <pageSetUpPr fitToPage="1"/>
  </sheetPr>
  <dimension ref="A1:F94"/>
  <sheetViews>
    <sheetView topLeftCell="A38" zoomScaleNormal="100" workbookViewId="0">
      <selection activeCell="J15" sqref="J15"/>
    </sheetView>
  </sheetViews>
  <sheetFormatPr defaultRowHeight="15" x14ac:dyDescent="0.25"/>
  <cols>
    <col min="1" max="1" width="31" customWidth="1"/>
    <col min="2" max="2" width="16.7109375" customWidth="1"/>
    <col min="3" max="3" width="17.85546875" customWidth="1"/>
    <col min="4" max="4" width="13.28515625" customWidth="1"/>
    <col min="5" max="5" width="15.7109375" customWidth="1"/>
    <col min="6" max="6" width="33.28515625" customWidth="1"/>
  </cols>
  <sheetData>
    <row r="1" spans="1:6" ht="15.75" x14ac:dyDescent="0.25">
      <c r="A1" s="51" t="s">
        <v>58</v>
      </c>
      <c r="B1" s="52" t="s">
        <v>59</v>
      </c>
      <c r="C1" s="52" t="s">
        <v>60</v>
      </c>
      <c r="D1" s="52" t="s">
        <v>61</v>
      </c>
      <c r="E1" s="52" t="s">
        <v>62</v>
      </c>
      <c r="F1" s="64" t="s">
        <v>63</v>
      </c>
    </row>
    <row r="2" spans="1:6" ht="15.75" x14ac:dyDescent="0.25">
      <c r="A2" s="53" t="s">
        <v>64</v>
      </c>
      <c r="B2" s="54" t="s">
        <v>65</v>
      </c>
      <c r="C2" s="55" t="s">
        <v>66</v>
      </c>
      <c r="D2" s="55" t="s">
        <v>66</v>
      </c>
      <c r="E2" s="55" t="s">
        <v>67</v>
      </c>
      <c r="F2" s="55" t="s">
        <v>68</v>
      </c>
    </row>
    <row r="3" spans="1:6" ht="15.75" x14ac:dyDescent="0.25">
      <c r="A3" s="56" t="str" cm="1">
        <f t="array" aca="1" ref="A3:A50" ca="1">_xlfn.CHOOSEROWS(
    IF(FILLME!B9="Bottle Number", 'Label IDs'!K:K, 'Label IDs'!L:L),
    _xlfn.SEQUENCE(FILLME!B16*FILLME!B5) + 1
)</f>
        <v>SSFLAT_ALD_20260323_01</v>
      </c>
      <c r="B3" s="56"/>
      <c r="C3" s="56"/>
      <c r="D3" s="56"/>
      <c r="E3" s="56"/>
      <c r="F3" s="56"/>
    </row>
    <row r="4" spans="1:6" ht="15.75" x14ac:dyDescent="0.25">
      <c r="A4" s="57" t="str">
        <f ca="1"/>
        <v>SSFLAT_ALD_20260323_02</v>
      </c>
      <c r="B4" s="57"/>
      <c r="C4" s="57"/>
      <c r="D4" s="57"/>
      <c r="E4" s="57"/>
      <c r="F4" s="57"/>
    </row>
    <row r="5" spans="1:6" ht="15.75" x14ac:dyDescent="0.25">
      <c r="A5" s="58" t="str">
        <f ca="1"/>
        <v>SSFLAT_ALD_20260323_03</v>
      </c>
      <c r="B5" s="58"/>
      <c r="C5" s="58"/>
      <c r="D5" s="58"/>
      <c r="E5" s="58"/>
      <c r="F5" s="58"/>
    </row>
    <row r="6" spans="1:6" ht="15.75" x14ac:dyDescent="0.25">
      <c r="A6" s="57" t="str">
        <f ca="1"/>
        <v>SSFLAT_ALD_20260323_04</v>
      </c>
      <c r="B6" s="57"/>
      <c r="C6" s="57"/>
      <c r="D6" s="57"/>
      <c r="E6" s="57"/>
      <c r="F6" s="57"/>
    </row>
    <row r="7" spans="1:6" ht="15.75" x14ac:dyDescent="0.25">
      <c r="A7" s="58" t="str">
        <f ca="1"/>
        <v>SSFLAT_ALD_20260323_05</v>
      </c>
      <c r="B7" s="58"/>
      <c r="C7" s="58"/>
      <c r="D7" s="58"/>
      <c r="E7" s="58"/>
      <c r="F7" s="58"/>
    </row>
    <row r="8" spans="1:6" ht="15.75" x14ac:dyDescent="0.25">
      <c r="A8" s="57" t="str">
        <f ca="1"/>
        <v>SSFLAT_ALD_20260323_06</v>
      </c>
      <c r="B8" s="57"/>
      <c r="C8" s="57"/>
      <c r="D8" s="57"/>
      <c r="E8" s="57"/>
      <c r="F8" s="57"/>
    </row>
    <row r="9" spans="1:6" ht="15.75" x14ac:dyDescent="0.25">
      <c r="A9" s="58" t="str">
        <f ca="1"/>
        <v>SSFLAT_ALD_20260323_07</v>
      </c>
      <c r="B9" s="58"/>
      <c r="C9" s="58"/>
      <c r="D9" s="58"/>
      <c r="E9" s="58"/>
      <c r="F9" s="58"/>
    </row>
    <row r="10" spans="1:6" ht="15.75" x14ac:dyDescent="0.25">
      <c r="A10" s="57" t="str">
        <f ca="1"/>
        <v>SSFLAT_ALD_20260323_08</v>
      </c>
      <c r="B10" s="57"/>
      <c r="C10" s="57"/>
      <c r="D10" s="57"/>
      <c r="E10" s="57"/>
      <c r="F10" s="57"/>
    </row>
    <row r="11" spans="1:6" ht="15.75" x14ac:dyDescent="0.25">
      <c r="A11" s="58" t="str">
        <f ca="1"/>
        <v>SSFLAT_ALD_20260323_09</v>
      </c>
      <c r="B11" s="58"/>
      <c r="C11" s="58"/>
      <c r="D11" s="58"/>
      <c r="E11" s="58"/>
      <c r="F11" s="58"/>
    </row>
    <row r="12" spans="1:6" ht="15.75" x14ac:dyDescent="0.25">
      <c r="A12" s="57" t="str">
        <f ca="1"/>
        <v>SSFLAT_ALD_20260323_10</v>
      </c>
      <c r="B12" s="57"/>
      <c r="C12" s="57"/>
      <c r="D12" s="57"/>
      <c r="E12" s="57"/>
      <c r="F12" s="57"/>
    </row>
    <row r="13" spans="1:6" ht="15.75" x14ac:dyDescent="0.25">
      <c r="A13" s="58" t="str">
        <f ca="1"/>
        <v>SSFLAT_ALD_20260323_11</v>
      </c>
      <c r="B13" s="58"/>
      <c r="C13" s="58"/>
      <c r="D13" s="58"/>
      <c r="E13" s="58"/>
      <c r="F13" s="58"/>
    </row>
    <row r="14" spans="1:6" ht="15.75" x14ac:dyDescent="0.25">
      <c r="A14" s="57" t="str">
        <f ca="1"/>
        <v>SSFLAT_ALD_20260323_12</v>
      </c>
      <c r="B14" s="57"/>
      <c r="C14" s="57"/>
      <c r="D14" s="57"/>
      <c r="E14" s="57"/>
      <c r="F14" s="57"/>
    </row>
    <row r="15" spans="1:6" ht="15.75" x14ac:dyDescent="0.25">
      <c r="A15" s="58" t="str">
        <f ca="1"/>
        <v>SSFLAT_ALD_20260323_13</v>
      </c>
      <c r="B15" s="58"/>
      <c r="C15" s="58"/>
      <c r="D15" s="58"/>
      <c r="E15" s="58"/>
      <c r="F15" s="58"/>
    </row>
    <row r="16" spans="1:6" ht="15.75" x14ac:dyDescent="0.25">
      <c r="A16" s="57" t="str">
        <f ca="1"/>
        <v>SSFLAT_ALD_20260323_14</v>
      </c>
      <c r="B16" s="57"/>
      <c r="C16" s="57"/>
      <c r="D16" s="57"/>
      <c r="E16" s="57"/>
      <c r="F16" s="57"/>
    </row>
    <row r="17" spans="1:6" ht="15.75" x14ac:dyDescent="0.25">
      <c r="A17" s="58" t="str">
        <f ca="1"/>
        <v>SSFLAT_ALD_20260323_15</v>
      </c>
      <c r="B17" s="58"/>
      <c r="C17" s="58"/>
      <c r="D17" s="58"/>
      <c r="E17" s="58"/>
      <c r="F17" s="58"/>
    </row>
    <row r="18" spans="1:6" ht="15.75" x14ac:dyDescent="0.25">
      <c r="A18" s="57" t="str">
        <f ca="1"/>
        <v>SSFLAT_ALD_20260323_16</v>
      </c>
      <c r="B18" s="57"/>
      <c r="C18" s="57"/>
      <c r="D18" s="57"/>
      <c r="E18" s="57"/>
      <c r="F18" s="57"/>
    </row>
    <row r="19" spans="1:6" ht="15.75" x14ac:dyDescent="0.25">
      <c r="A19" s="58" t="str">
        <f ca="1"/>
        <v>SSFLAT_ALD_20260323_17</v>
      </c>
      <c r="B19" s="58"/>
      <c r="C19" s="58"/>
      <c r="D19" s="58"/>
      <c r="E19" s="58"/>
      <c r="F19" s="58"/>
    </row>
    <row r="20" spans="1:6" ht="15.75" x14ac:dyDescent="0.25">
      <c r="A20" s="57" t="str">
        <f ca="1"/>
        <v>SSFLAT_ALD_20260323_18</v>
      </c>
      <c r="B20" s="57"/>
      <c r="C20" s="57"/>
      <c r="D20" s="57"/>
      <c r="E20" s="57"/>
      <c r="F20" s="57"/>
    </row>
    <row r="21" spans="1:6" ht="15.75" x14ac:dyDescent="0.25">
      <c r="A21" s="58" t="str">
        <f ca="1"/>
        <v>SSFLAT_ALD_20260323_19</v>
      </c>
      <c r="B21" s="58"/>
      <c r="C21" s="58"/>
      <c r="D21" s="58"/>
      <c r="E21" s="58"/>
      <c r="F21" s="58"/>
    </row>
    <row r="22" spans="1:6" ht="15.75" x14ac:dyDescent="0.25">
      <c r="A22" s="57" t="str">
        <f ca="1"/>
        <v>SSFLAT_ALD_20260323_20</v>
      </c>
      <c r="B22" s="57"/>
      <c r="C22" s="57"/>
      <c r="D22" s="57"/>
      <c r="E22" s="57"/>
      <c r="F22" s="57"/>
    </row>
    <row r="23" spans="1:6" ht="15.75" x14ac:dyDescent="0.25">
      <c r="A23" s="58" t="str">
        <f ca="1"/>
        <v>SSFLAT_ALD_20260323_21</v>
      </c>
      <c r="B23" s="58"/>
      <c r="C23" s="58"/>
      <c r="D23" s="58"/>
      <c r="E23" s="58"/>
      <c r="F23" s="58"/>
    </row>
    <row r="24" spans="1:6" ht="15.75" x14ac:dyDescent="0.25">
      <c r="A24" s="57" t="str">
        <f ca="1"/>
        <v>SSFLAT_ALD_20260323_22</v>
      </c>
      <c r="B24" s="57"/>
      <c r="C24" s="57"/>
      <c r="D24" s="57"/>
      <c r="E24" s="57"/>
      <c r="F24" s="57"/>
    </row>
    <row r="25" spans="1:6" ht="15.75" x14ac:dyDescent="0.25">
      <c r="A25" s="58" t="str">
        <f ca="1"/>
        <v>SSFLAT_ALD_20260323_23</v>
      </c>
      <c r="B25" s="58"/>
      <c r="C25" s="58"/>
      <c r="D25" s="58"/>
      <c r="E25" s="58"/>
      <c r="F25" s="58"/>
    </row>
    <row r="26" spans="1:6" ht="15.75" x14ac:dyDescent="0.25">
      <c r="A26" s="57" t="str">
        <f ca="1"/>
        <v>SSFLAT_ALD_20260323_24</v>
      </c>
      <c r="B26" s="57"/>
      <c r="C26" s="57"/>
      <c r="D26" s="57"/>
      <c r="E26" s="57"/>
      <c r="F26" s="57"/>
    </row>
    <row r="27" spans="1:6" ht="15.75" x14ac:dyDescent="0.25">
      <c r="A27" s="58" t="str">
        <f ca="1"/>
        <v>SSFLAT_CMP_20260323_01</v>
      </c>
      <c r="B27" s="58"/>
      <c r="C27" s="58"/>
      <c r="D27" s="58"/>
      <c r="E27" s="58"/>
      <c r="F27" s="58"/>
    </row>
    <row r="28" spans="1:6" ht="15.75" x14ac:dyDescent="0.25">
      <c r="A28" s="57" t="str">
        <f ca="1"/>
        <v>SSFLAT_CMP_20260323_02</v>
      </c>
      <c r="B28" s="57"/>
      <c r="C28" s="57"/>
      <c r="D28" s="57"/>
      <c r="E28" s="57"/>
      <c r="F28" s="57"/>
    </row>
    <row r="29" spans="1:6" ht="15.75" x14ac:dyDescent="0.25">
      <c r="A29" s="58" t="str">
        <f ca="1"/>
        <v>SSFLAT_CMP_20260323_03</v>
      </c>
      <c r="B29" s="58"/>
      <c r="C29" s="58"/>
      <c r="D29" s="58"/>
      <c r="E29" s="58"/>
      <c r="F29" s="58"/>
    </row>
    <row r="30" spans="1:6" ht="15.75" x14ac:dyDescent="0.25">
      <c r="A30" s="57" t="str">
        <f ca="1"/>
        <v>SSFLAT_CMP_20260323_04</v>
      </c>
      <c r="B30" s="57"/>
      <c r="C30" s="57"/>
      <c r="D30" s="57"/>
      <c r="E30" s="57"/>
      <c r="F30" s="57"/>
    </row>
    <row r="31" spans="1:6" ht="15.75" x14ac:dyDescent="0.25">
      <c r="A31" s="58" t="str">
        <f ca="1"/>
        <v>SSFLAT_CMP_20260323_05</v>
      </c>
      <c r="B31" s="58"/>
      <c r="C31" s="58"/>
      <c r="D31" s="58"/>
      <c r="E31" s="58"/>
      <c r="F31" s="58"/>
    </row>
    <row r="32" spans="1:6" ht="15.75" x14ac:dyDescent="0.25">
      <c r="A32" s="57" t="str">
        <f ca="1"/>
        <v>SSFLAT_CMP_20260323_06</v>
      </c>
      <c r="B32" s="57"/>
      <c r="C32" s="57"/>
      <c r="D32" s="57"/>
      <c r="E32" s="57"/>
      <c r="F32" s="57"/>
    </row>
    <row r="33" spans="1:6" ht="15.75" x14ac:dyDescent="0.25">
      <c r="A33" s="58" t="str">
        <f ca="1"/>
        <v>SSFLAT_CMP_20260323_07</v>
      </c>
      <c r="B33" s="58"/>
      <c r="C33" s="58"/>
      <c r="D33" s="58"/>
      <c r="E33" s="58"/>
      <c r="F33" s="58"/>
    </row>
    <row r="34" spans="1:6" ht="15.75" x14ac:dyDescent="0.25">
      <c r="A34" s="57" t="str">
        <f ca="1"/>
        <v>SSFLAT_CMP_20260323_08</v>
      </c>
      <c r="B34" s="57"/>
      <c r="C34" s="57"/>
      <c r="D34" s="57"/>
      <c r="E34" s="57"/>
      <c r="F34" s="57"/>
    </row>
    <row r="35" spans="1:6" ht="15.75" x14ac:dyDescent="0.25">
      <c r="A35" s="58" t="str">
        <f ca="1"/>
        <v>SSFLAT_CMP_20260323_09</v>
      </c>
      <c r="B35" s="58"/>
      <c r="C35" s="58"/>
      <c r="D35" s="58"/>
      <c r="E35" s="58"/>
      <c r="F35" s="58"/>
    </row>
    <row r="36" spans="1:6" ht="15.75" x14ac:dyDescent="0.25">
      <c r="A36" s="57" t="str">
        <f ca="1"/>
        <v>SSFLAT_CMP_20260323_10</v>
      </c>
      <c r="B36" s="57"/>
      <c r="C36" s="57"/>
      <c r="D36" s="57"/>
      <c r="E36" s="57"/>
      <c r="F36" s="57"/>
    </row>
    <row r="37" spans="1:6" ht="15.75" x14ac:dyDescent="0.25">
      <c r="A37" s="58" t="str">
        <f ca="1"/>
        <v>SSFLAT_CMP_20260323_11</v>
      </c>
      <c r="B37" s="58"/>
      <c r="C37" s="58"/>
      <c r="D37" s="58"/>
      <c r="E37" s="58"/>
      <c r="F37" s="58"/>
    </row>
    <row r="38" spans="1:6" ht="15.75" x14ac:dyDescent="0.25">
      <c r="A38" s="57" t="str">
        <f ca="1"/>
        <v>SSFLAT_CMP_20260323_12</v>
      </c>
      <c r="B38" s="57"/>
      <c r="C38" s="57"/>
      <c r="D38" s="57"/>
      <c r="E38" s="57"/>
      <c r="F38" s="57"/>
    </row>
    <row r="39" spans="1:6" ht="15.75" x14ac:dyDescent="0.25">
      <c r="A39" s="58" t="str">
        <f ca="1"/>
        <v>SSFLAT_CMP_20260323_13</v>
      </c>
      <c r="B39" s="58"/>
      <c r="C39" s="58"/>
      <c r="D39" s="58"/>
      <c r="E39" s="58"/>
      <c r="F39" s="58"/>
    </row>
    <row r="40" spans="1:6" ht="15.75" x14ac:dyDescent="0.25">
      <c r="A40" s="57" t="str">
        <f ca="1"/>
        <v>SSFLAT_CMP_20260323_14</v>
      </c>
      <c r="B40" s="57"/>
      <c r="C40" s="57"/>
      <c r="D40" s="57"/>
      <c r="E40" s="57"/>
      <c r="F40" s="57"/>
    </row>
    <row r="41" spans="1:6" ht="15.75" x14ac:dyDescent="0.25">
      <c r="A41" s="58" t="str">
        <f ca="1"/>
        <v>SSFLAT_CMP_20260323_15</v>
      </c>
      <c r="B41" s="58"/>
      <c r="C41" s="58"/>
      <c r="D41" s="58"/>
      <c r="E41" s="58"/>
      <c r="F41" s="58"/>
    </row>
    <row r="42" spans="1:6" ht="15.75" x14ac:dyDescent="0.25">
      <c r="A42" s="57" t="str">
        <f ca="1"/>
        <v>SSFLAT_CMP_20260323_16</v>
      </c>
      <c r="B42" s="57"/>
      <c r="C42" s="57"/>
      <c r="D42" s="57"/>
      <c r="E42" s="57"/>
      <c r="F42" s="57"/>
    </row>
    <row r="43" spans="1:6" ht="15.75" x14ac:dyDescent="0.25">
      <c r="A43" s="58" t="str">
        <f ca="1"/>
        <v>SSFLAT_CMP_20260323_17</v>
      </c>
      <c r="B43" s="58"/>
      <c r="C43" s="58"/>
      <c r="D43" s="58"/>
      <c r="E43" s="58"/>
      <c r="F43" s="58"/>
    </row>
    <row r="44" spans="1:6" ht="15.75" x14ac:dyDescent="0.25">
      <c r="A44" s="57" t="str">
        <f ca="1"/>
        <v>SSFLAT_CMP_20260323_18</v>
      </c>
      <c r="B44" s="57"/>
      <c r="C44" s="57"/>
      <c r="D44" s="57"/>
      <c r="E44" s="57"/>
      <c r="F44" s="57"/>
    </row>
    <row r="45" spans="1:6" ht="15.75" x14ac:dyDescent="0.25">
      <c r="A45" s="58" t="str">
        <f ca="1"/>
        <v>SSFLAT_CMP_20260323_19</v>
      </c>
      <c r="B45" s="58"/>
      <c r="C45" s="58"/>
      <c r="D45" s="58"/>
      <c r="E45" s="58"/>
      <c r="F45" s="58"/>
    </row>
    <row r="46" spans="1:6" ht="15.75" x14ac:dyDescent="0.25">
      <c r="A46" s="57" t="str">
        <f ca="1"/>
        <v>SSFLAT_CMP_20260323_20</v>
      </c>
      <c r="B46" s="57"/>
      <c r="C46" s="57"/>
      <c r="D46" s="57"/>
      <c r="E46" s="57"/>
      <c r="F46" s="57"/>
    </row>
    <row r="47" spans="1:6" ht="15.75" x14ac:dyDescent="0.25">
      <c r="A47" s="58" t="str">
        <f ca="1"/>
        <v>SSFLAT_CMP_20260323_21</v>
      </c>
      <c r="B47" s="58"/>
      <c r="C47" s="58"/>
      <c r="D47" s="58"/>
      <c r="E47" s="58"/>
      <c r="F47" s="58"/>
    </row>
    <row r="48" spans="1:6" ht="15.75" x14ac:dyDescent="0.25">
      <c r="A48" s="57" t="str">
        <f ca="1"/>
        <v>SSFLAT_CMP_20260323_22</v>
      </c>
      <c r="B48" s="57"/>
      <c r="C48" s="57"/>
      <c r="D48" s="57"/>
      <c r="E48" s="57"/>
      <c r="F48" s="57"/>
    </row>
    <row r="49" spans="1:6" ht="15.75" x14ac:dyDescent="0.25">
      <c r="A49" s="58" t="str">
        <f ca="1"/>
        <v>SSFLAT_CMP_20260323_23</v>
      </c>
      <c r="B49" s="58"/>
      <c r="C49" s="58"/>
      <c r="D49" s="58"/>
      <c r="E49" s="58"/>
      <c r="F49" s="58"/>
    </row>
    <row r="50" spans="1:6" ht="15.75" x14ac:dyDescent="0.25">
      <c r="A50" s="57" t="str">
        <f ca="1"/>
        <v>SSFLAT_CMP_20260323_24</v>
      </c>
      <c r="B50" s="57"/>
      <c r="C50" s="57"/>
      <c r="D50" s="57"/>
      <c r="E50" s="57"/>
      <c r="F50" s="57"/>
    </row>
    <row r="51" spans="1:6" ht="15.75" x14ac:dyDescent="0.25">
      <c r="A51" s="58"/>
      <c r="B51" s="58"/>
      <c r="C51" s="58"/>
      <c r="D51" s="58"/>
      <c r="E51" s="58"/>
      <c r="F51" s="58"/>
    </row>
    <row r="52" spans="1:6" ht="15.75" x14ac:dyDescent="0.25">
      <c r="A52" s="57"/>
      <c r="B52" s="57"/>
      <c r="C52" s="57"/>
      <c r="D52" s="57"/>
      <c r="E52" s="57"/>
      <c r="F52" s="57"/>
    </row>
    <row r="53" spans="1:6" ht="15.75" x14ac:dyDescent="0.25">
      <c r="A53" s="58"/>
      <c r="B53" s="58"/>
      <c r="C53" s="58"/>
      <c r="D53" s="58"/>
      <c r="E53" s="58"/>
      <c r="F53" s="58"/>
    </row>
    <row r="54" spans="1:6" ht="15.75" x14ac:dyDescent="0.25">
      <c r="A54" s="57"/>
      <c r="B54" s="57"/>
      <c r="C54" s="57"/>
      <c r="D54" s="57"/>
      <c r="E54" s="57"/>
      <c r="F54" s="57"/>
    </row>
    <row r="55" spans="1:6" ht="15.75" x14ac:dyDescent="0.25">
      <c r="A55" s="58"/>
      <c r="B55" s="58"/>
      <c r="C55" s="58"/>
      <c r="D55" s="58"/>
      <c r="E55" s="58"/>
      <c r="F55" s="58"/>
    </row>
    <row r="56" spans="1:6" ht="15.75" x14ac:dyDescent="0.25">
      <c r="A56" s="57"/>
      <c r="B56" s="57"/>
      <c r="C56" s="57"/>
      <c r="D56" s="57"/>
      <c r="E56" s="57"/>
      <c r="F56" s="57"/>
    </row>
    <row r="57" spans="1:6" ht="15.75" x14ac:dyDescent="0.25">
      <c r="A57" s="58"/>
      <c r="B57" s="58"/>
      <c r="C57" s="58"/>
      <c r="D57" s="58"/>
      <c r="E57" s="58"/>
      <c r="F57" s="58"/>
    </row>
    <row r="58" spans="1:6" ht="15.75" x14ac:dyDescent="0.25">
      <c r="A58" s="57"/>
      <c r="B58" s="57"/>
      <c r="C58" s="57"/>
      <c r="D58" s="57"/>
      <c r="E58" s="57"/>
      <c r="F58" s="57"/>
    </row>
    <row r="59" spans="1:6" ht="15.75" x14ac:dyDescent="0.25">
      <c r="A59" s="58"/>
      <c r="B59" s="58"/>
      <c r="C59" s="58"/>
      <c r="D59" s="58"/>
      <c r="E59" s="58"/>
      <c r="F59" s="58"/>
    </row>
    <row r="60" spans="1:6" ht="15.75" x14ac:dyDescent="0.25">
      <c r="A60" s="57"/>
      <c r="B60" s="57"/>
      <c r="C60" s="57"/>
      <c r="D60" s="57"/>
      <c r="E60" s="57"/>
      <c r="F60" s="57"/>
    </row>
    <row r="61" spans="1:6" ht="15.75" x14ac:dyDescent="0.25">
      <c r="A61" s="58"/>
      <c r="B61" s="58"/>
      <c r="C61" s="58"/>
      <c r="D61" s="58"/>
      <c r="E61" s="58"/>
      <c r="F61" s="58"/>
    </row>
    <row r="62" spans="1:6" ht="15.75" x14ac:dyDescent="0.25">
      <c r="A62" s="57"/>
      <c r="B62" s="57"/>
      <c r="C62" s="57"/>
      <c r="D62" s="57"/>
      <c r="E62" s="57"/>
      <c r="F62" s="57"/>
    </row>
    <row r="63" spans="1:6" ht="15.75" x14ac:dyDescent="0.25">
      <c r="A63" s="58"/>
      <c r="B63" s="58"/>
      <c r="C63" s="58"/>
      <c r="D63" s="58"/>
      <c r="E63" s="58"/>
      <c r="F63" s="58"/>
    </row>
    <row r="64" spans="1:6" ht="15.75" x14ac:dyDescent="0.25">
      <c r="A64" s="57"/>
      <c r="B64" s="57"/>
      <c r="C64" s="57"/>
      <c r="D64" s="57"/>
      <c r="E64" s="57"/>
      <c r="F64" s="57"/>
    </row>
    <row r="65" spans="1:6" ht="15.75" x14ac:dyDescent="0.25">
      <c r="A65" s="58"/>
      <c r="B65" s="58"/>
      <c r="C65" s="58"/>
      <c r="D65" s="58"/>
      <c r="E65" s="58"/>
      <c r="F65" s="58"/>
    </row>
    <row r="66" spans="1:6" ht="15.75" x14ac:dyDescent="0.25">
      <c r="A66" s="57"/>
      <c r="B66" s="57"/>
      <c r="C66" s="57"/>
      <c r="D66" s="57"/>
      <c r="E66" s="57"/>
      <c r="F66" s="57"/>
    </row>
    <row r="67" spans="1:6" ht="15.75" x14ac:dyDescent="0.25">
      <c r="A67" s="58"/>
      <c r="B67" s="58"/>
      <c r="C67" s="58"/>
      <c r="D67" s="58"/>
      <c r="E67" s="58"/>
      <c r="F67" s="58"/>
    </row>
    <row r="68" spans="1:6" ht="15.75" x14ac:dyDescent="0.25">
      <c r="A68" s="57"/>
      <c r="B68" s="57"/>
      <c r="C68" s="57"/>
      <c r="D68" s="57"/>
      <c r="E68" s="57"/>
      <c r="F68" s="57"/>
    </row>
    <row r="69" spans="1:6" ht="15.75" x14ac:dyDescent="0.25">
      <c r="A69" s="58"/>
      <c r="B69" s="58"/>
      <c r="C69" s="58"/>
      <c r="D69" s="58"/>
      <c r="E69" s="58"/>
      <c r="F69" s="58"/>
    </row>
    <row r="70" spans="1:6" ht="15.75" x14ac:dyDescent="0.25">
      <c r="A70" s="57"/>
      <c r="B70" s="57"/>
      <c r="C70" s="57"/>
      <c r="D70" s="57"/>
      <c r="E70" s="57"/>
      <c r="F70" s="57"/>
    </row>
    <row r="71" spans="1:6" ht="15.75" x14ac:dyDescent="0.25">
      <c r="A71" s="58"/>
      <c r="B71" s="58"/>
      <c r="C71" s="58"/>
      <c r="D71" s="58"/>
      <c r="E71" s="58"/>
      <c r="F71" s="58"/>
    </row>
    <row r="72" spans="1:6" ht="15.75" x14ac:dyDescent="0.25">
      <c r="A72" s="57"/>
      <c r="B72" s="57"/>
      <c r="C72" s="57"/>
      <c r="D72" s="57"/>
      <c r="E72" s="57"/>
      <c r="F72" s="57"/>
    </row>
    <row r="73" spans="1:6" ht="15.75" x14ac:dyDescent="0.25">
      <c r="A73" s="58"/>
      <c r="B73" s="58"/>
      <c r="C73" s="58"/>
      <c r="D73" s="58"/>
      <c r="E73" s="58"/>
      <c r="F73" s="58"/>
    </row>
    <row r="74" spans="1:6" ht="15.75" x14ac:dyDescent="0.25">
      <c r="A74" s="57"/>
      <c r="B74" s="57"/>
      <c r="C74" s="57"/>
      <c r="D74" s="57"/>
      <c r="E74" s="57"/>
      <c r="F74" s="57"/>
    </row>
    <row r="75" spans="1:6" ht="15.75" x14ac:dyDescent="0.25">
      <c r="A75" s="58"/>
      <c r="B75" s="58"/>
      <c r="C75" s="58"/>
      <c r="D75" s="58"/>
      <c r="E75" s="58"/>
      <c r="F75" s="58"/>
    </row>
    <row r="76" spans="1:6" ht="15.75" x14ac:dyDescent="0.25">
      <c r="A76" s="57"/>
      <c r="B76" s="57"/>
      <c r="C76" s="57"/>
      <c r="D76" s="57"/>
      <c r="E76" s="57"/>
      <c r="F76" s="57"/>
    </row>
    <row r="77" spans="1:6" ht="15.75" x14ac:dyDescent="0.25">
      <c r="A77" s="58"/>
      <c r="B77" s="58"/>
      <c r="C77" s="58"/>
      <c r="D77" s="58"/>
      <c r="E77" s="58"/>
      <c r="F77" s="58"/>
    </row>
    <row r="78" spans="1:6" ht="15.75" x14ac:dyDescent="0.25">
      <c r="A78" s="57"/>
      <c r="B78" s="57"/>
      <c r="C78" s="57"/>
      <c r="D78" s="57"/>
      <c r="E78" s="57"/>
      <c r="F78" s="57"/>
    </row>
    <row r="79" spans="1:6" ht="15.75" x14ac:dyDescent="0.25">
      <c r="A79" s="58"/>
      <c r="B79" s="58"/>
      <c r="C79" s="58"/>
      <c r="D79" s="58"/>
      <c r="E79" s="58"/>
      <c r="F79" s="58"/>
    </row>
    <row r="80" spans="1:6" ht="15.75" x14ac:dyDescent="0.25">
      <c r="A80" s="57"/>
      <c r="B80" s="57"/>
      <c r="C80" s="57"/>
      <c r="D80" s="57"/>
      <c r="E80" s="57"/>
      <c r="F80" s="57"/>
    </row>
    <row r="81" spans="1:6" ht="15.75" x14ac:dyDescent="0.25">
      <c r="A81" s="58"/>
      <c r="B81" s="58"/>
      <c r="C81" s="58"/>
      <c r="D81" s="58"/>
      <c r="E81" s="58"/>
      <c r="F81" s="58"/>
    </row>
    <row r="82" spans="1:6" ht="15.75" x14ac:dyDescent="0.25">
      <c r="A82" s="57"/>
      <c r="B82" s="57"/>
      <c r="C82" s="57"/>
      <c r="D82" s="57"/>
      <c r="E82" s="57"/>
      <c r="F82" s="57"/>
    </row>
    <row r="83" spans="1:6" ht="15.75" x14ac:dyDescent="0.25">
      <c r="A83" s="58"/>
      <c r="B83" s="58"/>
      <c r="C83" s="58"/>
      <c r="D83" s="58"/>
      <c r="E83" s="58"/>
      <c r="F83" s="58"/>
    </row>
    <row r="84" spans="1:6" ht="15.75" x14ac:dyDescent="0.25">
      <c r="A84" s="57"/>
      <c r="B84" s="57"/>
      <c r="C84" s="57"/>
      <c r="D84" s="57"/>
      <c r="E84" s="57"/>
      <c r="F84" s="57"/>
    </row>
    <row r="85" spans="1:6" ht="15.75" x14ac:dyDescent="0.25">
      <c r="A85" s="58"/>
      <c r="B85" s="58"/>
      <c r="C85" s="58"/>
      <c r="D85" s="58"/>
      <c r="E85" s="58"/>
      <c r="F85" s="58"/>
    </row>
    <row r="86" spans="1:6" ht="15.75" x14ac:dyDescent="0.25">
      <c r="A86" s="57"/>
      <c r="B86" s="57"/>
      <c r="C86" s="57"/>
      <c r="D86" s="57"/>
      <c r="E86" s="57"/>
      <c r="F86" s="57"/>
    </row>
    <row r="87" spans="1:6" ht="15.75" x14ac:dyDescent="0.25">
      <c r="A87" s="58"/>
      <c r="B87" s="58"/>
      <c r="C87" s="58"/>
      <c r="D87" s="58"/>
      <c r="E87" s="58"/>
      <c r="F87" s="58"/>
    </row>
    <row r="88" spans="1:6" ht="15.75" x14ac:dyDescent="0.25">
      <c r="A88" s="57"/>
      <c r="B88" s="57"/>
      <c r="C88" s="57"/>
      <c r="D88" s="57"/>
      <c r="E88" s="57"/>
      <c r="F88" s="57"/>
    </row>
    <row r="89" spans="1:6" ht="15.75" x14ac:dyDescent="0.25">
      <c r="A89" s="58"/>
      <c r="B89" s="58"/>
      <c r="C89" s="58"/>
      <c r="D89" s="58"/>
      <c r="E89" s="58"/>
      <c r="F89" s="58"/>
    </row>
    <row r="90" spans="1:6" ht="15.75" x14ac:dyDescent="0.25">
      <c r="A90" s="57"/>
      <c r="B90" s="57"/>
      <c r="C90" s="57"/>
      <c r="D90" s="57"/>
      <c r="E90" s="57"/>
      <c r="F90" s="57"/>
    </row>
    <row r="91" spans="1:6" ht="15.75" x14ac:dyDescent="0.25">
      <c r="A91" s="58"/>
      <c r="B91" s="58"/>
      <c r="C91" s="58"/>
      <c r="D91" s="58"/>
      <c r="E91" s="58"/>
      <c r="F91" s="58"/>
    </row>
    <row r="92" spans="1:6" ht="15.75" x14ac:dyDescent="0.25">
      <c r="A92" s="57"/>
      <c r="B92" s="57"/>
      <c r="C92" s="57"/>
      <c r="D92" s="57"/>
      <c r="E92" s="57"/>
      <c r="F92" s="57"/>
    </row>
    <row r="93" spans="1:6" ht="15.75" x14ac:dyDescent="0.25">
      <c r="A93" s="58"/>
      <c r="B93" s="58"/>
      <c r="C93" s="58"/>
      <c r="D93" s="58"/>
      <c r="E93" s="58"/>
      <c r="F93" s="58"/>
    </row>
    <row r="94" spans="1:6" ht="15.75" x14ac:dyDescent="0.25">
      <c r="A94" s="57"/>
      <c r="B94" s="57"/>
      <c r="C94" s="57"/>
      <c r="D94" s="57"/>
      <c r="E94" s="57"/>
      <c r="F94" s="57"/>
    </row>
  </sheetData>
  <pageMargins left="0.7" right="0.7" top="0.75" bottom="0.75" header="0.3" footer="0.3"/>
  <pageSetup scale="95" fitToHeight="0" orientation="landscape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9AE67-9E12-4923-915F-252B25B4802C}">
  <sheetPr>
    <pageSetUpPr fitToPage="1"/>
  </sheetPr>
  <dimension ref="A1:D99"/>
  <sheetViews>
    <sheetView topLeftCell="A32" zoomScaleNormal="100" workbookViewId="0">
      <selection activeCell="F18" sqref="F18"/>
    </sheetView>
  </sheetViews>
  <sheetFormatPr defaultRowHeight="15" x14ac:dyDescent="0.25"/>
  <cols>
    <col min="1" max="1" width="29.7109375" customWidth="1"/>
    <col min="2" max="2" width="13" customWidth="1"/>
    <col min="3" max="3" width="13.42578125" customWidth="1"/>
    <col min="4" max="4" width="36" customWidth="1"/>
  </cols>
  <sheetData>
    <row r="1" spans="1:4" ht="15.75" x14ac:dyDescent="0.25">
      <c r="A1" s="59" t="s">
        <v>69</v>
      </c>
      <c r="B1" s="69" t="s">
        <v>74</v>
      </c>
      <c r="C1" s="70"/>
      <c r="D1" s="62" t="s">
        <v>63</v>
      </c>
    </row>
    <row r="2" spans="1:4" ht="15.6" customHeight="1" x14ac:dyDescent="0.25">
      <c r="A2" s="53" t="s">
        <v>64</v>
      </c>
      <c r="B2" s="60" t="s">
        <v>72</v>
      </c>
      <c r="C2" s="60" t="s">
        <v>73</v>
      </c>
      <c r="D2" s="63" t="s">
        <v>68</v>
      </c>
    </row>
    <row r="3" spans="1:4" ht="15.75" x14ac:dyDescent="0.25">
      <c r="A3" s="56" t="str" cm="1">
        <f t="array" aca="1" ref="A3:A50" ca="1">_xlfn.CHOOSEROWS(
    IF(FILLME!B9="Bottle Number", 'Label IDs'!K:K, 'Label IDs'!L:L),
    _xlfn.SEQUENCE(FILLME!B16*FILLME!B5) + 1
)</f>
        <v>SSFLAT_ALD_20260323_01</v>
      </c>
      <c r="B3" s="56"/>
      <c r="C3" s="56"/>
      <c r="D3" s="56"/>
    </row>
    <row r="4" spans="1:4" ht="15.75" x14ac:dyDescent="0.25">
      <c r="A4" s="57" t="str">
        <f ca="1"/>
        <v>SSFLAT_ALD_20260323_02</v>
      </c>
      <c r="B4" s="57"/>
      <c r="C4" s="57"/>
      <c r="D4" s="57"/>
    </row>
    <row r="5" spans="1:4" ht="15.75" x14ac:dyDescent="0.25">
      <c r="A5" s="56" t="str">
        <f ca="1"/>
        <v>SSFLAT_ALD_20260323_03</v>
      </c>
      <c r="B5" s="56"/>
      <c r="C5" s="56"/>
      <c r="D5" s="56"/>
    </row>
    <row r="6" spans="1:4" ht="15.75" x14ac:dyDescent="0.25">
      <c r="A6" s="57" t="str">
        <f ca="1"/>
        <v>SSFLAT_ALD_20260323_04</v>
      </c>
      <c r="B6" s="57"/>
      <c r="C6" s="57"/>
      <c r="D6" s="57"/>
    </row>
    <row r="7" spans="1:4" ht="15.75" x14ac:dyDescent="0.25">
      <c r="A7" s="56" t="str">
        <f ca="1"/>
        <v>SSFLAT_ALD_20260323_05</v>
      </c>
      <c r="B7" s="56"/>
      <c r="C7" s="56"/>
      <c r="D7" s="56"/>
    </row>
    <row r="8" spans="1:4" ht="15.75" x14ac:dyDescent="0.25">
      <c r="A8" s="57" t="str">
        <f ca="1"/>
        <v>SSFLAT_ALD_20260323_06</v>
      </c>
      <c r="B8" s="57"/>
      <c r="C8" s="57"/>
      <c r="D8" s="57"/>
    </row>
    <row r="9" spans="1:4" ht="15.75" x14ac:dyDescent="0.25">
      <c r="A9" s="56" t="str">
        <f ca="1"/>
        <v>SSFLAT_ALD_20260323_07</v>
      </c>
      <c r="B9" s="56"/>
      <c r="C9" s="56"/>
      <c r="D9" s="56"/>
    </row>
    <row r="10" spans="1:4" ht="15.75" x14ac:dyDescent="0.25">
      <c r="A10" s="57" t="str">
        <f ca="1"/>
        <v>SSFLAT_ALD_20260323_08</v>
      </c>
      <c r="B10" s="57"/>
      <c r="C10" s="57"/>
      <c r="D10" s="57"/>
    </row>
    <row r="11" spans="1:4" ht="15.75" x14ac:dyDescent="0.25">
      <c r="A11" s="56" t="str">
        <f ca="1"/>
        <v>SSFLAT_ALD_20260323_09</v>
      </c>
      <c r="B11" s="56"/>
      <c r="C11" s="56"/>
      <c r="D11" s="56"/>
    </row>
    <row r="12" spans="1:4" ht="15.75" x14ac:dyDescent="0.25">
      <c r="A12" s="57" t="str">
        <f ca="1"/>
        <v>SSFLAT_ALD_20260323_10</v>
      </c>
      <c r="B12" s="57"/>
      <c r="C12" s="57"/>
      <c r="D12" s="57"/>
    </row>
    <row r="13" spans="1:4" ht="15.75" x14ac:dyDescent="0.25">
      <c r="A13" s="56" t="str">
        <f ca="1"/>
        <v>SSFLAT_ALD_20260323_11</v>
      </c>
      <c r="B13" s="56"/>
      <c r="C13" s="56"/>
      <c r="D13" s="56"/>
    </row>
    <row r="14" spans="1:4" ht="15.75" x14ac:dyDescent="0.25">
      <c r="A14" s="57" t="str">
        <f ca="1"/>
        <v>SSFLAT_ALD_20260323_12</v>
      </c>
      <c r="B14" s="57"/>
      <c r="C14" s="57"/>
      <c r="D14" s="57"/>
    </row>
    <row r="15" spans="1:4" ht="15.75" x14ac:dyDescent="0.25">
      <c r="A15" s="56" t="str">
        <f ca="1"/>
        <v>SSFLAT_ALD_20260323_13</v>
      </c>
      <c r="B15" s="56"/>
      <c r="C15" s="56"/>
      <c r="D15" s="56"/>
    </row>
    <row r="16" spans="1:4" ht="15.75" x14ac:dyDescent="0.25">
      <c r="A16" s="57" t="str">
        <f ca="1"/>
        <v>SSFLAT_ALD_20260323_14</v>
      </c>
      <c r="B16" s="57"/>
      <c r="C16" s="57"/>
      <c r="D16" s="57"/>
    </row>
    <row r="17" spans="1:4" ht="15.75" x14ac:dyDescent="0.25">
      <c r="A17" s="56" t="str">
        <f ca="1"/>
        <v>SSFLAT_ALD_20260323_15</v>
      </c>
      <c r="B17" s="56"/>
      <c r="C17" s="56"/>
      <c r="D17" s="56"/>
    </row>
    <row r="18" spans="1:4" ht="15.75" x14ac:dyDescent="0.25">
      <c r="A18" s="57" t="str">
        <f ca="1"/>
        <v>SSFLAT_ALD_20260323_16</v>
      </c>
      <c r="B18" s="57"/>
      <c r="C18" s="57"/>
      <c r="D18" s="57"/>
    </row>
    <row r="19" spans="1:4" ht="15.75" x14ac:dyDescent="0.25">
      <c r="A19" s="56" t="str">
        <f ca="1"/>
        <v>SSFLAT_ALD_20260323_17</v>
      </c>
      <c r="B19" s="56"/>
      <c r="C19" s="56"/>
      <c r="D19" s="56"/>
    </row>
    <row r="20" spans="1:4" ht="15.75" x14ac:dyDescent="0.25">
      <c r="A20" s="57" t="str">
        <f ca="1"/>
        <v>SSFLAT_ALD_20260323_18</v>
      </c>
      <c r="B20" s="57"/>
      <c r="C20" s="57"/>
      <c r="D20" s="57"/>
    </row>
    <row r="21" spans="1:4" ht="15.75" x14ac:dyDescent="0.25">
      <c r="A21" s="56" t="str">
        <f ca="1"/>
        <v>SSFLAT_ALD_20260323_19</v>
      </c>
      <c r="B21" s="56"/>
      <c r="C21" s="56"/>
      <c r="D21" s="56"/>
    </row>
    <row r="22" spans="1:4" ht="15.75" x14ac:dyDescent="0.25">
      <c r="A22" s="57" t="str">
        <f ca="1"/>
        <v>SSFLAT_ALD_20260323_20</v>
      </c>
      <c r="B22" s="57"/>
      <c r="C22" s="57"/>
      <c r="D22" s="57"/>
    </row>
    <row r="23" spans="1:4" ht="15.75" x14ac:dyDescent="0.25">
      <c r="A23" s="56" t="str">
        <f ca="1"/>
        <v>SSFLAT_ALD_20260323_21</v>
      </c>
      <c r="B23" s="56"/>
      <c r="C23" s="56"/>
      <c r="D23" s="56"/>
    </row>
    <row r="24" spans="1:4" ht="15.75" x14ac:dyDescent="0.25">
      <c r="A24" s="57" t="str">
        <f ca="1"/>
        <v>SSFLAT_ALD_20260323_22</v>
      </c>
      <c r="B24" s="57"/>
      <c r="C24" s="57"/>
      <c r="D24" s="57"/>
    </row>
    <row r="25" spans="1:4" ht="15.75" x14ac:dyDescent="0.25">
      <c r="A25" s="56" t="str">
        <f ca="1"/>
        <v>SSFLAT_ALD_20260323_23</v>
      </c>
      <c r="B25" s="56"/>
      <c r="C25" s="56"/>
      <c r="D25" s="56"/>
    </row>
    <row r="26" spans="1:4" ht="15.75" x14ac:dyDescent="0.25">
      <c r="A26" s="57" t="str">
        <f ca="1"/>
        <v>SSFLAT_ALD_20260323_24</v>
      </c>
      <c r="B26" s="57"/>
      <c r="C26" s="57"/>
      <c r="D26" s="57"/>
    </row>
    <row r="27" spans="1:4" ht="15.75" x14ac:dyDescent="0.25">
      <c r="A27" s="56" t="str">
        <f ca="1"/>
        <v>SSFLAT_CMP_20260323_01</v>
      </c>
      <c r="B27" s="56"/>
      <c r="C27" s="56"/>
      <c r="D27" s="56"/>
    </row>
    <row r="28" spans="1:4" ht="15.75" x14ac:dyDescent="0.25">
      <c r="A28" s="57" t="str">
        <f ca="1"/>
        <v>SSFLAT_CMP_20260323_02</v>
      </c>
      <c r="B28" s="57"/>
      <c r="C28" s="57"/>
      <c r="D28" s="57"/>
    </row>
    <row r="29" spans="1:4" ht="15.75" x14ac:dyDescent="0.25">
      <c r="A29" s="56" t="str">
        <f ca="1"/>
        <v>SSFLAT_CMP_20260323_03</v>
      </c>
      <c r="B29" s="56"/>
      <c r="C29" s="56"/>
      <c r="D29" s="56"/>
    </row>
    <row r="30" spans="1:4" ht="15.75" x14ac:dyDescent="0.25">
      <c r="A30" s="57" t="str">
        <f ca="1"/>
        <v>SSFLAT_CMP_20260323_04</v>
      </c>
      <c r="B30" s="57"/>
      <c r="C30" s="57"/>
      <c r="D30" s="57"/>
    </row>
    <row r="31" spans="1:4" ht="15.75" x14ac:dyDescent="0.25">
      <c r="A31" s="56" t="str">
        <f ca="1"/>
        <v>SSFLAT_CMP_20260323_05</v>
      </c>
      <c r="B31" s="56"/>
      <c r="C31" s="56"/>
      <c r="D31" s="56"/>
    </row>
    <row r="32" spans="1:4" ht="15.75" x14ac:dyDescent="0.25">
      <c r="A32" s="57" t="str">
        <f ca="1"/>
        <v>SSFLAT_CMP_20260323_06</v>
      </c>
      <c r="B32" s="57"/>
      <c r="C32" s="57"/>
      <c r="D32" s="57"/>
    </row>
    <row r="33" spans="1:4" ht="15.75" x14ac:dyDescent="0.25">
      <c r="A33" s="56" t="str">
        <f ca="1"/>
        <v>SSFLAT_CMP_20260323_07</v>
      </c>
      <c r="B33" s="56"/>
      <c r="C33" s="56"/>
      <c r="D33" s="56"/>
    </row>
    <row r="34" spans="1:4" ht="15.75" x14ac:dyDescent="0.25">
      <c r="A34" s="57" t="str">
        <f ca="1"/>
        <v>SSFLAT_CMP_20260323_08</v>
      </c>
      <c r="B34" s="57"/>
      <c r="C34" s="57"/>
      <c r="D34" s="57"/>
    </row>
    <row r="35" spans="1:4" ht="15.75" x14ac:dyDescent="0.25">
      <c r="A35" s="56" t="str">
        <f ca="1"/>
        <v>SSFLAT_CMP_20260323_09</v>
      </c>
      <c r="B35" s="56"/>
      <c r="C35" s="56"/>
      <c r="D35" s="56"/>
    </row>
    <row r="36" spans="1:4" ht="15.75" x14ac:dyDescent="0.25">
      <c r="A36" s="57" t="str">
        <f ca="1"/>
        <v>SSFLAT_CMP_20260323_10</v>
      </c>
      <c r="B36" s="57"/>
      <c r="C36" s="57"/>
      <c r="D36" s="57"/>
    </row>
    <row r="37" spans="1:4" ht="15.75" x14ac:dyDescent="0.25">
      <c r="A37" s="56" t="str">
        <f ca="1"/>
        <v>SSFLAT_CMP_20260323_11</v>
      </c>
      <c r="B37" s="56"/>
      <c r="C37" s="56"/>
      <c r="D37" s="56"/>
    </row>
    <row r="38" spans="1:4" ht="15.75" x14ac:dyDescent="0.25">
      <c r="A38" s="57" t="str">
        <f ca="1"/>
        <v>SSFLAT_CMP_20260323_12</v>
      </c>
      <c r="B38" s="57"/>
      <c r="C38" s="57"/>
      <c r="D38" s="57"/>
    </row>
    <row r="39" spans="1:4" ht="15.75" x14ac:dyDescent="0.25">
      <c r="A39" s="56" t="str">
        <f ca="1"/>
        <v>SSFLAT_CMP_20260323_13</v>
      </c>
      <c r="B39" s="56"/>
      <c r="C39" s="56"/>
      <c r="D39" s="56"/>
    </row>
    <row r="40" spans="1:4" ht="15.75" x14ac:dyDescent="0.25">
      <c r="A40" s="57" t="str">
        <f ca="1"/>
        <v>SSFLAT_CMP_20260323_14</v>
      </c>
      <c r="B40" s="57"/>
      <c r="C40" s="57"/>
      <c r="D40" s="57"/>
    </row>
    <row r="41" spans="1:4" ht="15.75" x14ac:dyDescent="0.25">
      <c r="A41" s="56" t="str">
        <f ca="1"/>
        <v>SSFLAT_CMP_20260323_15</v>
      </c>
      <c r="B41" s="56"/>
      <c r="C41" s="56"/>
      <c r="D41" s="56"/>
    </row>
    <row r="42" spans="1:4" ht="15.75" x14ac:dyDescent="0.25">
      <c r="A42" s="57" t="str">
        <f ca="1"/>
        <v>SSFLAT_CMP_20260323_16</v>
      </c>
      <c r="B42" s="57"/>
      <c r="C42" s="57"/>
      <c r="D42" s="57"/>
    </row>
    <row r="43" spans="1:4" ht="15.75" x14ac:dyDescent="0.25">
      <c r="A43" s="56" t="str">
        <f ca="1"/>
        <v>SSFLAT_CMP_20260323_17</v>
      </c>
      <c r="B43" s="56"/>
      <c r="C43" s="56"/>
      <c r="D43" s="56"/>
    </row>
    <row r="44" spans="1:4" ht="15.75" x14ac:dyDescent="0.25">
      <c r="A44" s="57" t="str">
        <f ca="1"/>
        <v>SSFLAT_CMP_20260323_18</v>
      </c>
      <c r="B44" s="57"/>
      <c r="C44" s="57"/>
      <c r="D44" s="57"/>
    </row>
    <row r="45" spans="1:4" ht="15.75" x14ac:dyDescent="0.25">
      <c r="A45" s="56" t="str">
        <f ca="1"/>
        <v>SSFLAT_CMP_20260323_19</v>
      </c>
      <c r="B45" s="56"/>
      <c r="C45" s="56"/>
      <c r="D45" s="56"/>
    </row>
    <row r="46" spans="1:4" ht="15.75" x14ac:dyDescent="0.25">
      <c r="A46" s="57" t="str">
        <f ca="1"/>
        <v>SSFLAT_CMP_20260323_20</v>
      </c>
      <c r="B46" s="57"/>
      <c r="C46" s="57"/>
      <c r="D46" s="57"/>
    </row>
    <row r="47" spans="1:4" ht="15.75" x14ac:dyDescent="0.25">
      <c r="A47" s="56" t="str">
        <f ca="1"/>
        <v>SSFLAT_CMP_20260323_21</v>
      </c>
      <c r="B47" s="56"/>
      <c r="C47" s="56"/>
      <c r="D47" s="56"/>
    </row>
    <row r="48" spans="1:4" ht="15.75" x14ac:dyDescent="0.25">
      <c r="A48" s="57" t="str">
        <f ca="1"/>
        <v>SSFLAT_CMP_20260323_22</v>
      </c>
      <c r="B48" s="57"/>
      <c r="C48" s="57"/>
      <c r="D48" s="57"/>
    </row>
    <row r="49" spans="1:4" ht="15.75" x14ac:dyDescent="0.25">
      <c r="A49" s="56" t="str">
        <f ca="1"/>
        <v>SSFLAT_CMP_20260323_23</v>
      </c>
      <c r="B49" s="56"/>
      <c r="C49" s="56"/>
      <c r="D49" s="56"/>
    </row>
    <row r="50" spans="1:4" ht="15.75" x14ac:dyDescent="0.25">
      <c r="A50" s="57" t="str">
        <f ca="1"/>
        <v>SSFLAT_CMP_20260323_24</v>
      </c>
      <c r="B50" s="57"/>
      <c r="C50" s="57"/>
      <c r="D50" s="57"/>
    </row>
    <row r="51" spans="1:4" ht="15.75" x14ac:dyDescent="0.25">
      <c r="A51" s="56"/>
      <c r="B51" s="56"/>
      <c r="C51" s="56"/>
      <c r="D51" s="56"/>
    </row>
    <row r="52" spans="1:4" ht="15.75" x14ac:dyDescent="0.25">
      <c r="A52" s="57"/>
      <c r="B52" s="57"/>
      <c r="C52" s="57"/>
      <c r="D52" s="57"/>
    </row>
    <row r="53" spans="1:4" ht="15.75" x14ac:dyDescent="0.25">
      <c r="A53" s="56"/>
      <c r="B53" s="56"/>
      <c r="C53" s="56"/>
      <c r="D53" s="56"/>
    </row>
    <row r="54" spans="1:4" ht="15.75" x14ac:dyDescent="0.25">
      <c r="A54" s="57"/>
      <c r="B54" s="57"/>
      <c r="C54" s="57"/>
      <c r="D54" s="57"/>
    </row>
    <row r="55" spans="1:4" ht="15.75" x14ac:dyDescent="0.25">
      <c r="A55" s="56"/>
      <c r="B55" s="56"/>
      <c r="C55" s="56"/>
      <c r="D55" s="56"/>
    </row>
    <row r="56" spans="1:4" ht="15.75" x14ac:dyDescent="0.25">
      <c r="A56" s="57"/>
      <c r="B56" s="57"/>
      <c r="C56" s="57"/>
      <c r="D56" s="57"/>
    </row>
    <row r="57" spans="1:4" ht="15.75" x14ac:dyDescent="0.25">
      <c r="A57" s="56"/>
      <c r="B57" s="56"/>
      <c r="C57" s="56"/>
      <c r="D57" s="56"/>
    </row>
    <row r="58" spans="1:4" ht="15.75" x14ac:dyDescent="0.25">
      <c r="A58" s="57"/>
      <c r="B58" s="57"/>
      <c r="C58" s="57"/>
      <c r="D58" s="57"/>
    </row>
    <row r="59" spans="1:4" ht="15.75" x14ac:dyDescent="0.25">
      <c r="A59" s="56"/>
      <c r="B59" s="56"/>
      <c r="C59" s="56"/>
      <c r="D59" s="56"/>
    </row>
    <row r="60" spans="1:4" ht="15.75" x14ac:dyDescent="0.25">
      <c r="A60" s="57"/>
      <c r="B60" s="57"/>
      <c r="C60" s="57"/>
      <c r="D60" s="57"/>
    </row>
    <row r="61" spans="1:4" ht="15.75" x14ac:dyDescent="0.25">
      <c r="A61" s="56"/>
      <c r="B61" s="56"/>
      <c r="C61" s="56"/>
      <c r="D61" s="56"/>
    </row>
    <row r="62" spans="1:4" ht="15.75" x14ac:dyDescent="0.25">
      <c r="A62" s="57"/>
      <c r="B62" s="57"/>
      <c r="C62" s="57"/>
      <c r="D62" s="57"/>
    </row>
    <row r="63" spans="1:4" ht="15.75" x14ac:dyDescent="0.25">
      <c r="A63" s="56"/>
      <c r="B63" s="56"/>
      <c r="C63" s="56"/>
      <c r="D63" s="56"/>
    </row>
    <row r="64" spans="1:4" ht="15.75" x14ac:dyDescent="0.25">
      <c r="A64" s="57"/>
      <c r="B64" s="57"/>
      <c r="C64" s="57"/>
      <c r="D64" s="57"/>
    </row>
    <row r="65" spans="1:4" ht="15.75" x14ac:dyDescent="0.25">
      <c r="A65" s="56"/>
      <c r="B65" s="56"/>
      <c r="C65" s="56"/>
      <c r="D65" s="56"/>
    </row>
    <row r="66" spans="1:4" ht="15.75" x14ac:dyDescent="0.25">
      <c r="A66" s="57"/>
      <c r="B66" s="57"/>
      <c r="C66" s="57"/>
      <c r="D66" s="57"/>
    </row>
    <row r="67" spans="1:4" ht="15.75" x14ac:dyDescent="0.25">
      <c r="A67" s="56"/>
      <c r="B67" s="56"/>
      <c r="C67" s="56"/>
      <c r="D67" s="56"/>
    </row>
    <row r="68" spans="1:4" ht="15.75" x14ac:dyDescent="0.25">
      <c r="A68" s="57"/>
      <c r="B68" s="57"/>
      <c r="C68" s="57"/>
      <c r="D68" s="57"/>
    </row>
    <row r="69" spans="1:4" ht="15.75" x14ac:dyDescent="0.25">
      <c r="A69" s="56"/>
      <c r="B69" s="56"/>
      <c r="C69" s="56"/>
      <c r="D69" s="56"/>
    </row>
    <row r="70" spans="1:4" ht="15.75" x14ac:dyDescent="0.25">
      <c r="A70" s="57"/>
      <c r="B70" s="57"/>
      <c r="C70" s="57"/>
      <c r="D70" s="57"/>
    </row>
    <row r="71" spans="1:4" ht="15.75" x14ac:dyDescent="0.25">
      <c r="A71" s="56"/>
      <c r="B71" s="56"/>
      <c r="C71" s="56"/>
      <c r="D71" s="56"/>
    </row>
    <row r="72" spans="1:4" ht="15.75" x14ac:dyDescent="0.25">
      <c r="A72" s="57"/>
      <c r="B72" s="57"/>
      <c r="C72" s="57"/>
      <c r="D72" s="57"/>
    </row>
    <row r="73" spans="1:4" ht="15.75" x14ac:dyDescent="0.25">
      <c r="A73" s="56"/>
      <c r="B73" s="56"/>
      <c r="C73" s="56"/>
      <c r="D73" s="56"/>
    </row>
    <row r="74" spans="1:4" ht="15.75" x14ac:dyDescent="0.25">
      <c r="A74" s="57"/>
      <c r="B74" s="57"/>
      <c r="C74" s="57"/>
      <c r="D74" s="57"/>
    </row>
    <row r="75" spans="1:4" ht="15.75" x14ac:dyDescent="0.25">
      <c r="A75" s="56"/>
      <c r="B75" s="56"/>
      <c r="C75" s="56"/>
      <c r="D75" s="56"/>
    </row>
    <row r="76" spans="1:4" ht="15.75" x14ac:dyDescent="0.25">
      <c r="A76" s="57"/>
      <c r="B76" s="57"/>
      <c r="C76" s="57"/>
      <c r="D76" s="57"/>
    </row>
    <row r="77" spans="1:4" ht="15.75" x14ac:dyDescent="0.25">
      <c r="A77" s="56"/>
      <c r="B77" s="56"/>
      <c r="C77" s="56"/>
      <c r="D77" s="56"/>
    </row>
    <row r="78" spans="1:4" ht="15.75" x14ac:dyDescent="0.25">
      <c r="A78" s="57"/>
      <c r="B78" s="57"/>
      <c r="C78" s="57"/>
      <c r="D78" s="57"/>
    </row>
    <row r="79" spans="1:4" ht="15.75" x14ac:dyDescent="0.25">
      <c r="A79" s="56"/>
      <c r="B79" s="56"/>
      <c r="C79" s="56"/>
      <c r="D79" s="56"/>
    </row>
    <row r="80" spans="1:4" ht="15.75" x14ac:dyDescent="0.25">
      <c r="A80" s="57"/>
      <c r="B80" s="57"/>
      <c r="C80" s="57"/>
      <c r="D80" s="57"/>
    </row>
    <row r="81" spans="1:4" ht="15.75" x14ac:dyDescent="0.25">
      <c r="A81" s="56"/>
      <c r="B81" s="56"/>
      <c r="C81" s="56"/>
      <c r="D81" s="56"/>
    </row>
    <row r="82" spans="1:4" ht="15.75" x14ac:dyDescent="0.25">
      <c r="A82" s="57"/>
      <c r="B82" s="57"/>
      <c r="C82" s="57"/>
      <c r="D82" s="57"/>
    </row>
    <row r="83" spans="1:4" ht="15.75" x14ac:dyDescent="0.25">
      <c r="A83" s="56"/>
      <c r="B83" s="56"/>
      <c r="C83" s="56"/>
      <c r="D83" s="56"/>
    </row>
    <row r="84" spans="1:4" ht="15.75" x14ac:dyDescent="0.25">
      <c r="A84" s="57"/>
      <c r="B84" s="57"/>
      <c r="C84" s="57"/>
      <c r="D84" s="57"/>
    </row>
    <row r="85" spans="1:4" ht="15.75" x14ac:dyDescent="0.25">
      <c r="A85" s="56"/>
      <c r="B85" s="56"/>
      <c r="C85" s="56"/>
      <c r="D85" s="56"/>
    </row>
    <row r="86" spans="1:4" ht="15.75" x14ac:dyDescent="0.25">
      <c r="A86" s="57"/>
      <c r="B86" s="57"/>
      <c r="C86" s="57"/>
      <c r="D86" s="57"/>
    </row>
    <row r="87" spans="1:4" ht="15.75" x14ac:dyDescent="0.25">
      <c r="A87" s="56"/>
      <c r="B87" s="56"/>
      <c r="C87" s="56"/>
      <c r="D87" s="56"/>
    </row>
    <row r="88" spans="1:4" ht="15.75" x14ac:dyDescent="0.25">
      <c r="A88" s="57"/>
      <c r="B88" s="57"/>
      <c r="C88" s="57"/>
      <c r="D88" s="57"/>
    </row>
    <row r="89" spans="1:4" ht="15.75" x14ac:dyDescent="0.25">
      <c r="A89" s="56"/>
      <c r="B89" s="56"/>
      <c r="C89" s="56"/>
      <c r="D89" s="56"/>
    </row>
    <row r="90" spans="1:4" ht="15.75" x14ac:dyDescent="0.25">
      <c r="A90" s="57"/>
      <c r="B90" s="57"/>
      <c r="C90" s="57"/>
      <c r="D90" s="57"/>
    </row>
    <row r="91" spans="1:4" ht="15.75" x14ac:dyDescent="0.25">
      <c r="A91" s="56"/>
      <c r="B91" s="56"/>
      <c r="C91" s="56"/>
      <c r="D91" s="56"/>
    </row>
    <row r="92" spans="1:4" ht="15.75" x14ac:dyDescent="0.25">
      <c r="A92" s="57"/>
      <c r="B92" s="57"/>
      <c r="C92" s="57"/>
      <c r="D92" s="57"/>
    </row>
    <row r="93" spans="1:4" ht="15.75" x14ac:dyDescent="0.25">
      <c r="A93" s="56"/>
      <c r="B93" s="56"/>
      <c r="C93" s="56"/>
      <c r="D93" s="56"/>
    </row>
    <row r="94" spans="1:4" ht="15.75" x14ac:dyDescent="0.25">
      <c r="A94" s="57"/>
      <c r="B94" s="57"/>
      <c r="C94" s="57"/>
      <c r="D94" s="57"/>
    </row>
    <row r="95" spans="1:4" ht="15.75" x14ac:dyDescent="0.25">
      <c r="A95" s="56"/>
      <c r="B95" s="56"/>
      <c r="C95" s="56"/>
      <c r="D95" s="56"/>
    </row>
    <row r="96" spans="1:4" ht="15.75" x14ac:dyDescent="0.25">
      <c r="A96" s="57"/>
      <c r="B96" s="57"/>
      <c r="C96" s="57"/>
      <c r="D96" s="57"/>
    </row>
    <row r="97" spans="1:4" ht="15.75" x14ac:dyDescent="0.25">
      <c r="A97" s="56"/>
      <c r="B97" s="56"/>
      <c r="C97" s="56"/>
      <c r="D97" s="56"/>
    </row>
    <row r="98" spans="1:4" ht="15.75" x14ac:dyDescent="0.25">
      <c r="A98" s="57"/>
      <c r="B98" s="57"/>
      <c r="C98" s="57"/>
      <c r="D98" s="57"/>
    </row>
    <row r="99" spans="1:4" ht="15.75" x14ac:dyDescent="0.25">
      <c r="A99" s="56"/>
      <c r="B99" s="56"/>
      <c r="C99" s="56"/>
      <c r="D99" s="56"/>
    </row>
  </sheetData>
  <mergeCells count="1">
    <mergeCell ref="B1:C1"/>
  </mergeCells>
  <pageMargins left="0.7" right="0.7" top="0.75" bottom="0.75" header="0.3" footer="0.3"/>
  <pageSetup scale="98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61CB-AFF6-4988-8C26-F70360C91095}">
  <sheetPr>
    <pageSetUpPr fitToPage="1"/>
  </sheetPr>
  <dimension ref="A1:D99"/>
  <sheetViews>
    <sheetView topLeftCell="A9" zoomScaleNormal="100" workbookViewId="0">
      <selection activeCell="C15" sqref="C15"/>
    </sheetView>
  </sheetViews>
  <sheetFormatPr defaultRowHeight="15" x14ac:dyDescent="0.25"/>
  <cols>
    <col min="1" max="1" width="30.28515625" customWidth="1"/>
    <col min="2" max="2" width="14.140625" customWidth="1"/>
    <col min="3" max="3" width="12.85546875" customWidth="1"/>
    <col min="4" max="4" width="36.28515625" customWidth="1"/>
  </cols>
  <sheetData>
    <row r="1" spans="1:4" ht="15.75" x14ac:dyDescent="0.25">
      <c r="A1" s="61" t="s">
        <v>70</v>
      </c>
      <c r="B1" s="69" t="s">
        <v>71</v>
      </c>
      <c r="C1" s="70"/>
      <c r="D1" s="62" t="s">
        <v>63</v>
      </c>
    </row>
    <row r="2" spans="1:4" ht="16.899999999999999" customHeight="1" x14ac:dyDescent="0.25">
      <c r="A2" s="53" t="s">
        <v>64</v>
      </c>
      <c r="B2" s="60" t="s">
        <v>72</v>
      </c>
      <c r="C2" s="60" t="s">
        <v>73</v>
      </c>
      <c r="D2" s="63" t="s">
        <v>68</v>
      </c>
    </row>
    <row r="3" spans="1:4" ht="15.75" x14ac:dyDescent="0.25">
      <c r="A3" s="56" t="str" cm="1">
        <f t="array" aca="1" ref="A3:A50" ca="1">_xlfn.CHOOSEROWS(
    IF(FILLME!B9="Bottle Number", 'Label IDs'!K:K, 'Label IDs'!L:L),
    _xlfn.SEQUENCE(FILLME!B16*FILLME!B5) + 1
)</f>
        <v>SSFLAT_ALD_20260323_01</v>
      </c>
      <c r="B3" s="56"/>
      <c r="C3" s="56"/>
      <c r="D3" s="56"/>
    </row>
    <row r="4" spans="1:4" ht="15.75" x14ac:dyDescent="0.25">
      <c r="A4" s="57" t="str">
        <f ca="1"/>
        <v>SSFLAT_ALD_20260323_02</v>
      </c>
      <c r="B4" s="57"/>
      <c r="C4" s="57"/>
      <c r="D4" s="57"/>
    </row>
    <row r="5" spans="1:4" ht="15.75" x14ac:dyDescent="0.25">
      <c r="A5" s="56" t="str">
        <f ca="1"/>
        <v>SSFLAT_ALD_20260323_03</v>
      </c>
      <c r="B5" s="56"/>
      <c r="C5" s="56"/>
      <c r="D5" s="56"/>
    </row>
    <row r="6" spans="1:4" ht="15.75" x14ac:dyDescent="0.25">
      <c r="A6" s="57" t="str">
        <f ca="1"/>
        <v>SSFLAT_ALD_20260323_04</v>
      </c>
      <c r="B6" s="57"/>
      <c r="C6" s="57"/>
      <c r="D6" s="57"/>
    </row>
    <row r="7" spans="1:4" ht="15.75" x14ac:dyDescent="0.25">
      <c r="A7" s="56" t="str">
        <f ca="1"/>
        <v>SSFLAT_ALD_20260323_05</v>
      </c>
      <c r="B7" s="56"/>
      <c r="C7" s="56"/>
      <c r="D7" s="56"/>
    </row>
    <row r="8" spans="1:4" ht="15.75" x14ac:dyDescent="0.25">
      <c r="A8" s="57" t="str">
        <f ca="1"/>
        <v>SSFLAT_ALD_20260323_06</v>
      </c>
      <c r="B8" s="57"/>
      <c r="C8" s="57"/>
      <c r="D8" s="57"/>
    </row>
    <row r="9" spans="1:4" ht="15.75" x14ac:dyDescent="0.25">
      <c r="A9" s="56" t="str">
        <f ca="1"/>
        <v>SSFLAT_ALD_20260323_07</v>
      </c>
      <c r="B9" s="56"/>
      <c r="C9" s="56"/>
      <c r="D9" s="56"/>
    </row>
    <row r="10" spans="1:4" ht="15.75" x14ac:dyDescent="0.25">
      <c r="A10" s="57" t="str">
        <f ca="1"/>
        <v>SSFLAT_ALD_20260323_08</v>
      </c>
      <c r="B10" s="57"/>
      <c r="C10" s="57"/>
      <c r="D10" s="57"/>
    </row>
    <row r="11" spans="1:4" ht="15.75" x14ac:dyDescent="0.25">
      <c r="A11" s="56" t="str">
        <f ca="1"/>
        <v>SSFLAT_ALD_20260323_09</v>
      </c>
      <c r="B11" s="56"/>
      <c r="C11" s="56"/>
      <c r="D11" s="56"/>
    </row>
    <row r="12" spans="1:4" ht="15.75" x14ac:dyDescent="0.25">
      <c r="A12" s="57" t="str">
        <f ca="1"/>
        <v>SSFLAT_ALD_20260323_10</v>
      </c>
      <c r="B12" s="57"/>
      <c r="C12" s="57"/>
      <c r="D12" s="57"/>
    </row>
    <row r="13" spans="1:4" ht="15.75" x14ac:dyDescent="0.25">
      <c r="A13" s="56" t="str">
        <f ca="1"/>
        <v>SSFLAT_ALD_20260323_11</v>
      </c>
      <c r="B13" s="56"/>
      <c r="C13" s="56"/>
      <c r="D13" s="56"/>
    </row>
    <row r="14" spans="1:4" ht="15.75" x14ac:dyDescent="0.25">
      <c r="A14" s="57" t="str">
        <f ca="1"/>
        <v>SSFLAT_ALD_20260323_12</v>
      </c>
      <c r="B14" s="57"/>
      <c r="C14" s="57"/>
      <c r="D14" s="57"/>
    </row>
    <row r="15" spans="1:4" ht="15.75" x14ac:dyDescent="0.25">
      <c r="A15" s="56" t="str">
        <f ca="1"/>
        <v>SSFLAT_ALD_20260323_13</v>
      </c>
      <c r="B15" s="56"/>
      <c r="C15" s="56"/>
      <c r="D15" s="56"/>
    </row>
    <row r="16" spans="1:4" ht="15.75" x14ac:dyDescent="0.25">
      <c r="A16" s="57" t="str">
        <f ca="1"/>
        <v>SSFLAT_ALD_20260323_14</v>
      </c>
      <c r="B16" s="57"/>
      <c r="C16" s="57"/>
      <c r="D16" s="57"/>
    </row>
    <row r="17" spans="1:4" ht="15.75" x14ac:dyDescent="0.25">
      <c r="A17" s="56" t="str">
        <f ca="1"/>
        <v>SSFLAT_ALD_20260323_15</v>
      </c>
      <c r="B17" s="56"/>
      <c r="C17" s="56"/>
      <c r="D17" s="56"/>
    </row>
    <row r="18" spans="1:4" ht="15.75" x14ac:dyDescent="0.25">
      <c r="A18" s="57" t="str">
        <f ca="1"/>
        <v>SSFLAT_ALD_20260323_16</v>
      </c>
      <c r="B18" s="57"/>
      <c r="C18" s="57"/>
      <c r="D18" s="57"/>
    </row>
    <row r="19" spans="1:4" ht="15.75" x14ac:dyDescent="0.25">
      <c r="A19" s="56" t="str">
        <f ca="1"/>
        <v>SSFLAT_ALD_20260323_17</v>
      </c>
      <c r="B19" s="56"/>
      <c r="C19" s="56"/>
      <c r="D19" s="56"/>
    </row>
    <row r="20" spans="1:4" ht="15.75" x14ac:dyDescent="0.25">
      <c r="A20" s="57" t="str">
        <f ca="1"/>
        <v>SSFLAT_ALD_20260323_18</v>
      </c>
      <c r="B20" s="57"/>
      <c r="C20" s="57"/>
      <c r="D20" s="57"/>
    </row>
    <row r="21" spans="1:4" ht="15.75" x14ac:dyDescent="0.25">
      <c r="A21" s="56" t="str">
        <f ca="1"/>
        <v>SSFLAT_ALD_20260323_19</v>
      </c>
      <c r="B21" s="56"/>
      <c r="C21" s="56"/>
      <c r="D21" s="56"/>
    </row>
    <row r="22" spans="1:4" ht="15.75" x14ac:dyDescent="0.25">
      <c r="A22" s="57" t="str">
        <f ca="1"/>
        <v>SSFLAT_ALD_20260323_20</v>
      </c>
      <c r="B22" s="57"/>
      <c r="C22" s="57"/>
      <c r="D22" s="57"/>
    </row>
    <row r="23" spans="1:4" ht="15.75" x14ac:dyDescent="0.25">
      <c r="A23" s="56" t="str">
        <f ca="1"/>
        <v>SSFLAT_ALD_20260323_21</v>
      </c>
      <c r="B23" s="56"/>
      <c r="C23" s="56"/>
      <c r="D23" s="56"/>
    </row>
    <row r="24" spans="1:4" ht="15.75" x14ac:dyDescent="0.25">
      <c r="A24" s="57" t="str">
        <f ca="1"/>
        <v>SSFLAT_ALD_20260323_22</v>
      </c>
      <c r="B24" s="57"/>
      <c r="C24" s="57"/>
      <c r="D24" s="57"/>
    </row>
    <row r="25" spans="1:4" ht="15.75" x14ac:dyDescent="0.25">
      <c r="A25" s="56" t="str">
        <f ca="1"/>
        <v>SSFLAT_ALD_20260323_23</v>
      </c>
      <c r="B25" s="56"/>
      <c r="C25" s="56"/>
      <c r="D25" s="56"/>
    </row>
    <row r="26" spans="1:4" ht="15.75" x14ac:dyDescent="0.25">
      <c r="A26" s="57" t="str">
        <f ca="1"/>
        <v>SSFLAT_ALD_20260323_24</v>
      </c>
      <c r="B26" s="57"/>
      <c r="C26" s="57"/>
      <c r="D26" s="57"/>
    </row>
    <row r="27" spans="1:4" ht="15.75" x14ac:dyDescent="0.25">
      <c r="A27" s="56" t="str">
        <f ca="1"/>
        <v>SSFLAT_CMP_20260323_01</v>
      </c>
      <c r="B27" s="56"/>
      <c r="C27" s="56"/>
      <c r="D27" s="56"/>
    </row>
    <row r="28" spans="1:4" ht="15.75" x14ac:dyDescent="0.25">
      <c r="A28" s="57" t="str">
        <f ca="1"/>
        <v>SSFLAT_CMP_20260323_02</v>
      </c>
      <c r="B28" s="57"/>
      <c r="C28" s="57"/>
      <c r="D28" s="57"/>
    </row>
    <row r="29" spans="1:4" ht="15.75" x14ac:dyDescent="0.25">
      <c r="A29" s="56" t="str">
        <f ca="1"/>
        <v>SSFLAT_CMP_20260323_03</v>
      </c>
      <c r="B29" s="56"/>
      <c r="C29" s="56"/>
      <c r="D29" s="56"/>
    </row>
    <row r="30" spans="1:4" ht="15.75" x14ac:dyDescent="0.25">
      <c r="A30" s="57" t="str">
        <f ca="1"/>
        <v>SSFLAT_CMP_20260323_04</v>
      </c>
      <c r="B30" s="57"/>
      <c r="C30" s="57"/>
      <c r="D30" s="57"/>
    </row>
    <row r="31" spans="1:4" ht="15.75" x14ac:dyDescent="0.25">
      <c r="A31" s="56" t="str">
        <f ca="1"/>
        <v>SSFLAT_CMP_20260323_05</v>
      </c>
      <c r="B31" s="56"/>
      <c r="C31" s="56"/>
      <c r="D31" s="56"/>
    </row>
    <row r="32" spans="1:4" ht="15.75" x14ac:dyDescent="0.25">
      <c r="A32" s="57" t="str">
        <f ca="1"/>
        <v>SSFLAT_CMP_20260323_06</v>
      </c>
      <c r="B32" s="57"/>
      <c r="C32" s="57"/>
      <c r="D32" s="57"/>
    </row>
    <row r="33" spans="1:4" ht="15.75" x14ac:dyDescent="0.25">
      <c r="A33" s="56" t="str">
        <f ca="1"/>
        <v>SSFLAT_CMP_20260323_07</v>
      </c>
      <c r="B33" s="56"/>
      <c r="C33" s="56"/>
      <c r="D33" s="56"/>
    </row>
    <row r="34" spans="1:4" ht="15.75" x14ac:dyDescent="0.25">
      <c r="A34" s="57" t="str">
        <f ca="1"/>
        <v>SSFLAT_CMP_20260323_08</v>
      </c>
      <c r="B34" s="57"/>
      <c r="C34" s="57"/>
      <c r="D34" s="57"/>
    </row>
    <row r="35" spans="1:4" ht="15.75" x14ac:dyDescent="0.25">
      <c r="A35" s="56" t="str">
        <f ca="1"/>
        <v>SSFLAT_CMP_20260323_09</v>
      </c>
      <c r="B35" s="56"/>
      <c r="C35" s="56"/>
      <c r="D35" s="56"/>
    </row>
    <row r="36" spans="1:4" ht="15.75" x14ac:dyDescent="0.25">
      <c r="A36" s="57" t="str">
        <f ca="1"/>
        <v>SSFLAT_CMP_20260323_10</v>
      </c>
      <c r="B36" s="57"/>
      <c r="C36" s="57"/>
      <c r="D36" s="57"/>
    </row>
    <row r="37" spans="1:4" ht="15.75" x14ac:dyDescent="0.25">
      <c r="A37" s="56" t="str">
        <f ca="1"/>
        <v>SSFLAT_CMP_20260323_11</v>
      </c>
      <c r="B37" s="56"/>
      <c r="C37" s="56"/>
      <c r="D37" s="56"/>
    </row>
    <row r="38" spans="1:4" ht="15.75" x14ac:dyDescent="0.25">
      <c r="A38" s="57" t="str">
        <f ca="1"/>
        <v>SSFLAT_CMP_20260323_12</v>
      </c>
      <c r="B38" s="57"/>
      <c r="C38" s="57"/>
      <c r="D38" s="57"/>
    </row>
    <row r="39" spans="1:4" ht="15.75" x14ac:dyDescent="0.25">
      <c r="A39" s="56" t="str">
        <f ca="1"/>
        <v>SSFLAT_CMP_20260323_13</v>
      </c>
      <c r="B39" s="56"/>
      <c r="C39" s="56"/>
      <c r="D39" s="56"/>
    </row>
    <row r="40" spans="1:4" ht="15.75" x14ac:dyDescent="0.25">
      <c r="A40" s="57" t="str">
        <f ca="1"/>
        <v>SSFLAT_CMP_20260323_14</v>
      </c>
      <c r="B40" s="57"/>
      <c r="C40" s="57"/>
      <c r="D40" s="57"/>
    </row>
    <row r="41" spans="1:4" ht="15.75" x14ac:dyDescent="0.25">
      <c r="A41" s="56" t="str">
        <f ca="1"/>
        <v>SSFLAT_CMP_20260323_15</v>
      </c>
      <c r="B41" s="56"/>
      <c r="C41" s="56"/>
      <c r="D41" s="56"/>
    </row>
    <row r="42" spans="1:4" ht="15.75" x14ac:dyDescent="0.25">
      <c r="A42" s="57" t="str">
        <f ca="1"/>
        <v>SSFLAT_CMP_20260323_16</v>
      </c>
      <c r="B42" s="57"/>
      <c r="C42" s="57"/>
      <c r="D42" s="57"/>
    </row>
    <row r="43" spans="1:4" ht="15.75" x14ac:dyDescent="0.25">
      <c r="A43" s="56" t="str">
        <f ca="1"/>
        <v>SSFLAT_CMP_20260323_17</v>
      </c>
      <c r="B43" s="56"/>
      <c r="C43" s="56"/>
      <c r="D43" s="56"/>
    </row>
    <row r="44" spans="1:4" ht="15.75" x14ac:dyDescent="0.25">
      <c r="A44" s="57" t="str">
        <f ca="1"/>
        <v>SSFLAT_CMP_20260323_18</v>
      </c>
      <c r="B44" s="57"/>
      <c r="C44" s="57"/>
      <c r="D44" s="57"/>
    </row>
    <row r="45" spans="1:4" ht="15.75" x14ac:dyDescent="0.25">
      <c r="A45" s="56" t="str">
        <f ca="1"/>
        <v>SSFLAT_CMP_20260323_19</v>
      </c>
      <c r="B45" s="56"/>
      <c r="C45" s="56"/>
      <c r="D45" s="56"/>
    </row>
    <row r="46" spans="1:4" ht="15.75" x14ac:dyDescent="0.25">
      <c r="A46" s="57" t="str">
        <f ca="1"/>
        <v>SSFLAT_CMP_20260323_20</v>
      </c>
      <c r="B46" s="57"/>
      <c r="C46" s="57"/>
      <c r="D46" s="57"/>
    </row>
    <row r="47" spans="1:4" ht="15.75" x14ac:dyDescent="0.25">
      <c r="A47" s="56" t="str">
        <f ca="1"/>
        <v>SSFLAT_CMP_20260323_21</v>
      </c>
      <c r="B47" s="56"/>
      <c r="C47" s="56"/>
      <c r="D47" s="56"/>
    </row>
    <row r="48" spans="1:4" ht="15.75" x14ac:dyDescent="0.25">
      <c r="A48" s="57" t="str">
        <f ca="1"/>
        <v>SSFLAT_CMP_20260323_22</v>
      </c>
      <c r="B48" s="57"/>
      <c r="C48" s="57"/>
      <c r="D48" s="57"/>
    </row>
    <row r="49" spans="1:4" ht="15.75" x14ac:dyDescent="0.25">
      <c r="A49" s="56" t="str">
        <f ca="1"/>
        <v>SSFLAT_CMP_20260323_23</v>
      </c>
      <c r="B49" s="56"/>
      <c r="C49" s="56"/>
      <c r="D49" s="56"/>
    </row>
    <row r="50" spans="1:4" ht="15.75" x14ac:dyDescent="0.25">
      <c r="A50" s="57" t="str">
        <f ca="1"/>
        <v>SSFLAT_CMP_20260323_24</v>
      </c>
      <c r="B50" s="57"/>
      <c r="C50" s="57"/>
      <c r="D50" s="57"/>
    </row>
    <row r="51" spans="1:4" ht="15.75" x14ac:dyDescent="0.25">
      <c r="A51" s="56"/>
      <c r="B51" s="56"/>
      <c r="C51" s="56"/>
      <c r="D51" s="56"/>
    </row>
    <row r="52" spans="1:4" ht="15.75" x14ac:dyDescent="0.25">
      <c r="A52" s="57"/>
      <c r="B52" s="57"/>
      <c r="C52" s="57"/>
      <c r="D52" s="57"/>
    </row>
    <row r="53" spans="1:4" ht="15.75" x14ac:dyDescent="0.25">
      <c r="A53" s="56"/>
      <c r="B53" s="56"/>
      <c r="C53" s="56"/>
      <c r="D53" s="56"/>
    </row>
    <row r="54" spans="1:4" ht="15.75" x14ac:dyDescent="0.25">
      <c r="A54" s="57"/>
      <c r="B54" s="57"/>
      <c r="C54" s="57"/>
      <c r="D54" s="57"/>
    </row>
    <row r="55" spans="1:4" ht="15.75" x14ac:dyDescent="0.25">
      <c r="A55" s="56"/>
      <c r="B55" s="56"/>
      <c r="C55" s="56"/>
      <c r="D55" s="56"/>
    </row>
    <row r="56" spans="1:4" ht="15.75" x14ac:dyDescent="0.25">
      <c r="A56" s="57"/>
      <c r="B56" s="57"/>
      <c r="C56" s="57"/>
      <c r="D56" s="57"/>
    </row>
    <row r="57" spans="1:4" ht="15.75" x14ac:dyDescent="0.25">
      <c r="A57" s="56"/>
      <c r="B57" s="56"/>
      <c r="C57" s="56"/>
      <c r="D57" s="56"/>
    </row>
    <row r="58" spans="1:4" ht="15.75" x14ac:dyDescent="0.25">
      <c r="A58" s="57"/>
      <c r="B58" s="57"/>
      <c r="C58" s="57"/>
      <c r="D58" s="57"/>
    </row>
    <row r="59" spans="1:4" ht="15.75" x14ac:dyDescent="0.25">
      <c r="A59" s="56"/>
      <c r="B59" s="56"/>
      <c r="C59" s="56"/>
      <c r="D59" s="56"/>
    </row>
    <row r="60" spans="1:4" ht="15.75" x14ac:dyDescent="0.25">
      <c r="A60" s="57"/>
      <c r="B60" s="57"/>
      <c r="C60" s="57"/>
      <c r="D60" s="57"/>
    </row>
    <row r="61" spans="1:4" ht="15.75" x14ac:dyDescent="0.25">
      <c r="A61" s="56"/>
      <c r="B61" s="56"/>
      <c r="C61" s="56"/>
      <c r="D61" s="56"/>
    </row>
    <row r="62" spans="1:4" ht="15.75" x14ac:dyDescent="0.25">
      <c r="A62" s="57"/>
      <c r="B62" s="57"/>
      <c r="C62" s="57"/>
      <c r="D62" s="57"/>
    </row>
    <row r="63" spans="1:4" ht="15.75" x14ac:dyDescent="0.25">
      <c r="A63" s="56"/>
      <c r="B63" s="56"/>
      <c r="C63" s="56"/>
      <c r="D63" s="56"/>
    </row>
    <row r="64" spans="1:4" ht="15.75" x14ac:dyDescent="0.25">
      <c r="A64" s="57"/>
      <c r="B64" s="57"/>
      <c r="C64" s="57"/>
      <c r="D64" s="57"/>
    </row>
    <row r="65" spans="1:4" ht="15.75" x14ac:dyDescent="0.25">
      <c r="A65" s="56"/>
      <c r="B65" s="56"/>
      <c r="C65" s="56"/>
      <c r="D65" s="56"/>
    </row>
    <row r="66" spans="1:4" ht="15.75" x14ac:dyDescent="0.25">
      <c r="A66" s="57"/>
      <c r="B66" s="57"/>
      <c r="C66" s="57"/>
      <c r="D66" s="57"/>
    </row>
    <row r="67" spans="1:4" ht="15.75" x14ac:dyDescent="0.25">
      <c r="A67" s="56"/>
      <c r="B67" s="56"/>
      <c r="C67" s="56"/>
      <c r="D67" s="56"/>
    </row>
    <row r="68" spans="1:4" ht="15.75" x14ac:dyDescent="0.25">
      <c r="A68" s="57"/>
      <c r="B68" s="57"/>
      <c r="C68" s="57"/>
      <c r="D68" s="57"/>
    </row>
    <row r="69" spans="1:4" ht="15.75" x14ac:dyDescent="0.25">
      <c r="A69" s="56"/>
      <c r="B69" s="56"/>
      <c r="C69" s="56"/>
      <c r="D69" s="56"/>
    </row>
    <row r="70" spans="1:4" ht="15.75" x14ac:dyDescent="0.25">
      <c r="A70" s="57"/>
      <c r="B70" s="57"/>
      <c r="C70" s="57"/>
      <c r="D70" s="57"/>
    </row>
    <row r="71" spans="1:4" ht="15.75" x14ac:dyDescent="0.25">
      <c r="A71" s="56"/>
      <c r="B71" s="56"/>
      <c r="C71" s="56"/>
      <c r="D71" s="56"/>
    </row>
    <row r="72" spans="1:4" ht="15.75" x14ac:dyDescent="0.25">
      <c r="A72" s="57"/>
      <c r="B72" s="57"/>
      <c r="C72" s="57"/>
      <c r="D72" s="57"/>
    </row>
    <row r="73" spans="1:4" ht="15.75" x14ac:dyDescent="0.25">
      <c r="A73" s="56"/>
      <c r="B73" s="56"/>
      <c r="C73" s="56"/>
      <c r="D73" s="56"/>
    </row>
    <row r="74" spans="1:4" ht="15.75" x14ac:dyDescent="0.25">
      <c r="A74" s="57"/>
      <c r="B74" s="57"/>
      <c r="C74" s="57"/>
      <c r="D74" s="57"/>
    </row>
    <row r="75" spans="1:4" ht="15.75" x14ac:dyDescent="0.25">
      <c r="A75" s="56"/>
      <c r="B75" s="56"/>
      <c r="C75" s="56"/>
      <c r="D75" s="56"/>
    </row>
    <row r="76" spans="1:4" ht="15.75" x14ac:dyDescent="0.25">
      <c r="A76" s="57"/>
      <c r="B76" s="57"/>
      <c r="C76" s="57"/>
      <c r="D76" s="57"/>
    </row>
    <row r="77" spans="1:4" ht="15.75" x14ac:dyDescent="0.25">
      <c r="A77" s="56"/>
      <c r="B77" s="56"/>
      <c r="C77" s="56"/>
      <c r="D77" s="56"/>
    </row>
    <row r="78" spans="1:4" ht="15.75" x14ac:dyDescent="0.25">
      <c r="A78" s="57"/>
      <c r="B78" s="57"/>
      <c r="C78" s="57"/>
      <c r="D78" s="57"/>
    </row>
    <row r="79" spans="1:4" ht="15.75" x14ac:dyDescent="0.25">
      <c r="A79" s="56"/>
      <c r="B79" s="56"/>
      <c r="C79" s="56"/>
      <c r="D79" s="56"/>
    </row>
    <row r="80" spans="1:4" ht="15.75" x14ac:dyDescent="0.25">
      <c r="A80" s="57"/>
      <c r="B80" s="57"/>
      <c r="C80" s="57"/>
      <c r="D80" s="57"/>
    </row>
    <row r="81" spans="1:4" ht="15.75" x14ac:dyDescent="0.25">
      <c r="A81" s="56"/>
      <c r="B81" s="56"/>
      <c r="C81" s="56"/>
      <c r="D81" s="56"/>
    </row>
    <row r="82" spans="1:4" ht="15.75" x14ac:dyDescent="0.25">
      <c r="A82" s="57"/>
      <c r="B82" s="57"/>
      <c r="C82" s="57"/>
      <c r="D82" s="57"/>
    </row>
    <row r="83" spans="1:4" ht="15.75" x14ac:dyDescent="0.25">
      <c r="A83" s="56"/>
      <c r="B83" s="56"/>
      <c r="C83" s="56"/>
      <c r="D83" s="56"/>
    </row>
    <row r="84" spans="1:4" ht="15.75" x14ac:dyDescent="0.25">
      <c r="A84" s="57"/>
      <c r="B84" s="57"/>
      <c r="C84" s="57"/>
      <c r="D84" s="57"/>
    </row>
    <row r="85" spans="1:4" ht="15.75" x14ac:dyDescent="0.25">
      <c r="A85" s="56"/>
      <c r="B85" s="56"/>
      <c r="C85" s="56"/>
      <c r="D85" s="56"/>
    </row>
    <row r="86" spans="1:4" ht="15.75" x14ac:dyDescent="0.25">
      <c r="A86" s="57"/>
      <c r="B86" s="57"/>
      <c r="C86" s="57"/>
      <c r="D86" s="57"/>
    </row>
    <row r="87" spans="1:4" ht="15.75" x14ac:dyDescent="0.25">
      <c r="A87" s="56"/>
      <c r="B87" s="56"/>
      <c r="C87" s="56"/>
      <c r="D87" s="56"/>
    </row>
    <row r="88" spans="1:4" ht="15.75" x14ac:dyDescent="0.25">
      <c r="A88" s="57"/>
      <c r="B88" s="57"/>
      <c r="C88" s="57"/>
      <c r="D88" s="57"/>
    </row>
    <row r="89" spans="1:4" ht="15.75" x14ac:dyDescent="0.25">
      <c r="A89" s="56"/>
      <c r="B89" s="56"/>
      <c r="C89" s="56"/>
      <c r="D89" s="56"/>
    </row>
    <row r="90" spans="1:4" ht="15.75" x14ac:dyDescent="0.25">
      <c r="A90" s="57"/>
      <c r="B90" s="57"/>
      <c r="C90" s="57"/>
      <c r="D90" s="57"/>
    </row>
    <row r="91" spans="1:4" ht="15.75" x14ac:dyDescent="0.25">
      <c r="A91" s="56"/>
      <c r="B91" s="56"/>
      <c r="C91" s="56"/>
      <c r="D91" s="56"/>
    </row>
    <row r="92" spans="1:4" ht="15.75" x14ac:dyDescent="0.25">
      <c r="A92" s="57"/>
      <c r="B92" s="57"/>
      <c r="C92" s="57"/>
      <c r="D92" s="57"/>
    </row>
    <row r="93" spans="1:4" ht="15.75" x14ac:dyDescent="0.25">
      <c r="A93" s="56"/>
      <c r="B93" s="56"/>
      <c r="C93" s="56"/>
      <c r="D93" s="56"/>
    </row>
    <row r="94" spans="1:4" ht="15.75" x14ac:dyDescent="0.25">
      <c r="A94" s="57"/>
      <c r="B94" s="57"/>
      <c r="C94" s="57"/>
      <c r="D94" s="57"/>
    </row>
    <row r="95" spans="1:4" ht="15.75" x14ac:dyDescent="0.25">
      <c r="A95" s="56"/>
      <c r="B95" s="56"/>
      <c r="C95" s="56"/>
      <c r="D95" s="56"/>
    </row>
    <row r="96" spans="1:4" ht="15.75" x14ac:dyDescent="0.25">
      <c r="A96" s="57"/>
      <c r="B96" s="57"/>
      <c r="C96" s="57"/>
      <c r="D96" s="57"/>
    </row>
    <row r="97" spans="1:4" ht="15.75" x14ac:dyDescent="0.25">
      <c r="A97" s="56"/>
      <c r="B97" s="56"/>
      <c r="C97" s="56"/>
      <c r="D97" s="56"/>
    </row>
    <row r="98" spans="1:4" ht="15.75" x14ac:dyDescent="0.25">
      <c r="A98" s="57"/>
      <c r="B98" s="57"/>
      <c r="C98" s="57"/>
      <c r="D98" s="57"/>
    </row>
    <row r="99" spans="1:4" ht="15.75" x14ac:dyDescent="0.25">
      <c r="A99" s="56"/>
      <c r="B99" s="56"/>
      <c r="C99" s="56"/>
      <c r="D99" s="56"/>
    </row>
  </sheetData>
  <mergeCells count="1">
    <mergeCell ref="B1:C1"/>
  </mergeCells>
  <pageMargins left="0.7" right="0.7" top="0.75" bottom="0.75" header="0.3" footer="0.3"/>
  <pageSetup scale="99" fitToHeight="0" orientation="portrait" r:id="rId1"/>
  <headerFooter>
    <oddHeader>&amp;L&amp;"Consolas,Bold"&amp;12Date:____________________ Technican:___________________ 
Project Code:___________  Study Code:_____________</oddHeader>
    <oddFooter>&amp;C&amp;"Consolas,Bold"&amp;14&amp;P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FILLME</vt:lpstr>
      <vt:lpstr>Label IDs</vt:lpstr>
      <vt:lpstr>Labels-Field</vt:lpstr>
      <vt:lpstr>Labels-Lab</vt:lpstr>
      <vt:lpstr>DS-Bottle Numbers</vt:lpstr>
      <vt:lpstr>DS-ISCO Bottle Weight</vt:lpstr>
      <vt:lpstr>DS-Filter Weight</vt:lpstr>
    </vt:vector>
  </TitlesOfParts>
  <Manager/>
  <Company>Oregon State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Cole, Ryan P</dc:creator>
  <cp:keywords/>
  <dc:description/>
  <cp:lastModifiedBy>Wampler, Katie A</cp:lastModifiedBy>
  <cp:revision/>
  <cp:lastPrinted>2026-03-21T17:41:49Z</cp:lastPrinted>
  <dcterms:created xsi:type="dcterms:W3CDTF">2025-10-22T18:56:39Z</dcterms:created>
  <dcterms:modified xsi:type="dcterms:W3CDTF">2026-03-23T16:36:13Z</dcterms:modified>
  <cp:category/>
  <cp:contentStatus/>
</cp:coreProperties>
</file>