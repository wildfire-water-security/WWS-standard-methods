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wampleka\Documents\Projects\WWS-standard-methods\SOPs\Field\water-sampling\labels\"/>
    </mc:Choice>
  </mc:AlternateContent>
  <xr:revisionPtr revIDLastSave="0" documentId="13_ncr:1_{5B5D3163-2614-4401-871A-895C454F3AA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ILL ME" sheetId="10" r:id="rId1"/>
    <sheet name="Label IDs" sheetId="4" r:id="rId2"/>
    <sheet name="Field Label List" sheetId="11" r:id="rId3"/>
    <sheet name="Lab Label List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5" i="4" l="1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A62" i="4"/>
  <c r="A63" i="4"/>
  <c r="A64" i="4"/>
  <c r="A65" i="4"/>
  <c r="E65" i="4" s="1"/>
  <c r="A66" i="4"/>
  <c r="E66" i="4" s="1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E96" i="4" s="1"/>
  <c r="A97" i="4"/>
  <c r="E97" i="4" s="1"/>
  <c r="A98" i="4"/>
  <c r="E98" i="4" s="1"/>
  <c r="K98" i="4" s="1"/>
  <c r="A99" i="4"/>
  <c r="E99" i="4" s="1"/>
  <c r="K99" i="4" s="1"/>
  <c r="A100" i="4"/>
  <c r="E100" i="4" s="1"/>
  <c r="K100" i="4" s="1"/>
  <c r="A101" i="4"/>
  <c r="A102" i="4"/>
  <c r="A103" i="4"/>
  <c r="A104" i="4"/>
  <c r="A105" i="4"/>
  <c r="E105" i="4" s="1"/>
  <c r="K105" i="4" s="1"/>
  <c r="A106" i="4"/>
  <c r="E106" i="4" s="1"/>
  <c r="K106" i="4" s="1"/>
  <c r="A107" i="4"/>
  <c r="A108" i="4"/>
  <c r="A109" i="4"/>
  <c r="A110" i="4"/>
  <c r="A111" i="4"/>
  <c r="A112" i="4"/>
  <c r="A113" i="4"/>
  <c r="A114" i="4"/>
  <c r="E114" i="4" s="1"/>
  <c r="K114" i="4" s="1"/>
  <c r="A115" i="4"/>
  <c r="E115" i="4" s="1"/>
  <c r="K115" i="4" s="1"/>
  <c r="A116" i="4"/>
  <c r="E116" i="4" s="1"/>
  <c r="K116" i="4" s="1"/>
  <c r="A117" i="4"/>
  <c r="E117" i="4" s="1"/>
  <c r="K117" i="4" s="1"/>
  <c r="A118" i="4"/>
  <c r="E118" i="4" s="1"/>
  <c r="K118" i="4" s="1"/>
  <c r="A119" i="4"/>
  <c r="E119" i="4" s="1"/>
  <c r="K119" i="4" s="1"/>
  <c r="A120" i="4"/>
  <c r="E120" i="4" s="1"/>
  <c r="K120" i="4" s="1"/>
  <c r="A121" i="4"/>
  <c r="A122" i="4"/>
  <c r="A123" i="4"/>
  <c r="A124" i="4"/>
  <c r="A125" i="4"/>
  <c r="E125" i="4" s="1"/>
  <c r="K125" i="4" s="1"/>
  <c r="A126" i="4"/>
  <c r="E126" i="4" s="1"/>
  <c r="K126" i="4" s="1"/>
  <c r="A127" i="4"/>
  <c r="A128" i="4"/>
  <c r="A129" i="4"/>
  <c r="A130" i="4"/>
  <c r="A131" i="4"/>
  <c r="A132" i="4"/>
  <c r="A133" i="4"/>
  <c r="A134" i="4"/>
  <c r="E134" i="4" s="1"/>
  <c r="K134" i="4" s="1"/>
  <c r="A135" i="4"/>
  <c r="E135" i="4" s="1"/>
  <c r="K135" i="4" s="1"/>
  <c r="A136" i="4"/>
  <c r="E136" i="4" s="1"/>
  <c r="K136" i="4" s="1"/>
  <c r="A137" i="4"/>
  <c r="A138" i="4"/>
  <c r="E138" i="4" s="1"/>
  <c r="K138" i="4" s="1"/>
  <c r="A139" i="4"/>
  <c r="E139" i="4" s="1"/>
  <c r="K139" i="4" s="1"/>
  <c r="A140" i="4"/>
  <c r="E140" i="4" s="1"/>
  <c r="K140" i="4" s="1"/>
  <c r="A141" i="4"/>
  <c r="A142" i="4"/>
  <c r="A143" i="4"/>
  <c r="A144" i="4"/>
  <c r="A145" i="4"/>
  <c r="E145" i="4" s="1"/>
  <c r="K145" i="4" s="1"/>
  <c r="A146" i="4"/>
  <c r="E146" i="4" s="1"/>
  <c r="K146" i="4" s="1"/>
  <c r="A147" i="4"/>
  <c r="A148" i="4"/>
  <c r="A149" i="4"/>
  <c r="A150" i="4"/>
  <c r="A151" i="4"/>
  <c r="A152" i="4"/>
  <c r="A153" i="4"/>
  <c r="A154" i="4"/>
  <c r="E154" i="4" s="1"/>
  <c r="K154" i="4" s="1"/>
  <c r="A155" i="4"/>
  <c r="E155" i="4" s="1"/>
  <c r="K155" i="4" s="1"/>
  <c r="A156" i="4"/>
  <c r="E156" i="4" s="1"/>
  <c r="K156" i="4" s="1"/>
  <c r="A157" i="4"/>
  <c r="E157" i="4" s="1"/>
  <c r="K157" i="4" s="1"/>
  <c r="A158" i="4"/>
  <c r="E158" i="4" s="1"/>
  <c r="K158" i="4" s="1"/>
  <c r="A159" i="4"/>
  <c r="E159" i="4" s="1"/>
  <c r="K159" i="4" s="1"/>
  <c r="A160" i="4"/>
  <c r="E160" i="4" s="1"/>
  <c r="K160" i="4" s="1"/>
  <c r="A161" i="4"/>
  <c r="A162" i="4"/>
  <c r="A163" i="4"/>
  <c r="A164" i="4"/>
  <c r="A165" i="4"/>
  <c r="E165" i="4" s="1"/>
  <c r="K165" i="4" s="1"/>
  <c r="A166" i="4"/>
  <c r="E166" i="4" s="1"/>
  <c r="K166" i="4" s="1"/>
  <c r="A167" i="4"/>
  <c r="A168" i="4"/>
  <c r="A169" i="4"/>
  <c r="A170" i="4"/>
  <c r="A171" i="4"/>
  <c r="A172" i="4"/>
  <c r="A173" i="4"/>
  <c r="A174" i="4"/>
  <c r="E174" i="4" s="1"/>
  <c r="K174" i="4" s="1"/>
  <c r="A175" i="4"/>
  <c r="E175" i="4" s="1"/>
  <c r="K175" i="4" s="1"/>
  <c r="A176" i="4"/>
  <c r="E176" i="4" s="1"/>
  <c r="K176" i="4" s="1"/>
  <c r="A177" i="4"/>
  <c r="E177" i="4" s="1"/>
  <c r="K177" i="4" s="1"/>
  <c r="A178" i="4"/>
  <c r="E178" i="4" s="1"/>
  <c r="K178" i="4" s="1"/>
  <c r="A179" i="4"/>
  <c r="E179" i="4" s="1"/>
  <c r="K179" i="4" s="1"/>
  <c r="A180" i="4"/>
  <c r="E180" i="4" s="1"/>
  <c r="K180" i="4" s="1"/>
  <c r="A181" i="4"/>
  <c r="A182" i="4"/>
  <c r="A183" i="4"/>
  <c r="A184" i="4"/>
  <c r="A185" i="4"/>
  <c r="E185" i="4" s="1"/>
  <c r="K185" i="4" s="1"/>
  <c r="A186" i="4"/>
  <c r="E186" i="4" s="1"/>
  <c r="K186" i="4" s="1"/>
  <c r="A187" i="4"/>
  <c r="A188" i="4"/>
  <c r="A189" i="4"/>
  <c r="A190" i="4"/>
  <c r="A191" i="4"/>
  <c r="A192" i="4"/>
  <c r="A193" i="4"/>
  <c r="A194" i="4"/>
  <c r="E194" i="4" s="1"/>
  <c r="K194" i="4" s="1"/>
  <c r="A195" i="4"/>
  <c r="E195" i="4" s="1"/>
  <c r="K195" i="4" s="1"/>
  <c r="A196" i="4"/>
  <c r="E196" i="4" s="1"/>
  <c r="K196" i="4" s="1"/>
  <c r="A197" i="4"/>
  <c r="E197" i="4" s="1"/>
  <c r="K197" i="4" s="1"/>
  <c r="A198" i="4"/>
  <c r="E198" i="4" s="1"/>
  <c r="K198" i="4" s="1"/>
  <c r="A199" i="4"/>
  <c r="E199" i="4" s="1"/>
  <c r="K199" i="4" s="1"/>
  <c r="A200" i="4"/>
  <c r="E200" i="4" s="1"/>
  <c r="K200" i="4" s="1"/>
  <c r="A201" i="4"/>
  <c r="A202" i="4"/>
  <c r="A203" i="4"/>
  <c r="A204" i="4"/>
  <c r="A205" i="4"/>
  <c r="E205" i="4" s="1"/>
  <c r="K205" i="4" s="1"/>
  <c r="A206" i="4"/>
  <c r="E206" i="4" s="1"/>
  <c r="K206" i="4" s="1"/>
  <c r="A207" i="4"/>
  <c r="A208" i="4"/>
  <c r="A209" i="4"/>
  <c r="A210" i="4"/>
  <c r="A211" i="4"/>
  <c r="A212" i="4"/>
  <c r="A213" i="4"/>
  <c r="A214" i="4"/>
  <c r="E214" i="4" s="1"/>
  <c r="K214" i="4" s="1"/>
  <c r="A215" i="4"/>
  <c r="E215" i="4" s="1"/>
  <c r="K215" i="4" s="1"/>
  <c r="A216" i="4"/>
  <c r="E216" i="4" s="1"/>
  <c r="K216" i="4" s="1"/>
  <c r="A217" i="4"/>
  <c r="E217" i="4" s="1"/>
  <c r="K217" i="4" s="1"/>
  <c r="A218" i="4"/>
  <c r="E218" i="4" s="1"/>
  <c r="K218" i="4" s="1"/>
  <c r="A219" i="4"/>
  <c r="E219" i="4" s="1"/>
  <c r="K219" i="4" s="1"/>
  <c r="A220" i="4"/>
  <c r="E220" i="4" s="1"/>
  <c r="K220" i="4" s="1"/>
  <c r="A221" i="4"/>
  <c r="A222" i="4"/>
  <c r="A223" i="4"/>
  <c r="A224" i="4"/>
  <c r="A225" i="4"/>
  <c r="E225" i="4" s="1"/>
  <c r="K225" i="4" s="1"/>
  <c r="A226" i="4"/>
  <c r="E226" i="4" s="1"/>
  <c r="K226" i="4" s="1"/>
  <c r="A227" i="4"/>
  <c r="A228" i="4"/>
  <c r="A229" i="4"/>
  <c r="A230" i="4"/>
  <c r="A231" i="4"/>
  <c r="A232" i="4"/>
  <c r="A233" i="4"/>
  <c r="A234" i="4"/>
  <c r="E234" i="4" s="1"/>
  <c r="K234" i="4" s="1"/>
  <c r="A235" i="4"/>
  <c r="E235" i="4" s="1"/>
  <c r="K235" i="4" s="1"/>
  <c r="A236" i="4"/>
  <c r="E236" i="4" s="1"/>
  <c r="K236" i="4" s="1"/>
  <c r="A237" i="4"/>
  <c r="E237" i="4" s="1"/>
  <c r="K237" i="4" s="1"/>
  <c r="A238" i="4"/>
  <c r="E238" i="4" s="1"/>
  <c r="K238" i="4" s="1"/>
  <c r="A239" i="4"/>
  <c r="E239" i="4" s="1"/>
  <c r="K239" i="4" s="1"/>
  <c r="A240" i="4"/>
  <c r="E240" i="4" s="1"/>
  <c r="K240" i="4" s="1"/>
  <c r="A241" i="4"/>
  <c r="A242" i="4"/>
  <c r="A243" i="4"/>
  <c r="A244" i="4"/>
  <c r="A245" i="4"/>
  <c r="E245" i="4" s="1"/>
  <c r="K245" i="4" s="1"/>
  <c r="A246" i="4"/>
  <c r="E246" i="4" s="1"/>
  <c r="K246" i="4" s="1"/>
  <c r="A247" i="4"/>
  <c r="A248" i="4"/>
  <c r="A249" i="4"/>
  <c r="A250" i="4"/>
  <c r="A251" i="4"/>
  <c r="A252" i="4"/>
  <c r="A253" i="4"/>
  <c r="A254" i="4"/>
  <c r="E254" i="4" s="1"/>
  <c r="K254" i="4" s="1"/>
  <c r="A255" i="4"/>
  <c r="E255" i="4" s="1"/>
  <c r="K255" i="4" s="1"/>
  <c r="A256" i="4"/>
  <c r="E256" i="4" s="1"/>
  <c r="K256" i="4" s="1"/>
  <c r="A257" i="4"/>
  <c r="E257" i="4" s="1"/>
  <c r="K257" i="4" s="1"/>
  <c r="A258" i="4"/>
  <c r="E258" i="4" s="1"/>
  <c r="K258" i="4" s="1"/>
  <c r="A259" i="4"/>
  <c r="E259" i="4" s="1"/>
  <c r="K259" i="4" s="1"/>
  <c r="A260" i="4"/>
  <c r="E260" i="4" s="1"/>
  <c r="K260" i="4" s="1"/>
  <c r="A261" i="4"/>
  <c r="A262" i="4"/>
  <c r="A263" i="4"/>
  <c r="A264" i="4"/>
  <c r="A265" i="4"/>
  <c r="E265" i="4" s="1"/>
  <c r="K265" i="4" s="1"/>
  <c r="A266" i="4"/>
  <c r="E266" i="4" s="1"/>
  <c r="K266" i="4" s="1"/>
  <c r="A267" i="4"/>
  <c r="A268" i="4"/>
  <c r="A269" i="4"/>
  <c r="A270" i="4"/>
  <c r="A271" i="4"/>
  <c r="A272" i="4"/>
  <c r="A273" i="4"/>
  <c r="A274" i="4"/>
  <c r="E274" i="4" s="1"/>
  <c r="K274" i="4" s="1"/>
  <c r="A275" i="4"/>
  <c r="E275" i="4" s="1"/>
  <c r="K275" i="4" s="1"/>
  <c r="A276" i="4"/>
  <c r="E276" i="4" s="1"/>
  <c r="K276" i="4" s="1"/>
  <c r="A277" i="4"/>
  <c r="E277" i="4" s="1"/>
  <c r="K277" i="4" s="1"/>
  <c r="A278" i="4"/>
  <c r="E278" i="4" s="1"/>
  <c r="K278" i="4" s="1"/>
  <c r="A279" i="4"/>
  <c r="E279" i="4" s="1"/>
  <c r="K279" i="4" s="1"/>
  <c r="A280" i="4"/>
  <c r="E280" i="4" s="1"/>
  <c r="K280" i="4" s="1"/>
  <c r="A281" i="4"/>
  <c r="A282" i="4"/>
  <c r="A283" i="4"/>
  <c r="A284" i="4"/>
  <c r="A285" i="4"/>
  <c r="E285" i="4" s="1"/>
  <c r="K285" i="4" s="1"/>
  <c r="A286" i="4"/>
  <c r="E286" i="4" s="1"/>
  <c r="K286" i="4" s="1"/>
  <c r="A287" i="4"/>
  <c r="A288" i="4"/>
  <c r="A289" i="4"/>
  <c r="A290" i="4"/>
  <c r="A291" i="4"/>
  <c r="A292" i="4"/>
  <c r="A293" i="4"/>
  <c r="A294" i="4"/>
  <c r="E294" i="4" s="1"/>
  <c r="K294" i="4" s="1"/>
  <c r="A295" i="4"/>
  <c r="E295" i="4" s="1"/>
  <c r="K295" i="4" s="1"/>
  <c r="A296" i="4"/>
  <c r="E296" i="4" s="1"/>
  <c r="K296" i="4" s="1"/>
  <c r="A297" i="4"/>
  <c r="E297" i="4" s="1"/>
  <c r="K297" i="4" s="1"/>
  <c r="A298" i="4"/>
  <c r="E298" i="4" s="1"/>
  <c r="K298" i="4" s="1"/>
  <c r="A299" i="4"/>
  <c r="E299" i="4" s="1"/>
  <c r="K299" i="4" s="1"/>
  <c r="A300" i="4"/>
  <c r="E300" i="4" s="1"/>
  <c r="K300" i="4" s="1"/>
  <c r="A301" i="4"/>
  <c r="A302" i="4"/>
  <c r="A303" i="4"/>
  <c r="A304" i="4"/>
  <c r="A305" i="4"/>
  <c r="E305" i="4" s="1"/>
  <c r="K305" i="4" s="1"/>
  <c r="A306" i="4"/>
  <c r="E306" i="4" s="1"/>
  <c r="K306" i="4" s="1"/>
  <c r="A307" i="4"/>
  <c r="A308" i="4"/>
  <c r="A309" i="4"/>
  <c r="A310" i="4"/>
  <c r="A311" i="4"/>
  <c r="A312" i="4"/>
  <c r="A313" i="4"/>
  <c r="A314" i="4"/>
  <c r="E314" i="4" s="1"/>
  <c r="K314" i="4" s="1"/>
  <c r="A315" i="4"/>
  <c r="E315" i="4" s="1"/>
  <c r="K315" i="4" s="1"/>
  <c r="A316" i="4"/>
  <c r="E316" i="4" s="1"/>
  <c r="K316" i="4" s="1"/>
  <c r="A317" i="4"/>
  <c r="E317" i="4" s="1"/>
  <c r="K317" i="4" s="1"/>
  <c r="A318" i="4"/>
  <c r="E318" i="4" s="1"/>
  <c r="K318" i="4" s="1"/>
  <c r="A319" i="4"/>
  <c r="E319" i="4" s="1"/>
  <c r="K319" i="4" s="1"/>
  <c r="A320" i="4"/>
  <c r="E320" i="4" s="1"/>
  <c r="K320" i="4" s="1"/>
  <c r="A321" i="4"/>
  <c r="E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R183" i="4"/>
  <c r="R184" i="4"/>
  <c r="R185" i="4"/>
  <c r="R186" i="4"/>
  <c r="R187" i="4"/>
  <c r="R188" i="4"/>
  <c r="R189" i="4"/>
  <c r="R190" i="4"/>
  <c r="R191" i="4"/>
  <c r="R192" i="4"/>
  <c r="R193" i="4"/>
  <c r="R194" i="4"/>
  <c r="R195" i="4"/>
  <c r="R196" i="4"/>
  <c r="R197" i="4"/>
  <c r="R198" i="4"/>
  <c r="R199" i="4"/>
  <c r="R200" i="4"/>
  <c r="R201" i="4"/>
  <c r="R202" i="4"/>
  <c r="R203" i="4"/>
  <c r="R204" i="4"/>
  <c r="R205" i="4"/>
  <c r="R206" i="4"/>
  <c r="R207" i="4"/>
  <c r="R208" i="4"/>
  <c r="R209" i="4"/>
  <c r="R210" i="4"/>
  <c r="R211" i="4"/>
  <c r="R212" i="4"/>
  <c r="R213" i="4"/>
  <c r="R214" i="4"/>
  <c r="R215" i="4"/>
  <c r="R216" i="4"/>
  <c r="R217" i="4"/>
  <c r="R218" i="4"/>
  <c r="R219" i="4"/>
  <c r="R220" i="4"/>
  <c r="R221" i="4"/>
  <c r="R222" i="4"/>
  <c r="R223" i="4"/>
  <c r="R224" i="4"/>
  <c r="R225" i="4"/>
  <c r="R226" i="4"/>
  <c r="R227" i="4"/>
  <c r="R228" i="4"/>
  <c r="R229" i="4"/>
  <c r="R230" i="4"/>
  <c r="R231" i="4"/>
  <c r="R232" i="4"/>
  <c r="R233" i="4"/>
  <c r="R234" i="4"/>
  <c r="R235" i="4"/>
  <c r="R236" i="4"/>
  <c r="R237" i="4"/>
  <c r="R238" i="4"/>
  <c r="R239" i="4"/>
  <c r="R240" i="4"/>
  <c r="R241" i="4"/>
  <c r="R242" i="4"/>
  <c r="R243" i="4"/>
  <c r="R244" i="4"/>
  <c r="R245" i="4"/>
  <c r="R246" i="4"/>
  <c r="R247" i="4"/>
  <c r="R248" i="4"/>
  <c r="R249" i="4"/>
  <c r="R250" i="4"/>
  <c r="R251" i="4"/>
  <c r="R252" i="4"/>
  <c r="R253" i="4"/>
  <c r="R254" i="4"/>
  <c r="R255" i="4"/>
  <c r="R256" i="4"/>
  <c r="R257" i="4"/>
  <c r="R258" i="4"/>
  <c r="R259" i="4"/>
  <c r="R260" i="4"/>
  <c r="R261" i="4"/>
  <c r="R262" i="4"/>
  <c r="R263" i="4"/>
  <c r="R264" i="4"/>
  <c r="R265" i="4"/>
  <c r="R266" i="4"/>
  <c r="R267" i="4"/>
  <c r="R268" i="4"/>
  <c r="R269" i="4"/>
  <c r="R270" i="4"/>
  <c r="R271" i="4"/>
  <c r="R272" i="4"/>
  <c r="R273" i="4"/>
  <c r="R274" i="4"/>
  <c r="R275" i="4"/>
  <c r="R276" i="4"/>
  <c r="R277" i="4"/>
  <c r="R278" i="4"/>
  <c r="R279" i="4"/>
  <c r="R280" i="4"/>
  <c r="R281" i="4"/>
  <c r="R282" i="4"/>
  <c r="R283" i="4"/>
  <c r="R284" i="4"/>
  <c r="R285" i="4"/>
  <c r="R286" i="4"/>
  <c r="R287" i="4"/>
  <c r="R288" i="4"/>
  <c r="R289" i="4"/>
  <c r="R290" i="4"/>
  <c r="R291" i="4"/>
  <c r="R292" i="4"/>
  <c r="R293" i="4"/>
  <c r="R294" i="4"/>
  <c r="R295" i="4"/>
  <c r="R296" i="4"/>
  <c r="R297" i="4"/>
  <c r="R298" i="4"/>
  <c r="R299" i="4"/>
  <c r="R300" i="4"/>
  <c r="R301" i="4"/>
  <c r="R302" i="4"/>
  <c r="R303" i="4"/>
  <c r="R304" i="4"/>
  <c r="R305" i="4"/>
  <c r="R306" i="4"/>
  <c r="R307" i="4"/>
  <c r="R308" i="4"/>
  <c r="R309" i="4"/>
  <c r="R310" i="4"/>
  <c r="R311" i="4"/>
  <c r="R312" i="4"/>
  <c r="R313" i="4"/>
  <c r="R314" i="4"/>
  <c r="R315" i="4"/>
  <c r="R316" i="4"/>
  <c r="R317" i="4"/>
  <c r="R318" i="4"/>
  <c r="R319" i="4"/>
  <c r="R320" i="4"/>
  <c r="R321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Q183" i="4"/>
  <c r="Q184" i="4"/>
  <c r="Q185" i="4"/>
  <c r="Q186" i="4"/>
  <c r="Q187" i="4"/>
  <c r="Q188" i="4"/>
  <c r="Q189" i="4"/>
  <c r="Q190" i="4"/>
  <c r="Q191" i="4"/>
  <c r="Q192" i="4"/>
  <c r="Q193" i="4"/>
  <c r="Q194" i="4"/>
  <c r="Q195" i="4"/>
  <c r="Q196" i="4"/>
  <c r="Q197" i="4"/>
  <c r="Q198" i="4"/>
  <c r="Q199" i="4"/>
  <c r="Q200" i="4"/>
  <c r="Q201" i="4"/>
  <c r="Q202" i="4"/>
  <c r="Q203" i="4"/>
  <c r="Q204" i="4"/>
  <c r="Q205" i="4"/>
  <c r="Q206" i="4"/>
  <c r="Q207" i="4"/>
  <c r="Q208" i="4"/>
  <c r="Q209" i="4"/>
  <c r="Q210" i="4"/>
  <c r="Q211" i="4"/>
  <c r="Q212" i="4"/>
  <c r="Q213" i="4"/>
  <c r="Q214" i="4"/>
  <c r="Q215" i="4"/>
  <c r="Q216" i="4"/>
  <c r="Q217" i="4"/>
  <c r="Q218" i="4"/>
  <c r="Q219" i="4"/>
  <c r="Q220" i="4"/>
  <c r="Q221" i="4"/>
  <c r="Q222" i="4"/>
  <c r="Q223" i="4"/>
  <c r="Q224" i="4"/>
  <c r="Q225" i="4"/>
  <c r="Q226" i="4"/>
  <c r="Q227" i="4"/>
  <c r="Q228" i="4"/>
  <c r="Q229" i="4"/>
  <c r="Q230" i="4"/>
  <c r="Q231" i="4"/>
  <c r="Q232" i="4"/>
  <c r="Q233" i="4"/>
  <c r="Q234" i="4"/>
  <c r="Q235" i="4"/>
  <c r="Q236" i="4"/>
  <c r="Q237" i="4"/>
  <c r="Q238" i="4"/>
  <c r="Q239" i="4"/>
  <c r="Q240" i="4"/>
  <c r="Q241" i="4"/>
  <c r="Q242" i="4"/>
  <c r="Q243" i="4"/>
  <c r="Q244" i="4"/>
  <c r="Q245" i="4"/>
  <c r="Q246" i="4"/>
  <c r="Q247" i="4"/>
  <c r="Q248" i="4"/>
  <c r="Q249" i="4"/>
  <c r="Q250" i="4"/>
  <c r="Q251" i="4"/>
  <c r="Q252" i="4"/>
  <c r="Q253" i="4"/>
  <c r="Q254" i="4"/>
  <c r="Q255" i="4"/>
  <c r="Q256" i="4"/>
  <c r="Q257" i="4"/>
  <c r="Q258" i="4"/>
  <c r="Q259" i="4"/>
  <c r="Q260" i="4"/>
  <c r="Q261" i="4"/>
  <c r="Q262" i="4"/>
  <c r="Q263" i="4"/>
  <c r="Q264" i="4"/>
  <c r="Q265" i="4"/>
  <c r="Q266" i="4"/>
  <c r="Q267" i="4"/>
  <c r="Q268" i="4"/>
  <c r="Q269" i="4"/>
  <c r="Q270" i="4"/>
  <c r="Q271" i="4"/>
  <c r="Q272" i="4"/>
  <c r="Q273" i="4"/>
  <c r="Q274" i="4"/>
  <c r="Q275" i="4"/>
  <c r="Q276" i="4"/>
  <c r="Q277" i="4"/>
  <c r="Q278" i="4"/>
  <c r="Q279" i="4"/>
  <c r="Q280" i="4"/>
  <c r="Q281" i="4"/>
  <c r="Q282" i="4"/>
  <c r="Q283" i="4"/>
  <c r="Q284" i="4"/>
  <c r="Q285" i="4"/>
  <c r="Q286" i="4"/>
  <c r="Q287" i="4"/>
  <c r="Q288" i="4"/>
  <c r="Q289" i="4"/>
  <c r="Q290" i="4"/>
  <c r="Q291" i="4"/>
  <c r="Q292" i="4"/>
  <c r="Q293" i="4"/>
  <c r="Q294" i="4"/>
  <c r="Q295" i="4"/>
  <c r="Q296" i="4"/>
  <c r="Q297" i="4"/>
  <c r="Q298" i="4"/>
  <c r="Q299" i="4"/>
  <c r="Q300" i="4"/>
  <c r="Q301" i="4"/>
  <c r="Q302" i="4"/>
  <c r="Q303" i="4"/>
  <c r="Q304" i="4"/>
  <c r="Q305" i="4"/>
  <c r="Q306" i="4"/>
  <c r="Q307" i="4"/>
  <c r="Q308" i="4"/>
  <c r="Q309" i="4"/>
  <c r="Q310" i="4"/>
  <c r="Q311" i="4"/>
  <c r="Q312" i="4"/>
  <c r="Q313" i="4"/>
  <c r="Q314" i="4"/>
  <c r="Q315" i="4"/>
  <c r="Q316" i="4"/>
  <c r="Q317" i="4"/>
  <c r="Q318" i="4"/>
  <c r="Q319" i="4"/>
  <c r="Q320" i="4"/>
  <c r="Q321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K13" i="4"/>
  <c r="K14" i="4"/>
  <c r="K18" i="4"/>
  <c r="K34" i="4"/>
  <c r="K53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F3" i="4"/>
  <c r="K3" i="4" s="1"/>
  <c r="F4" i="4"/>
  <c r="K4" i="4" s="1"/>
  <c r="F5" i="4"/>
  <c r="F6" i="4"/>
  <c r="F7" i="4"/>
  <c r="F8" i="4"/>
  <c r="K8" i="4" s="1"/>
  <c r="F9" i="4"/>
  <c r="K9" i="4" s="1"/>
  <c r="F10" i="4"/>
  <c r="F11" i="4"/>
  <c r="F12" i="4"/>
  <c r="F13" i="4"/>
  <c r="F14" i="4"/>
  <c r="F15" i="4"/>
  <c r="K15" i="4" s="1"/>
  <c r="F16" i="4"/>
  <c r="F17" i="4"/>
  <c r="F18" i="4"/>
  <c r="F19" i="4"/>
  <c r="K19" i="4" s="1"/>
  <c r="F20" i="4"/>
  <c r="K20" i="4" s="1"/>
  <c r="F21" i="4"/>
  <c r="K21" i="4" s="1"/>
  <c r="F22" i="4"/>
  <c r="K22" i="4" s="1"/>
  <c r="F23" i="4"/>
  <c r="K23" i="4" s="1"/>
  <c r="F24" i="4"/>
  <c r="K24" i="4" s="1"/>
  <c r="F25" i="4"/>
  <c r="F26" i="4"/>
  <c r="F27" i="4"/>
  <c r="F28" i="4"/>
  <c r="K28" i="4" s="1"/>
  <c r="F29" i="4"/>
  <c r="K29" i="4" s="1"/>
  <c r="F30" i="4"/>
  <c r="F31" i="4"/>
  <c r="F32" i="4"/>
  <c r="F33" i="4"/>
  <c r="K33" i="4" s="1"/>
  <c r="F34" i="4"/>
  <c r="F35" i="4"/>
  <c r="K35" i="4" s="1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K48" i="4" s="1"/>
  <c r="F49" i="4"/>
  <c r="K49" i="4" s="1"/>
  <c r="F50" i="4"/>
  <c r="F51" i="4"/>
  <c r="F52" i="4"/>
  <c r="F53" i="4"/>
  <c r="F54" i="4"/>
  <c r="K54" i="4" s="1"/>
  <c r="F55" i="4"/>
  <c r="K55" i="4" s="1"/>
  <c r="F56" i="4"/>
  <c r="F57" i="4"/>
  <c r="F58" i="4"/>
  <c r="K58" i="4" s="1"/>
  <c r="F59" i="4"/>
  <c r="K59" i="4" s="1"/>
  <c r="F60" i="4"/>
  <c r="K60" i="4" s="1"/>
  <c r="F61" i="4"/>
  <c r="K61" i="4" s="1"/>
  <c r="F62" i="4"/>
  <c r="E62" i="4" s="1"/>
  <c r="F63" i="4"/>
  <c r="K63" i="4" s="1"/>
  <c r="F64" i="4"/>
  <c r="K64" i="4" s="1"/>
  <c r="F65" i="4"/>
  <c r="F66" i="4"/>
  <c r="F67" i="4"/>
  <c r="E67" i="4" s="1"/>
  <c r="F68" i="4"/>
  <c r="E68" i="4" s="1"/>
  <c r="F69" i="4"/>
  <c r="F70" i="4"/>
  <c r="F71" i="4"/>
  <c r="F72" i="4"/>
  <c r="F73" i="4"/>
  <c r="F74" i="4"/>
  <c r="E74" i="4" s="1"/>
  <c r="K74" i="4" s="1"/>
  <c r="F75" i="4"/>
  <c r="F76" i="4"/>
  <c r="F77" i="4"/>
  <c r="F78" i="4"/>
  <c r="F79" i="4"/>
  <c r="F80" i="4"/>
  <c r="F81" i="4"/>
  <c r="E81" i="4" s="1"/>
  <c r="K81" i="4" s="1"/>
  <c r="F82" i="4"/>
  <c r="E82" i="4" s="1"/>
  <c r="K82" i="4" s="1"/>
  <c r="F83" i="4"/>
  <c r="E83" i="4" s="1"/>
  <c r="K83" i="4" s="1"/>
  <c r="F84" i="4"/>
  <c r="E84" i="4" s="1"/>
  <c r="K84" i="4" s="1"/>
  <c r="F85" i="4"/>
  <c r="F86" i="4"/>
  <c r="F87" i="4"/>
  <c r="E87" i="4" s="1"/>
  <c r="F88" i="4"/>
  <c r="E88" i="4" s="1"/>
  <c r="F89" i="4"/>
  <c r="E89" i="4" s="1"/>
  <c r="K89" i="4" s="1"/>
  <c r="F90" i="4"/>
  <c r="F91" i="4"/>
  <c r="F92" i="4"/>
  <c r="F93" i="4"/>
  <c r="F94" i="4"/>
  <c r="E94" i="4" s="1"/>
  <c r="K94" i="4" s="1"/>
  <c r="F95" i="4"/>
  <c r="E95" i="4" s="1"/>
  <c r="F96" i="4"/>
  <c r="F97" i="4"/>
  <c r="F98" i="4"/>
  <c r="F99" i="4"/>
  <c r="F100" i="4"/>
  <c r="F101" i="4"/>
  <c r="E101" i="4" s="1"/>
  <c r="K101" i="4" s="1"/>
  <c r="F102" i="4"/>
  <c r="E102" i="4" s="1"/>
  <c r="K102" i="4" s="1"/>
  <c r="F103" i="4"/>
  <c r="F104" i="4"/>
  <c r="E104" i="4" s="1"/>
  <c r="K104" i="4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K38" i="4" s="1"/>
  <c r="E39" i="4"/>
  <c r="K39" i="4" s="1"/>
  <c r="E40" i="4"/>
  <c r="K40" i="4" s="1"/>
  <c r="E41" i="4"/>
  <c r="K41" i="4" s="1"/>
  <c r="E42" i="4"/>
  <c r="K42" i="4" s="1"/>
  <c r="E43" i="4"/>
  <c r="K43" i="4" s="1"/>
  <c r="E44" i="4"/>
  <c r="K44" i="4" s="1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3" i="4"/>
  <c r="E64" i="4"/>
  <c r="E73" i="4"/>
  <c r="K73" i="4" s="1"/>
  <c r="E93" i="4"/>
  <c r="K93" i="4" s="1"/>
  <c r="E103" i="4"/>
  <c r="K103" i="4" s="1"/>
  <c r="E107" i="4"/>
  <c r="K107" i="4" s="1"/>
  <c r="E108" i="4"/>
  <c r="K108" i="4" s="1"/>
  <c r="E109" i="4"/>
  <c r="K109" i="4" s="1"/>
  <c r="E110" i="4"/>
  <c r="E111" i="4"/>
  <c r="K111" i="4" s="1"/>
  <c r="E112" i="4"/>
  <c r="K112" i="4" s="1"/>
  <c r="E113" i="4"/>
  <c r="K113" i="4" s="1"/>
  <c r="E121" i="4"/>
  <c r="E122" i="4"/>
  <c r="E123" i="4"/>
  <c r="E124" i="4"/>
  <c r="E127" i="4"/>
  <c r="K127" i="4" s="1"/>
  <c r="E128" i="4"/>
  <c r="K128" i="4" s="1"/>
  <c r="E129" i="4"/>
  <c r="K129" i="4" s="1"/>
  <c r="E130" i="4"/>
  <c r="K130" i="4" s="1"/>
  <c r="E131" i="4"/>
  <c r="K131" i="4" s="1"/>
  <c r="E132" i="4"/>
  <c r="K132" i="4" s="1"/>
  <c r="E133" i="4"/>
  <c r="K133" i="4" s="1"/>
  <c r="E137" i="4"/>
  <c r="K137" i="4" s="1"/>
  <c r="E141" i="4"/>
  <c r="K141" i="4" s="1"/>
  <c r="E142" i="4"/>
  <c r="E143" i="4"/>
  <c r="E144" i="4"/>
  <c r="E147" i="4"/>
  <c r="K147" i="4" s="1"/>
  <c r="E148" i="4"/>
  <c r="K148" i="4" s="1"/>
  <c r="E149" i="4"/>
  <c r="K149" i="4" s="1"/>
  <c r="E150" i="4"/>
  <c r="E151" i="4"/>
  <c r="K151" i="4" s="1"/>
  <c r="E152" i="4"/>
  <c r="E153" i="4"/>
  <c r="K153" i="4" s="1"/>
  <c r="E161" i="4"/>
  <c r="E162" i="4"/>
  <c r="E163" i="4"/>
  <c r="E164" i="4"/>
  <c r="E167" i="4"/>
  <c r="K167" i="4" s="1"/>
  <c r="E168" i="4"/>
  <c r="K168" i="4" s="1"/>
  <c r="E169" i="4"/>
  <c r="K169" i="4" s="1"/>
  <c r="E170" i="4"/>
  <c r="K170" i="4" s="1"/>
  <c r="E171" i="4"/>
  <c r="K171" i="4" s="1"/>
  <c r="E172" i="4"/>
  <c r="K172" i="4" s="1"/>
  <c r="E173" i="4"/>
  <c r="K173" i="4" s="1"/>
  <c r="E181" i="4"/>
  <c r="E182" i="4"/>
  <c r="E183" i="4"/>
  <c r="E184" i="4"/>
  <c r="E187" i="4"/>
  <c r="K187" i="4" s="1"/>
  <c r="E188" i="4"/>
  <c r="K188" i="4" s="1"/>
  <c r="E189" i="4"/>
  <c r="K189" i="4" s="1"/>
  <c r="E190" i="4"/>
  <c r="E191" i="4"/>
  <c r="K191" i="4" s="1"/>
  <c r="E192" i="4"/>
  <c r="K192" i="4" s="1"/>
  <c r="E193" i="4"/>
  <c r="K193" i="4" s="1"/>
  <c r="E201" i="4"/>
  <c r="E202" i="4"/>
  <c r="E203" i="4"/>
  <c r="E204" i="4"/>
  <c r="E207" i="4"/>
  <c r="K207" i="4" s="1"/>
  <c r="E208" i="4"/>
  <c r="K208" i="4" s="1"/>
  <c r="E209" i="4"/>
  <c r="K209" i="4" s="1"/>
  <c r="E210" i="4"/>
  <c r="K210" i="4" s="1"/>
  <c r="E211" i="4"/>
  <c r="K211" i="4" s="1"/>
  <c r="E212" i="4"/>
  <c r="E213" i="4"/>
  <c r="K213" i="4" s="1"/>
  <c r="E221" i="4"/>
  <c r="E222" i="4"/>
  <c r="E223" i="4"/>
  <c r="E224" i="4"/>
  <c r="E227" i="4"/>
  <c r="K227" i="4" s="1"/>
  <c r="E228" i="4"/>
  <c r="K228" i="4" s="1"/>
  <c r="E229" i="4"/>
  <c r="K229" i="4" s="1"/>
  <c r="E230" i="4"/>
  <c r="K230" i="4" s="1"/>
  <c r="E231" i="4"/>
  <c r="K231" i="4" s="1"/>
  <c r="E232" i="4"/>
  <c r="K232" i="4" s="1"/>
  <c r="E233" i="4"/>
  <c r="K233" i="4" s="1"/>
  <c r="E241" i="4"/>
  <c r="E242" i="4"/>
  <c r="E243" i="4"/>
  <c r="E244" i="4"/>
  <c r="E247" i="4"/>
  <c r="K247" i="4" s="1"/>
  <c r="E248" i="4"/>
  <c r="K248" i="4" s="1"/>
  <c r="E249" i="4"/>
  <c r="K249" i="4" s="1"/>
  <c r="E250" i="4"/>
  <c r="E251" i="4"/>
  <c r="K251" i="4" s="1"/>
  <c r="E252" i="4"/>
  <c r="E253" i="4"/>
  <c r="K253" i="4" s="1"/>
  <c r="E261" i="4"/>
  <c r="E262" i="4"/>
  <c r="E263" i="4"/>
  <c r="E264" i="4"/>
  <c r="E267" i="4"/>
  <c r="K267" i="4" s="1"/>
  <c r="E268" i="4"/>
  <c r="K268" i="4" s="1"/>
  <c r="E269" i="4"/>
  <c r="K269" i="4" s="1"/>
  <c r="E270" i="4"/>
  <c r="K270" i="4" s="1"/>
  <c r="E271" i="4"/>
  <c r="K271" i="4" s="1"/>
  <c r="E272" i="4"/>
  <c r="K272" i="4" s="1"/>
  <c r="E273" i="4"/>
  <c r="K273" i="4" s="1"/>
  <c r="E281" i="4"/>
  <c r="K281" i="4" s="1"/>
  <c r="E282" i="4"/>
  <c r="K282" i="4" s="1"/>
  <c r="E283" i="4"/>
  <c r="K283" i="4" s="1"/>
  <c r="E284" i="4"/>
  <c r="K284" i="4" s="1"/>
  <c r="E287" i="4"/>
  <c r="K287" i="4" s="1"/>
  <c r="E288" i="4"/>
  <c r="K288" i="4" s="1"/>
  <c r="E289" i="4"/>
  <c r="K289" i="4" s="1"/>
  <c r="E290" i="4"/>
  <c r="E291" i="4"/>
  <c r="K291" i="4" s="1"/>
  <c r="E292" i="4"/>
  <c r="K292" i="4" s="1"/>
  <c r="E293" i="4"/>
  <c r="K293" i="4" s="1"/>
  <c r="E301" i="4"/>
  <c r="E302" i="4"/>
  <c r="E303" i="4"/>
  <c r="E304" i="4"/>
  <c r="E307" i="4"/>
  <c r="K307" i="4" s="1"/>
  <c r="E308" i="4"/>
  <c r="K308" i="4" s="1"/>
  <c r="E309" i="4"/>
  <c r="K309" i="4" s="1"/>
  <c r="E310" i="4"/>
  <c r="K310" i="4" s="1"/>
  <c r="E311" i="4"/>
  <c r="K311" i="4" s="1"/>
  <c r="E312" i="4"/>
  <c r="K312" i="4" s="1"/>
  <c r="E313" i="4"/>
  <c r="K313" i="4" s="1"/>
  <c r="E321" i="4"/>
  <c r="K321" i="4" s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5" i="10"/>
  <c r="F2" i="4"/>
  <c r="K244" i="4" l="1"/>
  <c r="K204" i="4"/>
  <c r="K241" i="4"/>
  <c r="K203" i="4"/>
  <c r="K164" i="4"/>
  <c r="K162" i="4"/>
  <c r="K124" i="4"/>
  <c r="K303" i="4"/>
  <c r="K123" i="4"/>
  <c r="K302" i="4"/>
  <c r="K264" i="4"/>
  <c r="K190" i="4"/>
  <c r="K152" i="4"/>
  <c r="K122" i="4"/>
  <c r="K262" i="4"/>
  <c r="K224" i="4"/>
  <c r="K150" i="4"/>
  <c r="K261" i="4"/>
  <c r="K222" i="4"/>
  <c r="K184" i="4"/>
  <c r="K301" i="4"/>
  <c r="K223" i="4"/>
  <c r="K290" i="4"/>
  <c r="K252" i="4"/>
  <c r="K221" i="4"/>
  <c r="K183" i="4"/>
  <c r="K110" i="4"/>
  <c r="K243" i="4"/>
  <c r="K202" i="4"/>
  <c r="K163" i="4"/>
  <c r="K304" i="4"/>
  <c r="K161" i="4"/>
  <c r="K144" i="4"/>
  <c r="K250" i="4"/>
  <c r="K212" i="4"/>
  <c r="K181" i="4"/>
  <c r="K143" i="4"/>
  <c r="K242" i="4"/>
  <c r="K201" i="4"/>
  <c r="K263" i="4"/>
  <c r="K121" i="4"/>
  <c r="K182" i="4"/>
  <c r="K142" i="4"/>
  <c r="E78" i="4"/>
  <c r="K78" i="4" s="1"/>
  <c r="E77" i="4"/>
  <c r="K77" i="4" s="1"/>
  <c r="E76" i="4"/>
  <c r="K76" i="4" s="1"/>
  <c r="E79" i="4"/>
  <c r="K79" i="4" s="1"/>
  <c r="E92" i="4"/>
  <c r="E91" i="4"/>
  <c r="E71" i="4"/>
  <c r="E72" i="4"/>
  <c r="E80" i="4"/>
  <c r="K80" i="4" s="1"/>
  <c r="E86" i="4"/>
  <c r="K86" i="4" s="1"/>
  <c r="E85" i="4"/>
  <c r="E69" i="4"/>
  <c r="K69" i="4" s="1"/>
  <c r="K7" i="4"/>
  <c r="K46" i="4"/>
  <c r="K6" i="4"/>
  <c r="K65" i="4"/>
  <c r="K5" i="4"/>
  <c r="K68" i="4"/>
  <c r="K97" i="4"/>
  <c r="K57" i="4"/>
  <c r="K37" i="4"/>
  <c r="K17" i="4"/>
  <c r="K96" i="4"/>
  <c r="K56" i="4"/>
  <c r="K36" i="4"/>
  <c r="K16" i="4"/>
  <c r="K62" i="4"/>
  <c r="K27" i="4"/>
  <c r="K66" i="4"/>
  <c r="K25" i="4"/>
  <c r="K95" i="4"/>
  <c r="K52" i="4"/>
  <c r="K12" i="4"/>
  <c r="K47" i="4"/>
  <c r="K26" i="4"/>
  <c r="K45" i="4"/>
  <c r="K88" i="4"/>
  <c r="K11" i="4"/>
  <c r="K32" i="4"/>
  <c r="E75" i="4"/>
  <c r="K75" i="4" s="1"/>
  <c r="K51" i="4"/>
  <c r="K31" i="4"/>
  <c r="K50" i="4"/>
  <c r="K30" i="4"/>
  <c r="K10" i="4"/>
  <c r="K87" i="4"/>
  <c r="K67" i="4"/>
  <c r="E70" i="4"/>
  <c r="K70" i="4" s="1"/>
  <c r="K85" i="4"/>
  <c r="K72" i="4"/>
  <c r="K91" i="4"/>
  <c r="K71" i="4"/>
  <c r="E90" i="4"/>
  <c r="K90" i="4" s="1"/>
  <c r="K9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2" i="4"/>
  <c r="B16" i="10" l="1"/>
  <c r="H2" i="4" a="1"/>
  <c r="H2" i="4" s="1"/>
  <c r="D2" i="4"/>
  <c r="C2" i="4"/>
  <c r="B2" i="4"/>
  <c r="E3" i="10" l="1"/>
  <c r="G2" i="4" a="1"/>
  <c r="E4" i="10"/>
  <c r="L2" i="4"/>
  <c r="E5" i="10"/>
  <c r="E7" i="10"/>
  <c r="E10" i="10"/>
  <c r="E6" i="10"/>
  <c r="E8" i="10"/>
  <c r="G2" i="4" l="1"/>
  <c r="I2" i="4" s="1"/>
  <c r="H3" i="10"/>
  <c r="H4" i="10"/>
  <c r="M2" i="4"/>
  <c r="Q2" i="4"/>
  <c r="O2" i="4"/>
  <c r="H8" i="10"/>
  <c r="H6" i="10"/>
  <c r="H10" i="10"/>
  <c r="R2" i="4"/>
  <c r="H7" i="10"/>
  <c r="P2" i="4"/>
  <c r="H5" i="10"/>
  <c r="N2" i="4"/>
  <c r="J2" i="4" l="1"/>
  <c r="K2" i="4" l="1"/>
  <c r="A2" i="11" l="1" a="1"/>
  <c r="A2" i="11" s="1"/>
  <c r="A2" i="7" a="1"/>
  <c r="A2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<sst xmlns="http://schemas.openxmlformats.org/spreadsheetml/2006/main" count="76" uniqueCount="68">
  <si>
    <t>Project</t>
  </si>
  <si>
    <t>Site</t>
  </si>
  <si>
    <t>Study</t>
  </si>
  <si>
    <t>Sample Type</t>
  </si>
  <si>
    <t>Start Date</t>
  </si>
  <si>
    <t>Sample ID (with Bottle #)</t>
  </si>
  <si>
    <t>Sample ID (with Time)</t>
  </si>
  <si>
    <t>Fill out the highlighted info to autofill sample template</t>
  </si>
  <si>
    <t>Samples per Site</t>
  </si>
  <si>
    <t>Sample Start Date</t>
  </si>
  <si>
    <t>ISCO Bottle #</t>
  </si>
  <si>
    <t>Start Bottle Number</t>
  </si>
  <si>
    <t>For ISCO Samples only</t>
  </si>
  <si>
    <t>ISCO Bottle ID</t>
  </si>
  <si>
    <t>Collect Time</t>
  </si>
  <si>
    <t xml:space="preserve">DIRECTIONS </t>
  </si>
  <si>
    <r>
      <t xml:space="preserve">3. Print out the ISCO Bottle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</si>
  <si>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r>
      <t xml:space="preserve">4. Print out the Filter Weight data sheet in </t>
    </r>
    <r>
      <rPr>
        <b/>
        <sz val="11"/>
        <color theme="1"/>
        <rFont val="Calibri"/>
        <family val="2"/>
        <scheme val="minor"/>
      </rPr>
      <t>portrait</t>
    </r>
    <r>
      <rPr>
        <sz val="11"/>
        <color theme="1"/>
        <rFont val="Calibri"/>
        <family val="2"/>
        <scheme val="minor"/>
      </rPr>
      <t xml:space="preserve"> (if applicable) using "fit all columns on one page".</t>
    </r>
  </si>
  <si>
    <r>
      <t>Site Codes (</t>
    </r>
    <r>
      <rPr>
        <b/>
        <i/>
        <sz val="11"/>
        <color theme="1"/>
        <rFont val="Calibri"/>
        <family val="2"/>
        <scheme val="minor"/>
      </rPr>
      <t>separated by commas</t>
    </r>
    <r>
      <rPr>
        <b/>
        <sz val="11"/>
        <color theme="1"/>
        <rFont val="Calibri"/>
        <family val="2"/>
        <scheme val="minor"/>
      </rPr>
      <t>)</t>
    </r>
  </si>
  <si>
    <r>
      <t>Project (</t>
    </r>
    <r>
      <rPr>
        <b/>
        <i/>
        <sz val="11"/>
        <color theme="1"/>
        <rFont val="Calibri"/>
        <family val="2"/>
        <scheme val="minor"/>
      </rPr>
      <t>e.g., WWS, NIFA</t>
    </r>
    <r>
      <rPr>
        <b/>
        <sz val="11"/>
        <color theme="1"/>
        <rFont val="Calibri"/>
        <family val="2"/>
        <scheme val="minor"/>
      </rPr>
      <t>)</t>
    </r>
  </si>
  <si>
    <r>
      <t>Study Code (</t>
    </r>
    <r>
      <rPr>
        <b/>
        <i/>
        <sz val="11"/>
        <color theme="1"/>
        <rFont val="Calibri"/>
        <family val="2"/>
        <scheme val="minor"/>
      </rPr>
      <t>e.g., SONDE, BDRK, SSFLAT</t>
    </r>
    <r>
      <rPr>
        <b/>
        <sz val="11"/>
        <color theme="1"/>
        <rFont val="Calibri"/>
        <family val="2"/>
        <scheme val="minor"/>
      </rPr>
      <t>)</t>
    </r>
  </si>
  <si>
    <t>Sample Start Time</t>
  </si>
  <si>
    <r>
      <t>Time Interval (</t>
    </r>
    <r>
      <rPr>
        <b/>
        <i/>
        <sz val="11"/>
        <color theme="1"/>
        <rFont val="Calibri"/>
        <family val="2"/>
        <scheme val="minor"/>
      </rPr>
      <t>Hours</t>
    </r>
    <r>
      <rPr>
        <b/>
        <sz val="11"/>
        <color theme="1"/>
        <rFont val="Calibri"/>
        <family val="2"/>
        <scheme val="minor"/>
      </rPr>
      <t>)</t>
    </r>
  </si>
  <si>
    <r>
      <t>Number of Sites (</t>
    </r>
    <r>
      <rPr>
        <b/>
        <i/>
        <sz val="11"/>
        <color theme="1"/>
        <rFont val="Calibri"/>
        <family val="2"/>
        <scheme val="minor"/>
      </rPr>
      <t>autofilled</t>
    </r>
    <r>
      <rPr>
        <b/>
        <sz val="11"/>
        <color theme="1"/>
        <rFont val="Calibri"/>
        <family val="2"/>
        <scheme val="minor"/>
      </rPr>
      <t>)</t>
    </r>
  </si>
  <si>
    <t>Grab</t>
  </si>
  <si>
    <t>2. If collecting grab samples, fill out times manually to fully populate datasheets after collection.</t>
  </si>
  <si>
    <r>
      <t xml:space="preserve">3. Print out the Bottle Number data sheet in </t>
    </r>
    <r>
      <rPr>
        <b/>
        <sz val="11"/>
        <color theme="1"/>
        <rFont val="Calibri"/>
        <family val="2"/>
        <scheme val="minor"/>
      </rPr>
      <t>landscape</t>
    </r>
    <r>
      <rPr>
        <sz val="11"/>
        <color theme="1"/>
        <rFont val="Calibri"/>
        <family val="2"/>
        <scheme val="minor"/>
      </rPr>
      <t xml:space="preserve"> using "fit all columns on one page".</t>
    </r>
  </si>
  <si>
    <r>
      <t>Sample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</si>
  <si>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WWS</t>
  </si>
  <si>
    <t>SSFLAT</t>
  </si>
  <si>
    <t>ISCO</t>
  </si>
  <si>
    <t>Bottle Calculator</t>
  </si>
  <si>
    <t>Aqualog</t>
  </si>
  <si>
    <t>Shimadzu</t>
  </si>
  <si>
    <t>Levoglucosan</t>
  </si>
  <si>
    <t>CCAL</t>
  </si>
  <si>
    <t>Excess</t>
  </si>
  <si>
    <t># Samples</t>
  </si>
  <si>
    <t>20 mL Glass</t>
  </si>
  <si>
    <t>30 mL</t>
  </si>
  <si>
    <t>125 mL</t>
  </si>
  <si>
    <t>500 mL</t>
  </si>
  <si>
    <t>125 mL (no 30 mL)</t>
  </si>
  <si>
    <t>Bottles Needed</t>
  </si>
  <si>
    <t>*edit if needed</t>
  </si>
  <si>
    <t>1. Fill out the information above to auto populate the sample IDs and specify how many samples are being collected for each analysis.</t>
  </si>
  <si>
    <t>Aqualog (DOM)</t>
  </si>
  <si>
    <t>Shimadzu (DOC/TN)</t>
  </si>
  <si>
    <t>CCAL (Nutrients)</t>
  </si>
  <si>
    <t>Excess (Node 3)</t>
  </si>
  <si>
    <t>Analysis</t>
  </si>
  <si>
    <t>Bottle Sample ID</t>
  </si>
  <si>
    <t>250 mL</t>
  </si>
  <si>
    <t>Sample Date/Time</t>
  </si>
  <si>
    <r>
      <rPr>
        <b/>
        <u/>
        <sz val="11"/>
        <color theme="1"/>
        <rFont val="Calibri"/>
        <family val="2"/>
        <scheme val="minor"/>
      </rPr>
      <t>Lab</t>
    </r>
    <r>
      <rPr>
        <b/>
        <sz val="11"/>
        <color theme="1"/>
        <rFont val="Calibri"/>
        <family val="2"/>
        <scheme val="minor"/>
      </rPr>
      <t xml:space="preserve"> Sample ID Type (choose one)</t>
    </r>
  </si>
  <si>
    <r>
      <rPr>
        <b/>
        <u/>
        <sz val="11"/>
        <color theme="1"/>
        <rFont val="Calibri"/>
        <family val="2"/>
        <scheme val="minor"/>
      </rPr>
      <t>Field</t>
    </r>
    <r>
      <rPr>
        <b/>
        <sz val="11"/>
        <color theme="1"/>
        <rFont val="Calibri"/>
        <family val="2"/>
        <scheme val="minor"/>
      </rPr>
      <t xml:space="preserve"> Sample ID Type (</t>
    </r>
    <r>
      <rPr>
        <b/>
        <i/>
        <sz val="11"/>
        <color theme="1"/>
        <rFont val="Calibri"/>
        <family val="2"/>
        <scheme val="minor"/>
      </rPr>
      <t>choose one</t>
    </r>
    <r>
      <rPr>
        <b/>
        <sz val="11"/>
        <color theme="1"/>
        <rFont val="Calibri"/>
        <family val="2"/>
        <scheme val="minor"/>
      </rPr>
      <t>)</t>
    </r>
  </si>
  <si>
    <t>Collect Date</t>
  </si>
  <si>
    <t>For Many Sites Paste Site Names Here</t>
  </si>
  <si>
    <t>MCSN01</t>
  </si>
  <si>
    <t>MCSN02</t>
  </si>
  <si>
    <t>MCSN03</t>
  </si>
  <si>
    <t>MCSN04</t>
  </si>
  <si>
    <t>MCSN05</t>
  </si>
  <si>
    <t>MCSN06</t>
  </si>
  <si>
    <t>MCSN07</t>
  </si>
  <si>
    <t>MCSN08</t>
  </si>
  <si>
    <t>MCSN09</t>
  </si>
  <si>
    <t>MCSN10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</si>
</sst>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rgb="FF000000"/>
      <name val="Arial"/>
      <family val="2"/>
    </font>
    <font>
      <b/>
      <i/>
      <sz val="11"/>
      <color theme="1"/>
      <name val="Calibri"/>
      <family val="2"/>
      <scheme val="minor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</fills>
  <borders count="10">
    <border>
      <left/>
      <right/>
      <top/>
      <bottom/>
      <diagonal/>
    </border>
    <border>
      <left style="thin">
        <color rgb="FFCCCC00"/>
      </left>
      <right style="thin">
        <color rgb="FFCCCC00"/>
      </right>
      <top style="thin">
        <color rgb="FFCCCC00"/>
      </top>
      <bottom style="thin">
        <color rgb="FFCCCC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2" tint="-0.499984740745262"/>
      </left>
      <right style="medium">
        <color indexed="64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49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20" fontId="0" fillId="0" borderId="0" xfId="0" applyNumberFormat="1" applyAlignment="1">
      <alignment horizontal="left"/>
    </xf>
    <xf numFmtId="0" fontId="0" fillId="4" borderId="0" xfId="0" applyFill="1" applyAlignment="1">
      <alignment horizontal="left"/>
    </xf>
    <xf numFmtId="164" fontId="0" fillId="4" borderId="0" xfId="0" applyNumberFormat="1" applyFill="1" applyAlignment="1">
      <alignment horizontal="left"/>
    </xf>
    <xf numFmtId="0" fontId="5" fillId="5" borderId="0" xfId="0" applyFont="1" applyFill="1" applyAlignment="1">
      <alignment horizontal="left"/>
    </xf>
    <xf numFmtId="164" fontId="5" fillId="5" borderId="0" xfId="0" applyNumberFormat="1" applyFont="1" applyFill="1" applyAlignment="1">
      <alignment horizontal="left"/>
    </xf>
    <xf numFmtId="0" fontId="0" fillId="3" borderId="0" xfId="0" applyFill="1"/>
    <xf numFmtId="0" fontId="0" fillId="6" borderId="0" xfId="0" applyFill="1" applyAlignment="1">
      <alignment horizontal="left"/>
    </xf>
    <xf numFmtId="0" fontId="0" fillId="2" borderId="1" xfId="0" applyFill="1" applyBorder="1" applyAlignment="1">
      <alignment horizontal="left" vertical="center"/>
    </xf>
    <xf numFmtId="14" fontId="0" fillId="2" borderId="1" xfId="0" applyNumberFormat="1" applyFill="1" applyBorder="1" applyAlignment="1">
      <alignment horizontal="left"/>
    </xf>
    <xf numFmtId="20" fontId="0" fillId="2" borderId="1" xfId="0" applyNumberForma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6" fillId="5" borderId="2" xfId="0" applyFont="1" applyFill="1" applyBorder="1"/>
    <xf numFmtId="0" fontId="1" fillId="12" borderId="3" xfId="0" applyFont="1" applyFill="1" applyBorder="1" applyAlignment="1">
      <alignment horizontal="center" vertical="center"/>
    </xf>
    <xf numFmtId="0" fontId="0" fillId="0" borderId="3" xfId="0" applyBorder="1"/>
    <xf numFmtId="0" fontId="0" fillId="9" borderId="5" xfId="0" applyFill="1" applyBorder="1"/>
    <xf numFmtId="0" fontId="0" fillId="13" borderId="6" xfId="0" applyFill="1" applyBorder="1"/>
    <xf numFmtId="0" fontId="0" fillId="7" borderId="5" xfId="0" applyFill="1" applyBorder="1"/>
    <xf numFmtId="0" fontId="0" fillId="8" borderId="5" xfId="0" applyFill="1" applyBorder="1"/>
    <xf numFmtId="0" fontId="0" fillId="10" borderId="5" xfId="0" applyFill="1" applyBorder="1"/>
    <xf numFmtId="0" fontId="0" fillId="11" borderId="5" xfId="0" applyFill="1" applyBorder="1"/>
    <xf numFmtId="0" fontId="0" fillId="0" borderId="7" xfId="0" applyBorder="1"/>
    <xf numFmtId="0" fontId="7" fillId="0" borderId="8" xfId="0" applyFont="1" applyBorder="1" applyAlignment="1">
      <alignment horizontal="right"/>
    </xf>
    <xf numFmtId="0" fontId="0" fillId="0" borderId="8" xfId="0" applyBorder="1"/>
    <xf numFmtId="0" fontId="0" fillId="0" borderId="9" xfId="0" applyBorder="1"/>
    <xf numFmtId="0" fontId="0" fillId="14" borderId="5" xfId="0" applyFill="1" applyBorder="1"/>
    <xf numFmtId="0" fontId="0" fillId="14" borderId="0" xfId="0" applyFill="1"/>
    <xf numFmtId="0" fontId="1" fillId="3" borderId="0" xfId="0" applyFont="1" applyFill="1"/>
    <xf numFmtId="0" fontId="0" fillId="15" borderId="5" xfId="0" applyFill="1" applyBorder="1"/>
    <xf numFmtId="0" fontId="0" fillId="15" borderId="0" xfId="0" applyFill="1"/>
    <xf numFmtId="0" fontId="6" fillId="5" borderId="3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0" fillId="6" borderId="0" xfId="0" applyFill="1" applyAlignment="1">
      <alignment horizontal="left"/>
    </xf>
    <xf numFmtId="0" fontId="1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6" borderId="0" xfId="0" applyFill="1" applyAlignment="1">
      <alignment horizontal="left" vertical="center" wrapText="1"/>
    </xf>
    <xf numFmtId="0" fontId="1" fillId="2" borderId="0" xfId="0" applyFont="1" applyFill="1"/>
    <xf numFmtId="0" fontId="0" fillId="2" borderId="0" xfId="0" applyFill="1"/>
    <xf numFmtId="0" fontId="0" fillId="0" borderId="0" xfId="0" applyNumberFormat="1" applyAlignment="1">
      <alignment horizontal="left"/>
    </xf>
  </cellXfs>
  <cellStyles count="1">
    <cellStyle name="Normal" xfId="0" builtinId="0"/>
  </cellStyles>
  <dxfs count="27"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FFCCCC"/>
        </patternFill>
      </fill>
    </dxf>
    <dxf>
      <fill>
        <patternFill>
          <bgColor rgb="FFFFFFCC"/>
        </patternFill>
      </fill>
    </dxf>
    <dxf>
      <fill>
        <patternFill>
          <bgColor theme="5" tint="-0.24994659260841701"/>
        </patternFill>
      </fill>
    </dxf>
    <dxf>
      <font>
        <color rgb="FF9C0006"/>
      </font>
      <fill>
        <patternFill patternType="none">
          <bgColor auto="1"/>
        </patternFill>
      </fill>
    </dxf>
    <dxf>
      <font>
        <color rgb="FF006100"/>
      </font>
      <fill>
        <patternFill patternType="none">
          <bgColor auto="1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</dxfs>
  <tableStyles count="4" defaultTableStyle="Table Style 3" defaultPivotStyle="PivotStyleLight16">
    <tableStyle name="Table Style 1" pivot="0" count="0" xr9:uid="{1531AD90-AED7-4252-9ADA-799B35A3DED7}"/>
    <tableStyle name="Table Style 2" pivot="0" count="1" xr9:uid="{E6B5F161-86CE-4AA2-8071-29DC0EB63180}">
      <tableStyleElement type="firstRowStripe" dxfId="26"/>
    </tableStyle>
    <tableStyle name="Table Style 3" pivot="0" count="1" xr9:uid="{F9D3F327-B512-4800-BA10-4EF09FA55AB3}">
      <tableStyleElement type="firstRowStripe" dxfId="25"/>
    </tableStyle>
    <tableStyle name="Table Style 4" pivot="0" count="1" xr9:uid="{11ADBC6B-8780-4B34-9129-079F70219539}">
      <tableStyleElement type="firstRowStripe" dxfId="24"/>
    </tableStyle>
  </tableStyles>
  <colors>
    <mruColors>
      <color rgb="FFFFCCCC"/>
      <color rgb="FFFFFFCC"/>
      <color rgb="FF99FFCC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9E421-CB14-43E0-8DEF-1EDAC63A74D0}">
  <dimension ref="A1:N23"/>
  <sheetViews>
    <sheetView tabSelected="1" zoomScaleNormal="100" workbookViewId="0">
      <selection activeCell="G21" sqref="G21"/>
    </sheetView>
  </sheetViews>
  <sheetFormatPr defaultRowHeight="15" x14ac:dyDescent="0.25"/>
  <cols>
    <col min="1" max="1" width="39.7109375" customWidth="1"/>
    <col min="2" max="2" width="20.42578125" customWidth="1"/>
    <col min="3" max="3" width="17.140625" customWidth="1"/>
    <col min="4" max="4" width="20.42578125" customWidth="1"/>
    <col min="5" max="5" width="12.140625" customWidth="1"/>
    <col min="7" max="7" width="19.85546875" customWidth="1"/>
    <col min="8" max="8" width="10.28515625" customWidth="1"/>
  </cols>
  <sheetData>
    <row r="1" spans="1:14" ht="15.75" thickBot="1" x14ac:dyDescent="0.3">
      <c r="A1" s="45" t="s">
        <v>7</v>
      </c>
      <c r="B1" s="45"/>
    </row>
    <row r="2" spans="1:14" x14ac:dyDescent="0.25">
      <c r="D2" s="24" t="s">
        <v>31</v>
      </c>
      <c r="E2" s="25" t="s">
        <v>37</v>
      </c>
      <c r="F2" s="26"/>
      <c r="G2" s="42" t="s">
        <v>43</v>
      </c>
      <c r="H2" s="43"/>
      <c r="K2" s="48" t="s">
        <v>57</v>
      </c>
      <c r="L2" s="49"/>
      <c r="M2" s="49"/>
      <c r="N2" s="49"/>
    </row>
    <row r="3" spans="1:14" x14ac:dyDescent="0.25">
      <c r="A3" s="6" t="s">
        <v>19</v>
      </c>
      <c r="B3" s="15" t="s">
        <v>28</v>
      </c>
      <c r="D3" s="37" t="s">
        <v>30</v>
      </c>
      <c r="E3">
        <f>IF($B$8 = "ISCO", $B$6*$B$16, 0)</f>
        <v>0</v>
      </c>
      <c r="G3" t="s">
        <v>30</v>
      </c>
      <c r="H3" s="28">
        <f t="shared" ref="H3:H4" si="0">E3</f>
        <v>0</v>
      </c>
      <c r="K3" t="s">
        <v>58</v>
      </c>
    </row>
    <row r="4" spans="1:14" x14ac:dyDescent="0.25">
      <c r="A4" s="6" t="s">
        <v>20</v>
      </c>
      <c r="B4" s="15" t="s">
        <v>29</v>
      </c>
      <c r="D4" s="40" t="s">
        <v>24</v>
      </c>
      <c r="E4">
        <f>IF($B$8 = "Grab", $B$6*$B$16, 0)</f>
        <v>240</v>
      </c>
      <c r="G4" t="s">
        <v>52</v>
      </c>
      <c r="H4" s="28">
        <f t="shared" si="0"/>
        <v>240</v>
      </c>
      <c r="K4" t="s">
        <v>59</v>
      </c>
    </row>
    <row r="5" spans="1:14" x14ac:dyDescent="0.25">
      <c r="A5" s="6" t="s">
        <v>18</v>
      </c>
      <c r="B5" s="49" t="str">
        <f>_xlfn.TEXTJOIN(", ",TRUE,K3:K100)</f>
        <v>MCSN01, MCSN02, MCSN03, MCSN04, MCSN05, MCSN06, MCSN07, MCSN08, MCSN09, MCSN10</v>
      </c>
      <c r="D5" s="27" t="s">
        <v>34</v>
      </c>
      <c r="E5">
        <f>$B$6*$B$16</f>
        <v>240</v>
      </c>
      <c r="G5" t="s">
        <v>38</v>
      </c>
      <c r="H5" s="28">
        <f>E5</f>
        <v>240</v>
      </c>
      <c r="K5" t="s">
        <v>60</v>
      </c>
    </row>
    <row r="6" spans="1:14" x14ac:dyDescent="0.25">
      <c r="A6" s="6" t="s">
        <v>8</v>
      </c>
      <c r="B6" s="15">
        <v>24</v>
      </c>
      <c r="D6" s="29" t="s">
        <v>46</v>
      </c>
      <c r="E6">
        <f t="shared" ref="E6:E10" si="1">$B$6*$B$16</f>
        <v>240</v>
      </c>
      <c r="G6" t="s">
        <v>39</v>
      </c>
      <c r="H6" s="28">
        <f>E6</f>
        <v>240</v>
      </c>
      <c r="K6" t="s">
        <v>61</v>
      </c>
    </row>
    <row r="7" spans="1:14" x14ac:dyDescent="0.25">
      <c r="A7" s="6" t="s">
        <v>9</v>
      </c>
      <c r="B7" s="16">
        <v>46100</v>
      </c>
      <c r="D7" s="30" t="s">
        <v>47</v>
      </c>
      <c r="E7">
        <f t="shared" si="1"/>
        <v>240</v>
      </c>
      <c r="G7" t="s">
        <v>40</v>
      </c>
      <c r="H7" s="28">
        <f>E7+E8</f>
        <v>480</v>
      </c>
      <c r="K7" t="s">
        <v>62</v>
      </c>
    </row>
    <row r="8" spans="1:14" x14ac:dyDescent="0.25">
      <c r="A8" s="6" t="s">
        <v>27</v>
      </c>
      <c r="B8" s="16" t="s">
        <v>24</v>
      </c>
      <c r="D8" s="31" t="s">
        <v>48</v>
      </c>
      <c r="E8">
        <f t="shared" si="1"/>
        <v>240</v>
      </c>
      <c r="G8" t="s">
        <v>42</v>
      </c>
      <c r="H8" s="28">
        <f>SUM(E6:E8)</f>
        <v>720</v>
      </c>
      <c r="K8" t="s">
        <v>63</v>
      </c>
    </row>
    <row r="9" spans="1:14" x14ac:dyDescent="0.25">
      <c r="A9" s="6" t="s">
        <v>55</v>
      </c>
      <c r="B9" s="16" t="s">
        <v>53</v>
      </c>
      <c r="D9" s="31"/>
      <c r="H9" s="28"/>
      <c r="K9" t="s">
        <v>64</v>
      </c>
    </row>
    <row r="10" spans="1:14" x14ac:dyDescent="0.25">
      <c r="A10" s="6" t="s">
        <v>54</v>
      </c>
      <c r="B10" s="16" t="s">
        <v>53</v>
      </c>
      <c r="D10" s="32" t="s">
        <v>49</v>
      </c>
      <c r="E10">
        <f t="shared" si="1"/>
        <v>240</v>
      </c>
      <c r="G10" t="s">
        <v>41</v>
      </c>
      <c r="H10" s="28">
        <f>E10</f>
        <v>240</v>
      </c>
      <c r="K10" t="s">
        <v>65</v>
      </c>
    </row>
    <row r="11" spans="1:14" ht="15.75" thickBot="1" x14ac:dyDescent="0.3">
      <c r="A11" s="46" t="s">
        <v>12</v>
      </c>
      <c r="B11" s="46"/>
      <c r="D11" s="33"/>
      <c r="E11" s="34" t="s">
        <v>44</v>
      </c>
      <c r="F11" s="35"/>
      <c r="G11" s="35"/>
      <c r="H11" s="36"/>
      <c r="K11" t="s">
        <v>66</v>
      </c>
    </row>
    <row r="12" spans="1:14" x14ac:dyDescent="0.25">
      <c r="A12" s="6" t="s">
        <v>21</v>
      </c>
      <c r="B12" s="17">
        <v>0.41666666666666669</v>
      </c>
      <c r="K12" t="s">
        <v>67</v>
      </c>
    </row>
    <row r="13" spans="1:14" x14ac:dyDescent="0.25">
      <c r="A13" s="6" t="s">
        <v>22</v>
      </c>
      <c r="B13" s="17">
        <v>8.3333333333333329E-2</v>
      </c>
    </row>
    <row r="14" spans="1:14" x14ac:dyDescent="0.25">
      <c r="A14" s="6" t="s">
        <v>11</v>
      </c>
      <c r="B14" s="18">
        <v>1</v>
      </c>
    </row>
    <row r="16" spans="1:14" x14ac:dyDescent="0.25">
      <c r="A16" s="6" t="s">
        <v>23</v>
      </c>
      <c r="B16" s="9">
        <f>COUNTA(_xlfn.TEXTSPLIT('FILL ME'!$B$5, ", "))</f>
        <v>10</v>
      </c>
    </row>
    <row r="18" spans="1:4" x14ac:dyDescent="0.25">
      <c r="A18" s="13" t="s">
        <v>15</v>
      </c>
    </row>
    <row r="19" spans="1:4" ht="32.25" customHeight="1" x14ac:dyDescent="0.25">
      <c r="A19" s="47" t="s">
        <v>45</v>
      </c>
      <c r="B19" s="47"/>
      <c r="C19" s="47"/>
      <c r="D19" s="47"/>
    </row>
    <row r="20" spans="1:4" x14ac:dyDescent="0.25">
      <c r="A20" s="14" t="s">
        <v>25</v>
      </c>
      <c r="B20" s="14"/>
      <c r="C20" s="14"/>
      <c r="D20" s="14"/>
    </row>
    <row r="21" spans="1:4" x14ac:dyDescent="0.25">
      <c r="A21" s="44" t="s">
        <v>26</v>
      </c>
      <c r="B21" s="44"/>
      <c r="C21" s="44"/>
      <c r="D21" s="44"/>
    </row>
    <row r="22" spans="1:4" x14ac:dyDescent="0.25">
      <c r="A22" s="44" t="s">
        <v>16</v>
      </c>
      <c r="B22" s="44"/>
      <c r="C22" s="44"/>
      <c r="D22" s="44"/>
    </row>
    <row r="23" spans="1:4" x14ac:dyDescent="0.25">
      <c r="A23" s="44" t="s">
        <v>17</v>
      </c>
      <c r="B23" s="44"/>
      <c r="C23" s="44"/>
      <c r="D23" s="44"/>
    </row>
  </sheetData>
  <mergeCells count="7">
    <mergeCell ref="G2:H2"/>
    <mergeCell ref="A23:D23"/>
    <mergeCell ref="A1:B1"/>
    <mergeCell ref="A11:B11"/>
    <mergeCell ref="A19:D19"/>
    <mergeCell ref="A21:D21"/>
    <mergeCell ref="A22:D22"/>
  </mergeCells>
  <phoneticPr fontId="2" type="noConversion"/>
  <conditionalFormatting sqref="D5:D10">
    <cfRule type="expression" dxfId="23" priority="5">
      <formula>$E5="Aqualog"</formula>
    </cfRule>
  </conditionalFormatting>
  <dataValidations count="3">
    <dataValidation type="list" allowBlank="1" showInputMessage="1" showErrorMessage="1" sqref="B10" xr:uid="{D4998419-C417-4887-B2CC-5188F080CC2F}">
      <formula1>"Bottle Number, Sample Date/Time"</formula1>
    </dataValidation>
    <dataValidation type="list" allowBlank="1" showInputMessage="1" showErrorMessage="1" sqref="B8" xr:uid="{ED4BD3F8-0AC2-46AB-9D8C-DA46C533B158}">
      <formula1>"Grab, ISCO"</formula1>
    </dataValidation>
    <dataValidation type="list" allowBlank="1" showInputMessage="1" showErrorMessage="1" sqref="B9" xr:uid="{5ED0AC0F-2F53-46E0-BCAE-B7278098FCF2}">
      <formula1>"Bottle Number, Sample Date/Time, Short Bottle Number"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20D06-FFFB-4E0B-84AE-A424BDF68770}">
  <dimension ref="A1:R321"/>
  <sheetViews>
    <sheetView workbookViewId="0">
      <selection activeCell="E120" sqref="E120"/>
    </sheetView>
  </sheetViews>
  <sheetFormatPr defaultRowHeight="15" x14ac:dyDescent="0.25"/>
  <cols>
    <col min="1" max="3" width="9.140625" style="2"/>
    <col min="4" max="5" width="14" style="2" customWidth="1"/>
    <col min="6" max="6" width="13.5703125" style="2" customWidth="1"/>
    <col min="7" max="7" width="14.42578125" style="2" customWidth="1"/>
    <col min="8" max="8" width="9.140625" style="2"/>
    <col min="9" max="9" width="16.85546875" style="9" customWidth="1"/>
    <col min="10" max="10" width="28.7109375" style="9" customWidth="1"/>
    <col min="11" max="11" width="28.5703125" style="9" customWidth="1"/>
    <col min="12" max="12" width="12" style="9" customWidth="1"/>
    <col min="13" max="13" width="11.5703125" style="9" customWidth="1"/>
    <col min="14" max="14" width="13.140625" customWidth="1"/>
    <col min="15" max="15" width="11.140625" customWidth="1"/>
    <col min="16" max="16" width="12.140625" customWidth="1"/>
    <col min="17" max="17" width="9.140625" customWidth="1"/>
  </cols>
  <sheetData>
    <row r="1" spans="1:18" s="1" customFormat="1" x14ac:dyDescent="0.25">
      <c r="A1" s="3" t="s">
        <v>3</v>
      </c>
      <c r="B1" s="4" t="s">
        <v>0</v>
      </c>
      <c r="C1" s="3" t="s">
        <v>2</v>
      </c>
      <c r="D1" s="4" t="s">
        <v>4</v>
      </c>
      <c r="E1" s="4" t="s">
        <v>14</v>
      </c>
      <c r="F1" s="4" t="s">
        <v>56</v>
      </c>
      <c r="G1" s="3" t="s">
        <v>10</v>
      </c>
      <c r="H1" s="5" t="s">
        <v>1</v>
      </c>
      <c r="I1" s="11" t="s">
        <v>13</v>
      </c>
      <c r="J1" s="12" t="s">
        <v>5</v>
      </c>
      <c r="K1" s="11" t="s">
        <v>6</v>
      </c>
      <c r="L1" s="38" t="s">
        <v>30</v>
      </c>
      <c r="M1" s="41" t="s">
        <v>24</v>
      </c>
      <c r="N1" s="21" t="s">
        <v>34</v>
      </c>
      <c r="O1" s="19" t="s">
        <v>32</v>
      </c>
      <c r="P1" s="20" t="s">
        <v>33</v>
      </c>
      <c r="Q1" s="22" t="s">
        <v>35</v>
      </c>
      <c r="R1" s="23" t="s">
        <v>36</v>
      </c>
    </row>
    <row r="2" spans="1:18" x14ac:dyDescent="0.25">
      <c r="A2" s="7" t="str">
        <f>'FILL ME'!$B$8</f>
        <v>Grab</v>
      </c>
      <c r="B2" t="str">
        <f>IF('FILL ME'!$B$3 = "", "", 'FILL ME'!$B$3)</f>
        <v>WWS</v>
      </c>
      <c r="C2" t="str">
        <f>IF('FILL ME'!$B$4 = "", "", 'FILL ME'!$B$4)</f>
        <v>SSFLAT</v>
      </c>
      <c r="D2" s="7" t="str">
        <f>TEXT('FILL ME'!$B$7,"yyyymmdd")</f>
        <v>20260319</v>
      </c>
      <c r="E2" s="8" t="str">
        <f t="shared" ref="E2:E65" si="0">IF(A2="Grab","",TEXT(F2,"hh:mm"))</f>
        <v/>
      </c>
      <c r="F2" s="7">
        <f>IF('FILL ME'!$B$8="ISCO",'FILL ME'!$B$7+'FILL ME'!$B$12+('FILL ME'!$B$13*(G2-'FILL ME'!$B$14)),'FILL ME'!$B$7)</f>
        <v>46100</v>
      </c>
      <c r="G2" s="2" cm="1">
        <f t="array" ref="G2:G241">MOD(_xlfn.SEQUENCE('FILL ME'!B6*'FILL ME'!B16,,0),'FILL ME'!B6) + 'FILL ME'!B14</f>
        <v>1</v>
      </c>
      <c r="H2" s="2" t="str" cm="1">
        <f t="array" ref="H2:H241">_xlfn.LET(
    _xlpm.items, _xlfn.TEXTSPLIT('FILL ME'!$B$5, ", "),
    _xlpm.x, 'FILL ME'!$B$6,
    INDEX(_xlpm.items, ROUNDUP(_xlfn.SEQUENCE(COUNTA(_xlpm.items)*_xlpm.x)/_xlpm.x, 0))
)</f>
        <v>MCSN01</v>
      </c>
      <c r="I2" s="9" t="str">
        <f>CONCATENATE(H2,"_",TEXT(G2,"00"))</f>
        <v>MCSN01_01</v>
      </c>
      <c r="J2" s="10" t="str">
        <f>CONCATENATE(C2,"_", H2,"_",D2,"_",TEXT(G2,"00"))</f>
        <v>SSFLAT_MCSN01_20260319_01</v>
      </c>
      <c r="K2" s="10" t="str">
        <f>CONCATENATE(C2,"_", H2,"_",TEXT(F2, "yyyymmdd"),"_",TEXT(E2, "hhmm"))</f>
        <v>SSFLAT_MCSN01_20260319_</v>
      </c>
      <c r="L2" t="b">
        <f>IF(ROW()-ROW($L$1)+1 &lt;= 'FILL ME'!$E$3, TRUE, FALSE)</f>
        <v>0</v>
      </c>
      <c r="M2" t="b">
        <f>IF(ROW()-ROW($M$1)+1 &lt;= 'FILL ME'!$E$4, TRUE, FALSE)</f>
        <v>1</v>
      </c>
      <c r="N2" t="b">
        <f>IF(ROW()-ROW($N$1)+1 &lt;= 'FILL ME'!$E$5, TRUE, FALSE)</f>
        <v>1</v>
      </c>
      <c r="O2" t="b">
        <f>IF(ROW()-ROW($O$1)+1 &lt;= 'FILL ME'!$E$6, TRUE, FALSE)</f>
        <v>1</v>
      </c>
      <c r="P2" t="b">
        <f>IF(ROW()-ROW($P$1)+1 &lt;= 'FILL ME'!$E$7, TRUE, FALSE)</f>
        <v>1</v>
      </c>
      <c r="Q2" t="b">
        <f>IF(ROW()-ROW($Q$1)+1 &lt;= 'FILL ME'!$E$8, TRUE, FALSE)</f>
        <v>1</v>
      </c>
      <c r="R2" t="b">
        <f>IF(ROW()-ROW($R$1)+1 &lt;= 'FILL ME'!$E$10, TRUE, FALSE)</f>
        <v>1</v>
      </c>
    </row>
    <row r="3" spans="1:18" x14ac:dyDescent="0.25">
      <c r="A3" s="7" t="str">
        <f>'FILL ME'!$B$8</f>
        <v>Grab</v>
      </c>
      <c r="B3" t="str">
        <f>IF('FILL ME'!$B$3 = "", "", 'FILL ME'!$B$3)</f>
        <v>WWS</v>
      </c>
      <c r="C3" t="str">
        <f>IF('FILL ME'!$B$4 = "", "", 'FILL ME'!$B$4)</f>
        <v>SSFLAT</v>
      </c>
      <c r="D3" s="7" t="str">
        <f>TEXT('FILL ME'!$B$7,"yyyymmdd")</f>
        <v>20260319</v>
      </c>
      <c r="E3" s="8" t="str">
        <f t="shared" si="0"/>
        <v/>
      </c>
      <c r="F3" s="7">
        <f>IF('FILL ME'!$B$8="ISCO",'FILL ME'!$B$7+'FILL ME'!$B$12+('FILL ME'!$B$13*(G3-'FILL ME'!$B$14)),'FILL ME'!$B$7)</f>
        <v>46100</v>
      </c>
      <c r="G3" s="2">
        <v>2</v>
      </c>
      <c r="H3" s="2" t="str">
        <v>MCSN01</v>
      </c>
      <c r="I3" s="9" t="str">
        <f t="shared" ref="I3:I66" si="1">CONCATENATE(H3,"_",TEXT(G3,"00"))</f>
        <v>MCSN01_02</v>
      </c>
      <c r="J3" s="10" t="str">
        <f t="shared" ref="J3:J66" si="2">CONCATENATE(C3,"_", H3,"_",D3,"_",TEXT(G3,"00"))</f>
        <v>SSFLAT_MCSN01_20260319_02</v>
      </c>
      <c r="K3" s="10" t="str">
        <f t="shared" ref="K3:K66" si="3">CONCATENATE(C3,"_", H3,"_",TEXT(F3, "yyyymmdd"),"_",TEXT(E3, "hhmm"))</f>
        <v>SSFLAT_MCSN01_20260319_</v>
      </c>
      <c r="L3" t="b">
        <f>IF(ROW()-ROW($L$1)+1 &lt;= 'FILL ME'!$E$3, TRUE, FALSE)</f>
        <v>0</v>
      </c>
      <c r="M3" t="b">
        <f>IF(ROW()-ROW($M$1)+1 &lt;= 'FILL ME'!$E$4, TRUE, FALSE)</f>
        <v>1</v>
      </c>
      <c r="N3" t="b">
        <f>IF(ROW()-ROW($N$1)+1 &lt;= 'FILL ME'!$E$5, TRUE, FALSE)</f>
        <v>1</v>
      </c>
      <c r="O3" t="b">
        <f>IF(ROW()-ROW($O$1)+1 &lt;= 'FILL ME'!$E$6, TRUE, FALSE)</f>
        <v>1</v>
      </c>
      <c r="P3" t="b">
        <f>IF(ROW()-ROW($P$1)+1 &lt;= 'FILL ME'!$E$7, TRUE, FALSE)</f>
        <v>1</v>
      </c>
      <c r="Q3" t="b">
        <f>IF(ROW()-ROW($Q$1)+1 &lt;= 'FILL ME'!$E$8, TRUE, FALSE)</f>
        <v>1</v>
      </c>
      <c r="R3" t="b">
        <f>IF(ROW()-ROW($R$1)+1 &lt;= 'FILL ME'!$E$10, TRUE, FALSE)</f>
        <v>1</v>
      </c>
    </row>
    <row r="4" spans="1:18" x14ac:dyDescent="0.25">
      <c r="A4" s="7" t="str">
        <f>'FILL ME'!$B$8</f>
        <v>Grab</v>
      </c>
      <c r="B4" t="str">
        <f>IF('FILL ME'!$B$3 = "", "", 'FILL ME'!$B$3)</f>
        <v>WWS</v>
      </c>
      <c r="C4" t="str">
        <f>IF('FILL ME'!$B$4 = "", "", 'FILL ME'!$B$4)</f>
        <v>SSFLAT</v>
      </c>
      <c r="D4" s="7" t="str">
        <f>TEXT('FILL ME'!$B$7,"yyyymmdd")</f>
        <v>20260319</v>
      </c>
      <c r="E4" s="8" t="str">
        <f t="shared" si="0"/>
        <v/>
      </c>
      <c r="F4" s="7">
        <f>IF('FILL ME'!$B$8="ISCO",'FILL ME'!$B$7+'FILL ME'!$B$12+('FILL ME'!$B$13*(G4-'FILL ME'!$B$14)),'FILL ME'!$B$7)</f>
        <v>46100</v>
      </c>
      <c r="G4" s="2">
        <v>3</v>
      </c>
      <c r="H4" s="2" t="str">
        <v>MCSN01</v>
      </c>
      <c r="I4" s="9" t="str">
        <f t="shared" si="1"/>
        <v>MCSN01_03</v>
      </c>
      <c r="J4" s="10" t="str">
        <f t="shared" si="2"/>
        <v>SSFLAT_MCSN01_20260319_03</v>
      </c>
      <c r="K4" s="10" t="str">
        <f t="shared" si="3"/>
        <v>SSFLAT_MCSN01_20260319_</v>
      </c>
      <c r="L4" t="b">
        <f>IF(ROW()-ROW($L$1)+1 &lt;= 'FILL ME'!$E$3, TRUE, FALSE)</f>
        <v>0</v>
      </c>
      <c r="M4" t="b">
        <f>IF(ROW()-ROW($M$1)+1 &lt;= 'FILL ME'!$E$4, TRUE, FALSE)</f>
        <v>1</v>
      </c>
      <c r="N4" t="b">
        <f>IF(ROW()-ROW($N$1)+1 &lt;= 'FILL ME'!$E$5, TRUE, FALSE)</f>
        <v>1</v>
      </c>
      <c r="O4" t="b">
        <f>IF(ROW()-ROW($O$1)+1 &lt;= 'FILL ME'!$E$6, TRUE, FALSE)</f>
        <v>1</v>
      </c>
      <c r="P4" t="b">
        <f>IF(ROW()-ROW($P$1)+1 &lt;= 'FILL ME'!$E$7, TRUE, FALSE)</f>
        <v>1</v>
      </c>
      <c r="Q4" t="b">
        <f>IF(ROW()-ROW($Q$1)+1 &lt;= 'FILL ME'!$E$8, TRUE, FALSE)</f>
        <v>1</v>
      </c>
      <c r="R4" t="b">
        <f>IF(ROW()-ROW($R$1)+1 &lt;= 'FILL ME'!$E$10, TRUE, FALSE)</f>
        <v>1</v>
      </c>
    </row>
    <row r="5" spans="1:18" x14ac:dyDescent="0.25">
      <c r="A5" s="7" t="str">
        <f>'FILL ME'!$B$8</f>
        <v>Grab</v>
      </c>
      <c r="B5" t="str">
        <f>IF('FILL ME'!$B$3 = "", "", 'FILL ME'!$B$3)</f>
        <v>WWS</v>
      </c>
      <c r="C5" t="str">
        <f>IF('FILL ME'!$B$4 = "", "", 'FILL ME'!$B$4)</f>
        <v>SSFLAT</v>
      </c>
      <c r="D5" s="7" t="str">
        <f>TEXT('FILL ME'!$B$7,"yyyymmdd")</f>
        <v>20260319</v>
      </c>
      <c r="E5" s="8" t="str">
        <f t="shared" si="0"/>
        <v/>
      </c>
      <c r="F5" s="7">
        <f>IF('FILL ME'!$B$8="ISCO",'FILL ME'!$B$7+'FILL ME'!$B$12+('FILL ME'!$B$13*(G5-'FILL ME'!$B$14)),'FILL ME'!$B$7)</f>
        <v>46100</v>
      </c>
      <c r="G5" s="2">
        <v>4</v>
      </c>
      <c r="H5" s="2" t="str">
        <v>MCSN01</v>
      </c>
      <c r="I5" s="9" t="str">
        <f t="shared" si="1"/>
        <v>MCSN01_04</v>
      </c>
      <c r="J5" s="10" t="str">
        <f t="shared" si="2"/>
        <v>SSFLAT_MCSN01_20260319_04</v>
      </c>
      <c r="K5" s="10" t="str">
        <f t="shared" si="3"/>
        <v>SSFLAT_MCSN01_20260319_</v>
      </c>
      <c r="L5" t="b">
        <f>IF(ROW()-ROW($L$1)+1 &lt;= 'FILL ME'!$E$3, TRUE, FALSE)</f>
        <v>0</v>
      </c>
      <c r="M5" t="b">
        <f>IF(ROW()-ROW($M$1)+1 &lt;= 'FILL ME'!$E$4, TRUE, FALSE)</f>
        <v>1</v>
      </c>
      <c r="N5" t="b">
        <f>IF(ROW()-ROW($N$1)+1 &lt;= 'FILL ME'!$E$5, TRUE, FALSE)</f>
        <v>1</v>
      </c>
      <c r="O5" t="b">
        <f>IF(ROW()-ROW($O$1)+1 &lt;= 'FILL ME'!$E$6, TRUE, FALSE)</f>
        <v>1</v>
      </c>
      <c r="P5" t="b">
        <f>IF(ROW()-ROW($P$1)+1 &lt;= 'FILL ME'!$E$7, TRUE, FALSE)</f>
        <v>1</v>
      </c>
      <c r="Q5" t="b">
        <f>IF(ROW()-ROW($Q$1)+1 &lt;= 'FILL ME'!$E$8, TRUE, FALSE)</f>
        <v>1</v>
      </c>
      <c r="R5" t="b">
        <f>IF(ROW()-ROW($R$1)+1 &lt;= 'FILL ME'!$E$10, TRUE, FALSE)</f>
        <v>1</v>
      </c>
    </row>
    <row r="6" spans="1:18" x14ac:dyDescent="0.25">
      <c r="A6" s="7" t="str">
        <f>'FILL ME'!$B$8</f>
        <v>Grab</v>
      </c>
      <c r="B6" t="str">
        <f>IF('FILL ME'!$B$3 = "", "", 'FILL ME'!$B$3)</f>
        <v>WWS</v>
      </c>
      <c r="C6" t="str">
        <f>IF('FILL ME'!$B$4 = "", "", 'FILL ME'!$B$4)</f>
        <v>SSFLAT</v>
      </c>
      <c r="D6" s="7" t="str">
        <f>TEXT('FILL ME'!$B$7,"yyyymmdd")</f>
        <v>20260319</v>
      </c>
      <c r="E6" s="8" t="str">
        <f t="shared" si="0"/>
        <v/>
      </c>
      <c r="F6" s="7">
        <f>IF('FILL ME'!$B$8="ISCO",'FILL ME'!$B$7+'FILL ME'!$B$12+('FILL ME'!$B$13*(G6-'FILL ME'!$B$14)),'FILL ME'!$B$7)</f>
        <v>46100</v>
      </c>
      <c r="G6" s="2">
        <v>5</v>
      </c>
      <c r="H6" s="2" t="str">
        <v>MCSN01</v>
      </c>
      <c r="I6" s="9" t="str">
        <f t="shared" si="1"/>
        <v>MCSN01_05</v>
      </c>
      <c r="J6" s="10" t="str">
        <f t="shared" si="2"/>
        <v>SSFLAT_MCSN01_20260319_05</v>
      </c>
      <c r="K6" s="10" t="str">
        <f t="shared" si="3"/>
        <v>SSFLAT_MCSN01_20260319_</v>
      </c>
      <c r="L6" t="b">
        <f>IF(ROW()-ROW($L$1)+1 &lt;= 'FILL ME'!$E$3, TRUE, FALSE)</f>
        <v>0</v>
      </c>
      <c r="M6" t="b">
        <f>IF(ROW()-ROW($M$1)+1 &lt;= 'FILL ME'!$E$4, TRUE, FALSE)</f>
        <v>1</v>
      </c>
      <c r="N6" t="b">
        <f>IF(ROW()-ROW($N$1)+1 &lt;= 'FILL ME'!$E$5, TRUE, FALSE)</f>
        <v>1</v>
      </c>
      <c r="O6" t="b">
        <f>IF(ROW()-ROW($O$1)+1 &lt;= 'FILL ME'!$E$6, TRUE, FALSE)</f>
        <v>1</v>
      </c>
      <c r="P6" t="b">
        <f>IF(ROW()-ROW($P$1)+1 &lt;= 'FILL ME'!$E$7, TRUE, FALSE)</f>
        <v>1</v>
      </c>
      <c r="Q6" t="b">
        <f>IF(ROW()-ROW($Q$1)+1 &lt;= 'FILL ME'!$E$8, TRUE, FALSE)</f>
        <v>1</v>
      </c>
      <c r="R6" t="b">
        <f>IF(ROW()-ROW($R$1)+1 &lt;= 'FILL ME'!$E$10, TRUE, FALSE)</f>
        <v>1</v>
      </c>
    </row>
    <row r="7" spans="1:18" x14ac:dyDescent="0.25">
      <c r="A7" s="7" t="str">
        <f>'FILL ME'!$B$8</f>
        <v>Grab</v>
      </c>
      <c r="B7" t="str">
        <f>IF('FILL ME'!$B$3 = "", "", 'FILL ME'!$B$3)</f>
        <v>WWS</v>
      </c>
      <c r="C7" t="str">
        <f>IF('FILL ME'!$B$4 = "", "", 'FILL ME'!$B$4)</f>
        <v>SSFLAT</v>
      </c>
      <c r="D7" s="7" t="str">
        <f>TEXT('FILL ME'!$B$7,"yyyymmdd")</f>
        <v>20260319</v>
      </c>
      <c r="E7" s="8" t="str">
        <f t="shared" si="0"/>
        <v/>
      </c>
      <c r="F7" s="7">
        <f>IF('FILL ME'!$B$8="ISCO",'FILL ME'!$B$7+'FILL ME'!$B$12+('FILL ME'!$B$13*(G7-'FILL ME'!$B$14)),'FILL ME'!$B$7)</f>
        <v>46100</v>
      </c>
      <c r="G7" s="2">
        <v>6</v>
      </c>
      <c r="H7" s="2" t="str">
        <v>MCSN01</v>
      </c>
      <c r="I7" s="9" t="str">
        <f t="shared" si="1"/>
        <v>MCSN01_06</v>
      </c>
      <c r="J7" s="10" t="str">
        <f t="shared" si="2"/>
        <v>SSFLAT_MCSN01_20260319_06</v>
      </c>
      <c r="K7" s="10" t="str">
        <f t="shared" si="3"/>
        <v>SSFLAT_MCSN01_20260319_</v>
      </c>
      <c r="L7" t="b">
        <f>IF(ROW()-ROW($L$1)+1 &lt;= 'FILL ME'!$E$3, TRUE, FALSE)</f>
        <v>0</v>
      </c>
      <c r="M7" t="b">
        <f>IF(ROW()-ROW($M$1)+1 &lt;= 'FILL ME'!$E$4, TRUE, FALSE)</f>
        <v>1</v>
      </c>
      <c r="N7" t="b">
        <f>IF(ROW()-ROW($N$1)+1 &lt;= 'FILL ME'!$E$5, TRUE, FALSE)</f>
        <v>1</v>
      </c>
      <c r="O7" t="b">
        <f>IF(ROW()-ROW($O$1)+1 &lt;= 'FILL ME'!$E$6, TRUE, FALSE)</f>
        <v>1</v>
      </c>
      <c r="P7" t="b">
        <f>IF(ROW()-ROW($P$1)+1 &lt;= 'FILL ME'!$E$7, TRUE, FALSE)</f>
        <v>1</v>
      </c>
      <c r="Q7" t="b">
        <f>IF(ROW()-ROW($Q$1)+1 &lt;= 'FILL ME'!$E$8, TRUE, FALSE)</f>
        <v>1</v>
      </c>
      <c r="R7" t="b">
        <f>IF(ROW()-ROW($R$1)+1 &lt;= 'FILL ME'!$E$10, TRUE, FALSE)</f>
        <v>1</v>
      </c>
    </row>
    <row r="8" spans="1:18" x14ac:dyDescent="0.25">
      <c r="A8" s="7" t="str">
        <f>'FILL ME'!$B$8</f>
        <v>Grab</v>
      </c>
      <c r="B8" t="str">
        <f>IF('FILL ME'!$B$3 = "", "", 'FILL ME'!$B$3)</f>
        <v>WWS</v>
      </c>
      <c r="C8" t="str">
        <f>IF('FILL ME'!$B$4 = "", "", 'FILL ME'!$B$4)</f>
        <v>SSFLAT</v>
      </c>
      <c r="D8" s="7" t="str">
        <f>TEXT('FILL ME'!$B$7,"yyyymmdd")</f>
        <v>20260319</v>
      </c>
      <c r="E8" s="8" t="str">
        <f t="shared" si="0"/>
        <v/>
      </c>
      <c r="F8" s="7">
        <f>IF('FILL ME'!$B$8="ISCO",'FILL ME'!$B$7+'FILL ME'!$B$12+('FILL ME'!$B$13*(G8-'FILL ME'!$B$14)),'FILL ME'!$B$7)</f>
        <v>46100</v>
      </c>
      <c r="G8" s="2">
        <v>7</v>
      </c>
      <c r="H8" s="2" t="str">
        <v>MCSN01</v>
      </c>
      <c r="I8" s="9" t="str">
        <f t="shared" si="1"/>
        <v>MCSN01_07</v>
      </c>
      <c r="J8" s="10" t="str">
        <f t="shared" si="2"/>
        <v>SSFLAT_MCSN01_20260319_07</v>
      </c>
      <c r="K8" s="10" t="str">
        <f t="shared" si="3"/>
        <v>SSFLAT_MCSN01_20260319_</v>
      </c>
      <c r="L8" t="b">
        <f>IF(ROW()-ROW($L$1)+1 &lt;= 'FILL ME'!$E$3, TRUE, FALSE)</f>
        <v>0</v>
      </c>
      <c r="M8" t="b">
        <f>IF(ROW()-ROW($M$1)+1 &lt;= 'FILL ME'!$E$4, TRUE, FALSE)</f>
        <v>1</v>
      </c>
      <c r="N8" t="b">
        <f>IF(ROW()-ROW($N$1)+1 &lt;= 'FILL ME'!$E$5, TRUE, FALSE)</f>
        <v>1</v>
      </c>
      <c r="O8" t="b">
        <f>IF(ROW()-ROW($O$1)+1 &lt;= 'FILL ME'!$E$6, TRUE, FALSE)</f>
        <v>1</v>
      </c>
      <c r="P8" t="b">
        <f>IF(ROW()-ROW($P$1)+1 &lt;= 'FILL ME'!$E$7, TRUE, FALSE)</f>
        <v>1</v>
      </c>
      <c r="Q8" t="b">
        <f>IF(ROW()-ROW($Q$1)+1 &lt;= 'FILL ME'!$E$8, TRUE, FALSE)</f>
        <v>1</v>
      </c>
      <c r="R8" t="b">
        <f>IF(ROW()-ROW($R$1)+1 &lt;= 'FILL ME'!$E$10, TRUE, FALSE)</f>
        <v>1</v>
      </c>
    </row>
    <row r="9" spans="1:18" x14ac:dyDescent="0.25">
      <c r="A9" s="7" t="str">
        <f>'FILL ME'!$B$8</f>
        <v>Grab</v>
      </c>
      <c r="B9" t="str">
        <f>IF('FILL ME'!$B$3 = "", "", 'FILL ME'!$B$3)</f>
        <v>WWS</v>
      </c>
      <c r="C9" t="str">
        <f>IF('FILL ME'!$B$4 = "", "", 'FILL ME'!$B$4)</f>
        <v>SSFLAT</v>
      </c>
      <c r="D9" s="7" t="str">
        <f>TEXT('FILL ME'!$B$7,"yyyymmdd")</f>
        <v>20260319</v>
      </c>
      <c r="E9" s="8" t="str">
        <f t="shared" si="0"/>
        <v/>
      </c>
      <c r="F9" s="7">
        <f>IF('FILL ME'!$B$8="ISCO",'FILL ME'!$B$7+'FILL ME'!$B$12+('FILL ME'!$B$13*(G9-'FILL ME'!$B$14)),'FILL ME'!$B$7)</f>
        <v>46100</v>
      </c>
      <c r="G9" s="2">
        <v>8</v>
      </c>
      <c r="H9" s="2" t="str">
        <v>MCSN01</v>
      </c>
      <c r="I9" s="9" t="str">
        <f t="shared" si="1"/>
        <v>MCSN01_08</v>
      </c>
      <c r="J9" s="10" t="str">
        <f t="shared" si="2"/>
        <v>SSFLAT_MCSN01_20260319_08</v>
      </c>
      <c r="K9" s="10" t="str">
        <f t="shared" si="3"/>
        <v>SSFLAT_MCSN01_20260319_</v>
      </c>
      <c r="L9" t="b">
        <f>IF(ROW()-ROW($L$1)+1 &lt;= 'FILL ME'!$E$3, TRUE, FALSE)</f>
        <v>0</v>
      </c>
      <c r="M9" t="b">
        <f>IF(ROW()-ROW($M$1)+1 &lt;= 'FILL ME'!$E$4, TRUE, FALSE)</f>
        <v>1</v>
      </c>
      <c r="N9" t="b">
        <f>IF(ROW()-ROW($N$1)+1 &lt;= 'FILL ME'!$E$5, TRUE, FALSE)</f>
        <v>1</v>
      </c>
      <c r="O9" t="b">
        <f>IF(ROW()-ROW($O$1)+1 &lt;= 'FILL ME'!$E$6, TRUE, FALSE)</f>
        <v>1</v>
      </c>
      <c r="P9" t="b">
        <f>IF(ROW()-ROW($P$1)+1 &lt;= 'FILL ME'!$E$7, TRUE, FALSE)</f>
        <v>1</v>
      </c>
      <c r="Q9" t="b">
        <f>IF(ROW()-ROW($Q$1)+1 &lt;= 'FILL ME'!$E$8, TRUE, FALSE)</f>
        <v>1</v>
      </c>
      <c r="R9" t="b">
        <f>IF(ROW()-ROW($R$1)+1 &lt;= 'FILL ME'!$E$10, TRUE, FALSE)</f>
        <v>1</v>
      </c>
    </row>
    <row r="10" spans="1:18" x14ac:dyDescent="0.25">
      <c r="A10" s="7" t="str">
        <f>'FILL ME'!$B$8</f>
        <v>Grab</v>
      </c>
      <c r="B10" t="str">
        <f>IF('FILL ME'!$B$3 = "", "", 'FILL ME'!$B$3)</f>
        <v>WWS</v>
      </c>
      <c r="C10" t="str">
        <f>IF('FILL ME'!$B$4 = "", "", 'FILL ME'!$B$4)</f>
        <v>SSFLAT</v>
      </c>
      <c r="D10" s="7" t="str">
        <f>TEXT('FILL ME'!$B$7,"yyyymmdd")</f>
        <v>20260319</v>
      </c>
      <c r="E10" s="8" t="str">
        <f t="shared" si="0"/>
        <v/>
      </c>
      <c r="F10" s="7">
        <f>IF('FILL ME'!$B$8="ISCO",'FILL ME'!$B$7+'FILL ME'!$B$12+('FILL ME'!$B$13*(G10-'FILL ME'!$B$14)),'FILL ME'!$B$7)</f>
        <v>46100</v>
      </c>
      <c r="G10" s="2">
        <v>9</v>
      </c>
      <c r="H10" s="2" t="str">
        <v>MCSN01</v>
      </c>
      <c r="I10" s="9" t="str">
        <f t="shared" si="1"/>
        <v>MCSN01_09</v>
      </c>
      <c r="J10" s="10" t="str">
        <f t="shared" si="2"/>
        <v>SSFLAT_MCSN01_20260319_09</v>
      </c>
      <c r="K10" s="10" t="str">
        <f t="shared" si="3"/>
        <v>SSFLAT_MCSN01_20260319_</v>
      </c>
      <c r="L10" t="b">
        <f>IF(ROW()-ROW($L$1)+1 &lt;= 'FILL ME'!$E$3, TRUE, FALSE)</f>
        <v>0</v>
      </c>
      <c r="M10" t="b">
        <f>IF(ROW()-ROW($M$1)+1 &lt;= 'FILL ME'!$E$4, TRUE, FALSE)</f>
        <v>1</v>
      </c>
      <c r="N10" t="b">
        <f>IF(ROW()-ROW($N$1)+1 &lt;= 'FILL ME'!$E$5, TRUE, FALSE)</f>
        <v>1</v>
      </c>
      <c r="O10" t="b">
        <f>IF(ROW()-ROW($O$1)+1 &lt;= 'FILL ME'!$E$6, TRUE, FALSE)</f>
        <v>1</v>
      </c>
      <c r="P10" t="b">
        <f>IF(ROW()-ROW($P$1)+1 &lt;= 'FILL ME'!$E$7, TRUE, FALSE)</f>
        <v>1</v>
      </c>
      <c r="Q10" t="b">
        <f>IF(ROW()-ROW($Q$1)+1 &lt;= 'FILL ME'!$E$8, TRUE, FALSE)</f>
        <v>1</v>
      </c>
      <c r="R10" t="b">
        <f>IF(ROW()-ROW($R$1)+1 &lt;= 'FILL ME'!$E$10, TRUE, FALSE)</f>
        <v>1</v>
      </c>
    </row>
    <row r="11" spans="1:18" x14ac:dyDescent="0.25">
      <c r="A11" s="7" t="str">
        <f>'FILL ME'!$B$8</f>
        <v>Grab</v>
      </c>
      <c r="B11" t="str">
        <f>IF('FILL ME'!$B$3 = "", "", 'FILL ME'!$B$3)</f>
        <v>WWS</v>
      </c>
      <c r="C11" t="str">
        <f>IF('FILL ME'!$B$4 = "", "", 'FILL ME'!$B$4)</f>
        <v>SSFLAT</v>
      </c>
      <c r="D11" s="7" t="str">
        <f>TEXT('FILL ME'!$B$7,"yyyymmdd")</f>
        <v>20260319</v>
      </c>
      <c r="E11" s="8" t="str">
        <f t="shared" si="0"/>
        <v/>
      </c>
      <c r="F11" s="7">
        <f>IF('FILL ME'!$B$8="ISCO",'FILL ME'!$B$7+'FILL ME'!$B$12+('FILL ME'!$B$13*(G11-'FILL ME'!$B$14)),'FILL ME'!$B$7)</f>
        <v>46100</v>
      </c>
      <c r="G11" s="2">
        <v>10</v>
      </c>
      <c r="H11" s="2" t="str">
        <v>MCSN01</v>
      </c>
      <c r="I11" s="9" t="str">
        <f t="shared" si="1"/>
        <v>MCSN01_10</v>
      </c>
      <c r="J11" s="10" t="str">
        <f t="shared" si="2"/>
        <v>SSFLAT_MCSN01_20260319_10</v>
      </c>
      <c r="K11" s="10" t="str">
        <f t="shared" si="3"/>
        <v>SSFLAT_MCSN01_20260319_</v>
      </c>
      <c r="L11" t="b">
        <f>IF(ROW()-ROW($L$1)+1 &lt;= 'FILL ME'!$E$3, TRUE, FALSE)</f>
        <v>0</v>
      </c>
      <c r="M11" t="b">
        <f>IF(ROW()-ROW($M$1)+1 &lt;= 'FILL ME'!$E$4, TRUE, FALSE)</f>
        <v>1</v>
      </c>
      <c r="N11" t="b">
        <f>IF(ROW()-ROW($N$1)+1 &lt;= 'FILL ME'!$E$5, TRUE, FALSE)</f>
        <v>1</v>
      </c>
      <c r="O11" t="b">
        <f>IF(ROW()-ROW($O$1)+1 &lt;= 'FILL ME'!$E$6, TRUE, FALSE)</f>
        <v>1</v>
      </c>
      <c r="P11" t="b">
        <f>IF(ROW()-ROW($P$1)+1 &lt;= 'FILL ME'!$E$7, TRUE, FALSE)</f>
        <v>1</v>
      </c>
      <c r="Q11" t="b">
        <f>IF(ROW()-ROW($Q$1)+1 &lt;= 'FILL ME'!$E$8, TRUE, FALSE)</f>
        <v>1</v>
      </c>
      <c r="R11" t="b">
        <f>IF(ROW()-ROW($R$1)+1 &lt;= 'FILL ME'!$E$10, TRUE, FALSE)</f>
        <v>1</v>
      </c>
    </row>
    <row r="12" spans="1:18" x14ac:dyDescent="0.25">
      <c r="A12" s="7" t="str">
        <f>'FILL ME'!$B$8</f>
        <v>Grab</v>
      </c>
      <c r="B12" t="str">
        <f>IF('FILL ME'!$B$3 = "", "", 'FILL ME'!$B$3)</f>
        <v>WWS</v>
      </c>
      <c r="C12" t="str">
        <f>IF('FILL ME'!$B$4 = "", "", 'FILL ME'!$B$4)</f>
        <v>SSFLAT</v>
      </c>
      <c r="D12" s="7" t="str">
        <f>TEXT('FILL ME'!$B$7,"yyyymmdd")</f>
        <v>20260319</v>
      </c>
      <c r="E12" s="8" t="str">
        <f t="shared" si="0"/>
        <v/>
      </c>
      <c r="F12" s="7">
        <f>IF('FILL ME'!$B$8="ISCO",'FILL ME'!$B$7+'FILL ME'!$B$12+('FILL ME'!$B$13*(G12-'FILL ME'!$B$14)),'FILL ME'!$B$7)</f>
        <v>46100</v>
      </c>
      <c r="G12" s="2">
        <v>11</v>
      </c>
      <c r="H12" s="2" t="str">
        <v>MCSN01</v>
      </c>
      <c r="I12" s="9" t="str">
        <f t="shared" si="1"/>
        <v>MCSN01_11</v>
      </c>
      <c r="J12" s="10" t="str">
        <f t="shared" si="2"/>
        <v>SSFLAT_MCSN01_20260319_11</v>
      </c>
      <c r="K12" s="10" t="str">
        <f t="shared" si="3"/>
        <v>SSFLAT_MCSN01_20260319_</v>
      </c>
      <c r="L12" t="b">
        <f>IF(ROW()-ROW($L$1)+1 &lt;= 'FILL ME'!$E$3, TRUE, FALSE)</f>
        <v>0</v>
      </c>
      <c r="M12" t="b">
        <f>IF(ROW()-ROW($M$1)+1 &lt;= 'FILL ME'!$E$4, TRUE, FALSE)</f>
        <v>1</v>
      </c>
      <c r="N12" t="b">
        <f>IF(ROW()-ROW($N$1)+1 &lt;= 'FILL ME'!$E$5, TRUE, FALSE)</f>
        <v>1</v>
      </c>
      <c r="O12" t="b">
        <f>IF(ROW()-ROW($O$1)+1 &lt;= 'FILL ME'!$E$6, TRUE, FALSE)</f>
        <v>1</v>
      </c>
      <c r="P12" t="b">
        <f>IF(ROW()-ROW($P$1)+1 &lt;= 'FILL ME'!$E$7, TRUE, FALSE)</f>
        <v>1</v>
      </c>
      <c r="Q12" t="b">
        <f>IF(ROW()-ROW($Q$1)+1 &lt;= 'FILL ME'!$E$8, TRUE, FALSE)</f>
        <v>1</v>
      </c>
      <c r="R12" t="b">
        <f>IF(ROW()-ROW($R$1)+1 &lt;= 'FILL ME'!$E$10, TRUE, FALSE)</f>
        <v>1</v>
      </c>
    </row>
    <row r="13" spans="1:18" x14ac:dyDescent="0.25">
      <c r="A13" s="7" t="str">
        <f>'FILL ME'!$B$8</f>
        <v>Grab</v>
      </c>
      <c r="B13" t="str">
        <f>IF('FILL ME'!$B$3 = "", "", 'FILL ME'!$B$3)</f>
        <v>WWS</v>
      </c>
      <c r="C13" t="str">
        <f>IF('FILL ME'!$B$4 = "", "", 'FILL ME'!$B$4)</f>
        <v>SSFLAT</v>
      </c>
      <c r="D13" s="7" t="str">
        <f>TEXT('FILL ME'!$B$7,"yyyymmdd")</f>
        <v>20260319</v>
      </c>
      <c r="E13" s="8" t="str">
        <f t="shared" si="0"/>
        <v/>
      </c>
      <c r="F13" s="7">
        <f>IF('FILL ME'!$B$8="ISCO",'FILL ME'!$B$7+'FILL ME'!$B$12+('FILL ME'!$B$13*(G13-'FILL ME'!$B$14)),'FILL ME'!$B$7)</f>
        <v>46100</v>
      </c>
      <c r="G13" s="2">
        <v>12</v>
      </c>
      <c r="H13" s="2" t="str">
        <v>MCSN01</v>
      </c>
      <c r="I13" s="9" t="str">
        <f t="shared" si="1"/>
        <v>MCSN01_12</v>
      </c>
      <c r="J13" s="10" t="str">
        <f t="shared" si="2"/>
        <v>SSFLAT_MCSN01_20260319_12</v>
      </c>
      <c r="K13" s="10" t="str">
        <f t="shared" si="3"/>
        <v>SSFLAT_MCSN01_20260319_</v>
      </c>
      <c r="L13" t="b">
        <f>IF(ROW()-ROW($L$1)+1 &lt;= 'FILL ME'!$E$3, TRUE, FALSE)</f>
        <v>0</v>
      </c>
      <c r="M13" t="b">
        <f>IF(ROW()-ROW($M$1)+1 &lt;= 'FILL ME'!$E$4, TRUE, FALSE)</f>
        <v>1</v>
      </c>
      <c r="N13" t="b">
        <f>IF(ROW()-ROW($N$1)+1 &lt;= 'FILL ME'!$E$5, TRUE, FALSE)</f>
        <v>1</v>
      </c>
      <c r="O13" t="b">
        <f>IF(ROW()-ROW($O$1)+1 &lt;= 'FILL ME'!$E$6, TRUE, FALSE)</f>
        <v>1</v>
      </c>
      <c r="P13" t="b">
        <f>IF(ROW()-ROW($P$1)+1 &lt;= 'FILL ME'!$E$7, TRUE, FALSE)</f>
        <v>1</v>
      </c>
      <c r="Q13" t="b">
        <f>IF(ROW()-ROW($Q$1)+1 &lt;= 'FILL ME'!$E$8, TRUE, FALSE)</f>
        <v>1</v>
      </c>
      <c r="R13" t="b">
        <f>IF(ROW()-ROW($R$1)+1 &lt;= 'FILL ME'!$E$10, TRUE, FALSE)</f>
        <v>1</v>
      </c>
    </row>
    <row r="14" spans="1:18" x14ac:dyDescent="0.25">
      <c r="A14" s="7" t="str">
        <f>'FILL ME'!$B$8</f>
        <v>Grab</v>
      </c>
      <c r="B14" t="str">
        <f>IF('FILL ME'!$B$3 = "", "", 'FILL ME'!$B$3)</f>
        <v>WWS</v>
      </c>
      <c r="C14" t="str">
        <f>IF('FILL ME'!$B$4 = "", "", 'FILL ME'!$B$4)</f>
        <v>SSFLAT</v>
      </c>
      <c r="D14" s="7" t="str">
        <f>TEXT('FILL ME'!$B$7,"yyyymmdd")</f>
        <v>20260319</v>
      </c>
      <c r="E14" s="8" t="str">
        <f t="shared" si="0"/>
        <v/>
      </c>
      <c r="F14" s="7">
        <f>IF('FILL ME'!$B$8="ISCO",'FILL ME'!$B$7+'FILL ME'!$B$12+('FILL ME'!$B$13*(G14-'FILL ME'!$B$14)),'FILL ME'!$B$7)</f>
        <v>46100</v>
      </c>
      <c r="G14" s="2">
        <v>13</v>
      </c>
      <c r="H14" s="2" t="str">
        <v>MCSN01</v>
      </c>
      <c r="I14" s="9" t="str">
        <f t="shared" si="1"/>
        <v>MCSN01_13</v>
      </c>
      <c r="J14" s="10" t="str">
        <f t="shared" si="2"/>
        <v>SSFLAT_MCSN01_20260319_13</v>
      </c>
      <c r="K14" s="10" t="str">
        <f t="shared" si="3"/>
        <v>SSFLAT_MCSN01_20260319_</v>
      </c>
      <c r="L14" t="b">
        <f>IF(ROW()-ROW($L$1)+1 &lt;= 'FILL ME'!$E$3, TRUE, FALSE)</f>
        <v>0</v>
      </c>
      <c r="M14" t="b">
        <f>IF(ROW()-ROW($M$1)+1 &lt;= 'FILL ME'!$E$4, TRUE, FALSE)</f>
        <v>1</v>
      </c>
      <c r="N14" t="b">
        <f>IF(ROW()-ROW($N$1)+1 &lt;= 'FILL ME'!$E$5, TRUE, FALSE)</f>
        <v>1</v>
      </c>
      <c r="O14" t="b">
        <f>IF(ROW()-ROW($O$1)+1 &lt;= 'FILL ME'!$E$6, TRUE, FALSE)</f>
        <v>1</v>
      </c>
      <c r="P14" t="b">
        <f>IF(ROW()-ROW($P$1)+1 &lt;= 'FILL ME'!$E$7, TRUE, FALSE)</f>
        <v>1</v>
      </c>
      <c r="Q14" t="b">
        <f>IF(ROW()-ROW($Q$1)+1 &lt;= 'FILL ME'!$E$8, TRUE, FALSE)</f>
        <v>1</v>
      </c>
      <c r="R14" t="b">
        <f>IF(ROW()-ROW($R$1)+1 &lt;= 'FILL ME'!$E$10, TRUE, FALSE)</f>
        <v>1</v>
      </c>
    </row>
    <row r="15" spans="1:18" x14ac:dyDescent="0.25">
      <c r="A15" s="7" t="str">
        <f>'FILL ME'!$B$8</f>
        <v>Grab</v>
      </c>
      <c r="B15" t="str">
        <f>IF('FILL ME'!$B$3 = "", "", 'FILL ME'!$B$3)</f>
        <v>WWS</v>
      </c>
      <c r="C15" t="str">
        <f>IF('FILL ME'!$B$4 = "", "", 'FILL ME'!$B$4)</f>
        <v>SSFLAT</v>
      </c>
      <c r="D15" s="7" t="str">
        <f>TEXT('FILL ME'!$B$7,"yyyymmdd")</f>
        <v>20260319</v>
      </c>
      <c r="E15" s="8" t="str">
        <f t="shared" si="0"/>
        <v/>
      </c>
      <c r="F15" s="7">
        <f>IF('FILL ME'!$B$8="ISCO",'FILL ME'!$B$7+'FILL ME'!$B$12+('FILL ME'!$B$13*(G15-'FILL ME'!$B$14)),'FILL ME'!$B$7)</f>
        <v>46100</v>
      </c>
      <c r="G15" s="2">
        <v>14</v>
      </c>
      <c r="H15" s="2" t="str">
        <v>MCSN01</v>
      </c>
      <c r="I15" s="9" t="str">
        <f t="shared" si="1"/>
        <v>MCSN01_14</v>
      </c>
      <c r="J15" s="10" t="str">
        <f t="shared" si="2"/>
        <v>SSFLAT_MCSN01_20260319_14</v>
      </c>
      <c r="K15" s="10" t="str">
        <f t="shared" si="3"/>
        <v>SSFLAT_MCSN01_20260319_</v>
      </c>
      <c r="L15" t="b">
        <f>IF(ROW()-ROW($L$1)+1 &lt;= 'FILL ME'!$E$3, TRUE, FALSE)</f>
        <v>0</v>
      </c>
      <c r="M15" t="b">
        <f>IF(ROW()-ROW($M$1)+1 &lt;= 'FILL ME'!$E$4, TRUE, FALSE)</f>
        <v>1</v>
      </c>
      <c r="N15" t="b">
        <f>IF(ROW()-ROW($N$1)+1 &lt;= 'FILL ME'!$E$5, TRUE, FALSE)</f>
        <v>1</v>
      </c>
      <c r="O15" t="b">
        <f>IF(ROW()-ROW($O$1)+1 &lt;= 'FILL ME'!$E$6, TRUE, FALSE)</f>
        <v>1</v>
      </c>
      <c r="P15" t="b">
        <f>IF(ROW()-ROW($P$1)+1 &lt;= 'FILL ME'!$E$7, TRUE, FALSE)</f>
        <v>1</v>
      </c>
      <c r="Q15" t="b">
        <f>IF(ROW()-ROW($Q$1)+1 &lt;= 'FILL ME'!$E$8, TRUE, FALSE)</f>
        <v>1</v>
      </c>
      <c r="R15" t="b">
        <f>IF(ROW()-ROW($R$1)+1 &lt;= 'FILL ME'!$E$10, TRUE, FALSE)</f>
        <v>1</v>
      </c>
    </row>
    <row r="16" spans="1:18" x14ac:dyDescent="0.25">
      <c r="A16" s="7" t="str">
        <f>'FILL ME'!$B$8</f>
        <v>Grab</v>
      </c>
      <c r="B16" t="str">
        <f>IF('FILL ME'!$B$3 = "", "", 'FILL ME'!$B$3)</f>
        <v>WWS</v>
      </c>
      <c r="C16" t="str">
        <f>IF('FILL ME'!$B$4 = "", "", 'FILL ME'!$B$4)</f>
        <v>SSFLAT</v>
      </c>
      <c r="D16" s="7" t="str">
        <f>TEXT('FILL ME'!$B$7,"yyyymmdd")</f>
        <v>20260319</v>
      </c>
      <c r="E16" s="8" t="str">
        <f t="shared" si="0"/>
        <v/>
      </c>
      <c r="F16" s="7">
        <f>IF('FILL ME'!$B$8="ISCO",'FILL ME'!$B$7+'FILL ME'!$B$12+('FILL ME'!$B$13*(G16-'FILL ME'!$B$14)),'FILL ME'!$B$7)</f>
        <v>46100</v>
      </c>
      <c r="G16" s="2">
        <v>15</v>
      </c>
      <c r="H16" s="2" t="str">
        <v>MCSN01</v>
      </c>
      <c r="I16" s="9" t="str">
        <f t="shared" si="1"/>
        <v>MCSN01_15</v>
      </c>
      <c r="J16" s="10" t="str">
        <f t="shared" si="2"/>
        <v>SSFLAT_MCSN01_20260319_15</v>
      </c>
      <c r="K16" s="10" t="str">
        <f t="shared" si="3"/>
        <v>SSFLAT_MCSN01_20260319_</v>
      </c>
      <c r="L16" t="b">
        <f>IF(ROW()-ROW($L$1)+1 &lt;= 'FILL ME'!$E$3, TRUE, FALSE)</f>
        <v>0</v>
      </c>
      <c r="M16" t="b">
        <f>IF(ROW()-ROW($M$1)+1 &lt;= 'FILL ME'!$E$4, TRUE, FALSE)</f>
        <v>1</v>
      </c>
      <c r="N16" t="b">
        <f>IF(ROW()-ROW($N$1)+1 &lt;= 'FILL ME'!$E$5, TRUE, FALSE)</f>
        <v>1</v>
      </c>
      <c r="O16" t="b">
        <f>IF(ROW()-ROW($O$1)+1 &lt;= 'FILL ME'!$E$6, TRUE, FALSE)</f>
        <v>1</v>
      </c>
      <c r="P16" t="b">
        <f>IF(ROW()-ROW($P$1)+1 &lt;= 'FILL ME'!$E$7, TRUE, FALSE)</f>
        <v>1</v>
      </c>
      <c r="Q16" t="b">
        <f>IF(ROW()-ROW($Q$1)+1 &lt;= 'FILL ME'!$E$8, TRUE, FALSE)</f>
        <v>1</v>
      </c>
      <c r="R16" t="b">
        <f>IF(ROW()-ROW($R$1)+1 &lt;= 'FILL ME'!$E$10, TRUE, FALSE)</f>
        <v>1</v>
      </c>
    </row>
    <row r="17" spans="1:18" x14ac:dyDescent="0.25">
      <c r="A17" s="7" t="str">
        <f>'FILL ME'!$B$8</f>
        <v>Grab</v>
      </c>
      <c r="B17" t="str">
        <f>IF('FILL ME'!$B$3 = "", "", 'FILL ME'!$B$3)</f>
        <v>WWS</v>
      </c>
      <c r="C17" t="str">
        <f>IF('FILL ME'!$B$4 = "", "", 'FILL ME'!$B$4)</f>
        <v>SSFLAT</v>
      </c>
      <c r="D17" s="7" t="str">
        <f>TEXT('FILL ME'!$B$7,"yyyymmdd")</f>
        <v>20260319</v>
      </c>
      <c r="E17" s="8" t="str">
        <f t="shared" si="0"/>
        <v/>
      </c>
      <c r="F17" s="7">
        <f>IF('FILL ME'!$B$8="ISCO",'FILL ME'!$B$7+'FILL ME'!$B$12+('FILL ME'!$B$13*(G17-'FILL ME'!$B$14)),'FILL ME'!$B$7)</f>
        <v>46100</v>
      </c>
      <c r="G17" s="2">
        <v>16</v>
      </c>
      <c r="H17" s="2" t="str">
        <v>MCSN01</v>
      </c>
      <c r="I17" s="9" t="str">
        <f t="shared" si="1"/>
        <v>MCSN01_16</v>
      </c>
      <c r="J17" s="10" t="str">
        <f t="shared" si="2"/>
        <v>SSFLAT_MCSN01_20260319_16</v>
      </c>
      <c r="K17" s="10" t="str">
        <f t="shared" si="3"/>
        <v>SSFLAT_MCSN01_20260319_</v>
      </c>
      <c r="L17" t="b">
        <f>IF(ROW()-ROW($L$1)+1 &lt;= 'FILL ME'!$E$3, TRUE, FALSE)</f>
        <v>0</v>
      </c>
      <c r="M17" t="b">
        <f>IF(ROW()-ROW($M$1)+1 &lt;= 'FILL ME'!$E$4, TRUE, FALSE)</f>
        <v>1</v>
      </c>
      <c r="N17" t="b">
        <f>IF(ROW()-ROW($N$1)+1 &lt;= 'FILL ME'!$E$5, TRUE, FALSE)</f>
        <v>1</v>
      </c>
      <c r="O17" t="b">
        <f>IF(ROW()-ROW($O$1)+1 &lt;= 'FILL ME'!$E$6, TRUE, FALSE)</f>
        <v>1</v>
      </c>
      <c r="P17" t="b">
        <f>IF(ROW()-ROW($P$1)+1 &lt;= 'FILL ME'!$E$7, TRUE, FALSE)</f>
        <v>1</v>
      </c>
      <c r="Q17" t="b">
        <f>IF(ROW()-ROW($Q$1)+1 &lt;= 'FILL ME'!$E$8, TRUE, FALSE)</f>
        <v>1</v>
      </c>
      <c r="R17" t="b">
        <f>IF(ROW()-ROW($R$1)+1 &lt;= 'FILL ME'!$E$10, TRUE, FALSE)</f>
        <v>1</v>
      </c>
    </row>
    <row r="18" spans="1:18" x14ac:dyDescent="0.25">
      <c r="A18" s="7" t="str">
        <f>'FILL ME'!$B$8</f>
        <v>Grab</v>
      </c>
      <c r="B18" t="str">
        <f>IF('FILL ME'!$B$3 = "", "", 'FILL ME'!$B$3)</f>
        <v>WWS</v>
      </c>
      <c r="C18" t="str">
        <f>IF('FILL ME'!$B$4 = "", "", 'FILL ME'!$B$4)</f>
        <v>SSFLAT</v>
      </c>
      <c r="D18" s="7" t="str">
        <f>TEXT('FILL ME'!$B$7,"yyyymmdd")</f>
        <v>20260319</v>
      </c>
      <c r="E18" s="8" t="str">
        <f t="shared" si="0"/>
        <v/>
      </c>
      <c r="F18" s="7">
        <f>IF('FILL ME'!$B$8="ISCO",'FILL ME'!$B$7+'FILL ME'!$B$12+('FILL ME'!$B$13*(G18-'FILL ME'!$B$14)),'FILL ME'!$B$7)</f>
        <v>46100</v>
      </c>
      <c r="G18" s="2">
        <v>17</v>
      </c>
      <c r="H18" s="2" t="str">
        <v>MCSN01</v>
      </c>
      <c r="I18" s="9" t="str">
        <f t="shared" si="1"/>
        <v>MCSN01_17</v>
      </c>
      <c r="J18" s="10" t="str">
        <f t="shared" si="2"/>
        <v>SSFLAT_MCSN01_20260319_17</v>
      </c>
      <c r="K18" s="10" t="str">
        <f t="shared" si="3"/>
        <v>SSFLAT_MCSN01_20260319_</v>
      </c>
      <c r="L18" t="b">
        <f>IF(ROW()-ROW($L$1)+1 &lt;= 'FILL ME'!$E$3, TRUE, FALSE)</f>
        <v>0</v>
      </c>
      <c r="M18" t="b">
        <f>IF(ROW()-ROW($M$1)+1 &lt;= 'FILL ME'!$E$4, TRUE, FALSE)</f>
        <v>1</v>
      </c>
      <c r="N18" t="b">
        <f>IF(ROW()-ROW($N$1)+1 &lt;= 'FILL ME'!$E$5, TRUE, FALSE)</f>
        <v>1</v>
      </c>
      <c r="O18" t="b">
        <f>IF(ROW()-ROW($O$1)+1 &lt;= 'FILL ME'!$E$6, TRUE, FALSE)</f>
        <v>1</v>
      </c>
      <c r="P18" t="b">
        <f>IF(ROW()-ROW($P$1)+1 &lt;= 'FILL ME'!$E$7, TRUE, FALSE)</f>
        <v>1</v>
      </c>
      <c r="Q18" t="b">
        <f>IF(ROW()-ROW($Q$1)+1 &lt;= 'FILL ME'!$E$8, TRUE, FALSE)</f>
        <v>1</v>
      </c>
      <c r="R18" t="b">
        <f>IF(ROW()-ROW($R$1)+1 &lt;= 'FILL ME'!$E$10, TRUE, FALSE)</f>
        <v>1</v>
      </c>
    </row>
    <row r="19" spans="1:18" x14ac:dyDescent="0.25">
      <c r="A19" s="7" t="str">
        <f>'FILL ME'!$B$8</f>
        <v>Grab</v>
      </c>
      <c r="B19" t="str">
        <f>IF('FILL ME'!$B$3 = "", "", 'FILL ME'!$B$3)</f>
        <v>WWS</v>
      </c>
      <c r="C19" t="str">
        <f>IF('FILL ME'!$B$4 = "", "", 'FILL ME'!$B$4)</f>
        <v>SSFLAT</v>
      </c>
      <c r="D19" s="7" t="str">
        <f>TEXT('FILL ME'!$B$7,"yyyymmdd")</f>
        <v>20260319</v>
      </c>
      <c r="E19" s="8" t="str">
        <f t="shared" si="0"/>
        <v/>
      </c>
      <c r="F19" s="7">
        <f>IF('FILL ME'!$B$8="ISCO",'FILL ME'!$B$7+'FILL ME'!$B$12+('FILL ME'!$B$13*(G19-'FILL ME'!$B$14)),'FILL ME'!$B$7)</f>
        <v>46100</v>
      </c>
      <c r="G19" s="2">
        <v>18</v>
      </c>
      <c r="H19" s="2" t="str">
        <v>MCSN01</v>
      </c>
      <c r="I19" s="9" t="str">
        <f t="shared" si="1"/>
        <v>MCSN01_18</v>
      </c>
      <c r="J19" s="10" t="str">
        <f t="shared" si="2"/>
        <v>SSFLAT_MCSN01_20260319_18</v>
      </c>
      <c r="K19" s="10" t="str">
        <f t="shared" si="3"/>
        <v>SSFLAT_MCSN01_20260319_</v>
      </c>
      <c r="L19" t="b">
        <f>IF(ROW()-ROW($L$1)+1 &lt;= 'FILL ME'!$E$3, TRUE, FALSE)</f>
        <v>0</v>
      </c>
      <c r="M19" t="b">
        <f>IF(ROW()-ROW($M$1)+1 &lt;= 'FILL ME'!$E$4, TRUE, FALSE)</f>
        <v>1</v>
      </c>
      <c r="N19" t="b">
        <f>IF(ROW()-ROW($N$1)+1 &lt;= 'FILL ME'!$E$5, TRUE, FALSE)</f>
        <v>1</v>
      </c>
      <c r="O19" t="b">
        <f>IF(ROW()-ROW($O$1)+1 &lt;= 'FILL ME'!$E$6, TRUE, FALSE)</f>
        <v>1</v>
      </c>
      <c r="P19" t="b">
        <f>IF(ROW()-ROW($P$1)+1 &lt;= 'FILL ME'!$E$7, TRUE, FALSE)</f>
        <v>1</v>
      </c>
      <c r="Q19" t="b">
        <f>IF(ROW()-ROW($Q$1)+1 &lt;= 'FILL ME'!$E$8, TRUE, FALSE)</f>
        <v>1</v>
      </c>
      <c r="R19" t="b">
        <f>IF(ROW()-ROW($R$1)+1 &lt;= 'FILL ME'!$E$10, TRUE, FALSE)</f>
        <v>1</v>
      </c>
    </row>
    <row r="20" spans="1:18" x14ac:dyDescent="0.25">
      <c r="A20" s="7" t="str">
        <f>'FILL ME'!$B$8</f>
        <v>Grab</v>
      </c>
      <c r="B20" t="str">
        <f>IF('FILL ME'!$B$3 = "", "", 'FILL ME'!$B$3)</f>
        <v>WWS</v>
      </c>
      <c r="C20" t="str">
        <f>IF('FILL ME'!$B$4 = "", "", 'FILL ME'!$B$4)</f>
        <v>SSFLAT</v>
      </c>
      <c r="D20" s="7" t="str">
        <f>TEXT('FILL ME'!$B$7,"yyyymmdd")</f>
        <v>20260319</v>
      </c>
      <c r="E20" s="8" t="str">
        <f t="shared" si="0"/>
        <v/>
      </c>
      <c r="F20" s="7">
        <f>IF('FILL ME'!$B$8="ISCO",'FILL ME'!$B$7+'FILL ME'!$B$12+('FILL ME'!$B$13*(G20-'FILL ME'!$B$14)),'FILL ME'!$B$7)</f>
        <v>46100</v>
      </c>
      <c r="G20" s="2">
        <v>19</v>
      </c>
      <c r="H20" s="2" t="str">
        <v>MCSN01</v>
      </c>
      <c r="I20" s="9" t="str">
        <f t="shared" si="1"/>
        <v>MCSN01_19</v>
      </c>
      <c r="J20" s="10" t="str">
        <f t="shared" si="2"/>
        <v>SSFLAT_MCSN01_20260319_19</v>
      </c>
      <c r="K20" s="10" t="str">
        <f t="shared" si="3"/>
        <v>SSFLAT_MCSN01_20260319_</v>
      </c>
      <c r="L20" t="b">
        <f>IF(ROW()-ROW($L$1)+1 &lt;= 'FILL ME'!$E$3, TRUE, FALSE)</f>
        <v>0</v>
      </c>
      <c r="M20" t="b">
        <f>IF(ROW()-ROW($M$1)+1 &lt;= 'FILL ME'!$E$4, TRUE, FALSE)</f>
        <v>1</v>
      </c>
      <c r="N20" t="b">
        <f>IF(ROW()-ROW($N$1)+1 &lt;= 'FILL ME'!$E$5, TRUE, FALSE)</f>
        <v>1</v>
      </c>
      <c r="O20" t="b">
        <f>IF(ROW()-ROW($O$1)+1 &lt;= 'FILL ME'!$E$6, TRUE, FALSE)</f>
        <v>1</v>
      </c>
      <c r="P20" t="b">
        <f>IF(ROW()-ROW($P$1)+1 &lt;= 'FILL ME'!$E$7, TRUE, FALSE)</f>
        <v>1</v>
      </c>
      <c r="Q20" t="b">
        <f>IF(ROW()-ROW($Q$1)+1 &lt;= 'FILL ME'!$E$8, TRUE, FALSE)</f>
        <v>1</v>
      </c>
      <c r="R20" t="b">
        <f>IF(ROW()-ROW($R$1)+1 &lt;= 'FILL ME'!$E$10, TRUE, FALSE)</f>
        <v>1</v>
      </c>
    </row>
    <row r="21" spans="1:18" x14ac:dyDescent="0.25">
      <c r="A21" s="7" t="str">
        <f>'FILL ME'!$B$8</f>
        <v>Grab</v>
      </c>
      <c r="B21" t="str">
        <f>IF('FILL ME'!$B$3 = "", "", 'FILL ME'!$B$3)</f>
        <v>WWS</v>
      </c>
      <c r="C21" t="str">
        <f>IF('FILL ME'!$B$4 = "", "", 'FILL ME'!$B$4)</f>
        <v>SSFLAT</v>
      </c>
      <c r="D21" s="7" t="str">
        <f>TEXT('FILL ME'!$B$7,"yyyymmdd")</f>
        <v>20260319</v>
      </c>
      <c r="E21" s="8" t="str">
        <f t="shared" si="0"/>
        <v/>
      </c>
      <c r="F21" s="7">
        <f>IF('FILL ME'!$B$8="ISCO",'FILL ME'!$B$7+'FILL ME'!$B$12+('FILL ME'!$B$13*(G21-'FILL ME'!$B$14)),'FILL ME'!$B$7)</f>
        <v>46100</v>
      </c>
      <c r="G21" s="2">
        <v>20</v>
      </c>
      <c r="H21" s="2" t="str">
        <v>MCSN01</v>
      </c>
      <c r="I21" s="9" t="str">
        <f t="shared" si="1"/>
        <v>MCSN01_20</v>
      </c>
      <c r="J21" s="10" t="str">
        <f t="shared" si="2"/>
        <v>SSFLAT_MCSN01_20260319_20</v>
      </c>
      <c r="K21" s="10" t="str">
        <f t="shared" si="3"/>
        <v>SSFLAT_MCSN01_20260319_</v>
      </c>
      <c r="L21" t="b">
        <f>IF(ROW()-ROW($L$1)+1 &lt;= 'FILL ME'!$E$3, TRUE, FALSE)</f>
        <v>0</v>
      </c>
      <c r="M21" t="b">
        <f>IF(ROW()-ROW($M$1)+1 &lt;= 'FILL ME'!$E$4, TRUE, FALSE)</f>
        <v>1</v>
      </c>
      <c r="N21" t="b">
        <f>IF(ROW()-ROW($N$1)+1 &lt;= 'FILL ME'!$E$5, TRUE, FALSE)</f>
        <v>1</v>
      </c>
      <c r="O21" t="b">
        <f>IF(ROW()-ROW($O$1)+1 &lt;= 'FILL ME'!$E$6, TRUE, FALSE)</f>
        <v>1</v>
      </c>
      <c r="P21" t="b">
        <f>IF(ROW()-ROW($P$1)+1 &lt;= 'FILL ME'!$E$7, TRUE, FALSE)</f>
        <v>1</v>
      </c>
      <c r="Q21" t="b">
        <f>IF(ROW()-ROW($Q$1)+1 &lt;= 'FILL ME'!$E$8, TRUE, FALSE)</f>
        <v>1</v>
      </c>
      <c r="R21" t="b">
        <f>IF(ROW()-ROW($R$1)+1 &lt;= 'FILL ME'!$E$10, TRUE, FALSE)</f>
        <v>1</v>
      </c>
    </row>
    <row r="22" spans="1:18" x14ac:dyDescent="0.25">
      <c r="A22" s="7" t="str">
        <f>'FILL ME'!$B$8</f>
        <v>Grab</v>
      </c>
      <c r="B22" t="str">
        <f>IF('FILL ME'!$B$3 = "", "", 'FILL ME'!$B$3)</f>
        <v>WWS</v>
      </c>
      <c r="C22" t="str">
        <f>IF('FILL ME'!$B$4 = "", "", 'FILL ME'!$B$4)</f>
        <v>SSFLAT</v>
      </c>
      <c r="D22" s="7" t="str">
        <f>TEXT('FILL ME'!$B$7,"yyyymmdd")</f>
        <v>20260319</v>
      </c>
      <c r="E22" s="8" t="str">
        <f t="shared" si="0"/>
        <v/>
      </c>
      <c r="F22" s="7">
        <f>IF('FILL ME'!$B$8="ISCO",'FILL ME'!$B$7+'FILL ME'!$B$12+('FILL ME'!$B$13*(G22-'FILL ME'!$B$14)),'FILL ME'!$B$7)</f>
        <v>46100</v>
      </c>
      <c r="G22" s="2">
        <v>21</v>
      </c>
      <c r="H22" s="2" t="str">
        <v>MCSN01</v>
      </c>
      <c r="I22" s="9" t="str">
        <f t="shared" si="1"/>
        <v>MCSN01_21</v>
      </c>
      <c r="J22" s="10" t="str">
        <f t="shared" si="2"/>
        <v>SSFLAT_MCSN01_20260319_21</v>
      </c>
      <c r="K22" s="10" t="str">
        <f t="shared" si="3"/>
        <v>SSFLAT_MCSN01_20260319_</v>
      </c>
      <c r="L22" t="b">
        <f>IF(ROW()-ROW($L$1)+1 &lt;= 'FILL ME'!$E$3, TRUE, FALSE)</f>
        <v>0</v>
      </c>
      <c r="M22" t="b">
        <f>IF(ROW()-ROW($M$1)+1 &lt;= 'FILL ME'!$E$4, TRUE, FALSE)</f>
        <v>1</v>
      </c>
      <c r="N22" t="b">
        <f>IF(ROW()-ROW($N$1)+1 &lt;= 'FILL ME'!$E$5, TRUE, FALSE)</f>
        <v>1</v>
      </c>
      <c r="O22" t="b">
        <f>IF(ROW()-ROW($O$1)+1 &lt;= 'FILL ME'!$E$6, TRUE, FALSE)</f>
        <v>1</v>
      </c>
      <c r="P22" t="b">
        <f>IF(ROW()-ROW($P$1)+1 &lt;= 'FILL ME'!$E$7, TRUE, FALSE)</f>
        <v>1</v>
      </c>
      <c r="Q22" t="b">
        <f>IF(ROW()-ROW($Q$1)+1 &lt;= 'FILL ME'!$E$8, TRUE, FALSE)</f>
        <v>1</v>
      </c>
      <c r="R22" t="b">
        <f>IF(ROW()-ROW($R$1)+1 &lt;= 'FILL ME'!$E$10, TRUE, FALSE)</f>
        <v>1</v>
      </c>
    </row>
    <row r="23" spans="1:18" x14ac:dyDescent="0.25">
      <c r="A23" s="7" t="str">
        <f>'FILL ME'!$B$8</f>
        <v>Grab</v>
      </c>
      <c r="B23" t="str">
        <f>IF('FILL ME'!$B$3 = "", "", 'FILL ME'!$B$3)</f>
        <v>WWS</v>
      </c>
      <c r="C23" t="str">
        <f>IF('FILL ME'!$B$4 = "", "", 'FILL ME'!$B$4)</f>
        <v>SSFLAT</v>
      </c>
      <c r="D23" s="7" t="str">
        <f>TEXT('FILL ME'!$B$7,"yyyymmdd")</f>
        <v>20260319</v>
      </c>
      <c r="E23" s="8" t="str">
        <f t="shared" si="0"/>
        <v/>
      </c>
      <c r="F23" s="7">
        <f>IF('FILL ME'!$B$8="ISCO",'FILL ME'!$B$7+'FILL ME'!$B$12+('FILL ME'!$B$13*(G23-'FILL ME'!$B$14)),'FILL ME'!$B$7)</f>
        <v>46100</v>
      </c>
      <c r="G23" s="2">
        <v>22</v>
      </c>
      <c r="H23" s="2" t="str">
        <v>MCSN01</v>
      </c>
      <c r="I23" s="9" t="str">
        <f t="shared" si="1"/>
        <v>MCSN01_22</v>
      </c>
      <c r="J23" s="10" t="str">
        <f t="shared" si="2"/>
        <v>SSFLAT_MCSN01_20260319_22</v>
      </c>
      <c r="K23" s="10" t="str">
        <f t="shared" si="3"/>
        <v>SSFLAT_MCSN01_20260319_</v>
      </c>
      <c r="L23" t="b">
        <f>IF(ROW()-ROW($L$1)+1 &lt;= 'FILL ME'!$E$3, TRUE, FALSE)</f>
        <v>0</v>
      </c>
      <c r="M23" t="b">
        <f>IF(ROW()-ROW($M$1)+1 &lt;= 'FILL ME'!$E$4, TRUE, FALSE)</f>
        <v>1</v>
      </c>
      <c r="N23" t="b">
        <f>IF(ROW()-ROW($N$1)+1 &lt;= 'FILL ME'!$E$5, TRUE, FALSE)</f>
        <v>1</v>
      </c>
      <c r="O23" t="b">
        <f>IF(ROW()-ROW($O$1)+1 &lt;= 'FILL ME'!$E$6, TRUE, FALSE)</f>
        <v>1</v>
      </c>
      <c r="P23" t="b">
        <f>IF(ROW()-ROW($P$1)+1 &lt;= 'FILL ME'!$E$7, TRUE, FALSE)</f>
        <v>1</v>
      </c>
      <c r="Q23" t="b">
        <f>IF(ROW()-ROW($Q$1)+1 &lt;= 'FILL ME'!$E$8, TRUE, FALSE)</f>
        <v>1</v>
      </c>
      <c r="R23" t="b">
        <f>IF(ROW()-ROW($R$1)+1 &lt;= 'FILL ME'!$E$10, TRUE, FALSE)</f>
        <v>1</v>
      </c>
    </row>
    <row r="24" spans="1:18" x14ac:dyDescent="0.25">
      <c r="A24" s="7" t="str">
        <f>'FILL ME'!$B$8</f>
        <v>Grab</v>
      </c>
      <c r="B24" t="str">
        <f>IF('FILL ME'!$B$3 = "", "", 'FILL ME'!$B$3)</f>
        <v>WWS</v>
      </c>
      <c r="C24" t="str">
        <f>IF('FILL ME'!$B$4 = "", "", 'FILL ME'!$B$4)</f>
        <v>SSFLAT</v>
      </c>
      <c r="D24" s="7" t="str">
        <f>TEXT('FILL ME'!$B$7,"yyyymmdd")</f>
        <v>20260319</v>
      </c>
      <c r="E24" s="8" t="str">
        <f t="shared" si="0"/>
        <v/>
      </c>
      <c r="F24" s="7">
        <f>IF('FILL ME'!$B$8="ISCO",'FILL ME'!$B$7+'FILL ME'!$B$12+('FILL ME'!$B$13*(G24-'FILL ME'!$B$14)),'FILL ME'!$B$7)</f>
        <v>46100</v>
      </c>
      <c r="G24" s="2">
        <v>23</v>
      </c>
      <c r="H24" s="2" t="str">
        <v>MCSN01</v>
      </c>
      <c r="I24" s="9" t="str">
        <f t="shared" si="1"/>
        <v>MCSN01_23</v>
      </c>
      <c r="J24" s="10" t="str">
        <f t="shared" si="2"/>
        <v>SSFLAT_MCSN01_20260319_23</v>
      </c>
      <c r="K24" s="10" t="str">
        <f t="shared" si="3"/>
        <v>SSFLAT_MCSN01_20260319_</v>
      </c>
      <c r="L24" t="b">
        <f>IF(ROW()-ROW($L$1)+1 &lt;= 'FILL ME'!$E$3, TRUE, FALSE)</f>
        <v>0</v>
      </c>
      <c r="M24" t="b">
        <f>IF(ROW()-ROW($M$1)+1 &lt;= 'FILL ME'!$E$4, TRUE, FALSE)</f>
        <v>1</v>
      </c>
      <c r="N24" t="b">
        <f>IF(ROW()-ROW($N$1)+1 &lt;= 'FILL ME'!$E$5, TRUE, FALSE)</f>
        <v>1</v>
      </c>
      <c r="O24" t="b">
        <f>IF(ROW()-ROW($O$1)+1 &lt;= 'FILL ME'!$E$6, TRUE, FALSE)</f>
        <v>1</v>
      </c>
      <c r="P24" t="b">
        <f>IF(ROW()-ROW($P$1)+1 &lt;= 'FILL ME'!$E$7, TRUE, FALSE)</f>
        <v>1</v>
      </c>
      <c r="Q24" t="b">
        <f>IF(ROW()-ROW($Q$1)+1 &lt;= 'FILL ME'!$E$8, TRUE, FALSE)</f>
        <v>1</v>
      </c>
      <c r="R24" t="b">
        <f>IF(ROW()-ROW($R$1)+1 &lt;= 'FILL ME'!$E$10, TRUE, FALSE)</f>
        <v>1</v>
      </c>
    </row>
    <row r="25" spans="1:18" x14ac:dyDescent="0.25">
      <c r="A25" s="7" t="str">
        <f>'FILL ME'!$B$8</f>
        <v>Grab</v>
      </c>
      <c r="B25" t="str">
        <f>IF('FILL ME'!$B$3 = "", "", 'FILL ME'!$B$3)</f>
        <v>WWS</v>
      </c>
      <c r="C25" t="str">
        <f>IF('FILL ME'!$B$4 = "", "", 'FILL ME'!$B$4)</f>
        <v>SSFLAT</v>
      </c>
      <c r="D25" s="7" t="str">
        <f>TEXT('FILL ME'!$B$7,"yyyymmdd")</f>
        <v>20260319</v>
      </c>
      <c r="E25" s="8" t="str">
        <f t="shared" si="0"/>
        <v/>
      </c>
      <c r="F25" s="7">
        <f>IF('FILL ME'!$B$8="ISCO",'FILL ME'!$B$7+'FILL ME'!$B$12+('FILL ME'!$B$13*(G25-'FILL ME'!$B$14)),'FILL ME'!$B$7)</f>
        <v>46100</v>
      </c>
      <c r="G25" s="2">
        <v>24</v>
      </c>
      <c r="H25" s="2" t="str">
        <v>MCSN01</v>
      </c>
      <c r="I25" s="9" t="str">
        <f t="shared" si="1"/>
        <v>MCSN01_24</v>
      </c>
      <c r="J25" s="10" t="str">
        <f t="shared" si="2"/>
        <v>SSFLAT_MCSN01_20260319_24</v>
      </c>
      <c r="K25" s="10" t="str">
        <f t="shared" si="3"/>
        <v>SSFLAT_MCSN01_20260319_</v>
      </c>
      <c r="L25" t="b">
        <f>IF(ROW()-ROW($L$1)+1 &lt;= 'FILL ME'!$E$3, TRUE, FALSE)</f>
        <v>0</v>
      </c>
      <c r="M25" t="b">
        <f>IF(ROW()-ROW($M$1)+1 &lt;= 'FILL ME'!$E$4, TRUE, FALSE)</f>
        <v>1</v>
      </c>
      <c r="N25" t="b">
        <f>IF(ROW()-ROW($N$1)+1 &lt;= 'FILL ME'!$E$5, TRUE, FALSE)</f>
        <v>1</v>
      </c>
      <c r="O25" t="b">
        <f>IF(ROW()-ROW($O$1)+1 &lt;= 'FILL ME'!$E$6, TRUE, FALSE)</f>
        <v>1</v>
      </c>
      <c r="P25" t="b">
        <f>IF(ROW()-ROW($P$1)+1 &lt;= 'FILL ME'!$E$7, TRUE, FALSE)</f>
        <v>1</v>
      </c>
      <c r="Q25" t="b">
        <f>IF(ROW()-ROW($Q$1)+1 &lt;= 'FILL ME'!$E$8, TRUE, FALSE)</f>
        <v>1</v>
      </c>
      <c r="R25" t="b">
        <f>IF(ROW()-ROW($R$1)+1 &lt;= 'FILL ME'!$E$10, TRUE, FALSE)</f>
        <v>1</v>
      </c>
    </row>
    <row r="26" spans="1:18" x14ac:dyDescent="0.25">
      <c r="A26" s="7" t="str">
        <f>'FILL ME'!$B$8</f>
        <v>Grab</v>
      </c>
      <c r="B26" t="str">
        <f>IF('FILL ME'!$B$3 = "", "", 'FILL ME'!$B$3)</f>
        <v>WWS</v>
      </c>
      <c r="C26" t="str">
        <f>IF('FILL ME'!$B$4 = "", "", 'FILL ME'!$B$4)</f>
        <v>SSFLAT</v>
      </c>
      <c r="D26" s="7" t="str">
        <f>TEXT('FILL ME'!$B$7,"yyyymmdd")</f>
        <v>20260319</v>
      </c>
      <c r="E26" s="8" t="str">
        <f t="shared" si="0"/>
        <v/>
      </c>
      <c r="F26" s="7">
        <f>IF('FILL ME'!$B$8="ISCO",'FILL ME'!$B$7+'FILL ME'!$B$12+('FILL ME'!$B$13*(G26-'FILL ME'!$B$14)),'FILL ME'!$B$7)</f>
        <v>46100</v>
      </c>
      <c r="G26" s="2">
        <v>1</v>
      </c>
      <c r="H26" s="2" t="str">
        <v>MCSN02</v>
      </c>
      <c r="I26" s="9" t="str">
        <f t="shared" si="1"/>
        <v>MCSN02_01</v>
      </c>
      <c r="J26" s="10" t="str">
        <f t="shared" si="2"/>
        <v>SSFLAT_MCSN02_20260319_01</v>
      </c>
      <c r="K26" s="10" t="str">
        <f t="shared" si="3"/>
        <v>SSFLAT_MCSN02_20260319_</v>
      </c>
      <c r="L26" t="b">
        <f>IF(ROW()-ROW($L$1)+1 &lt;= 'FILL ME'!$E$3, TRUE, FALSE)</f>
        <v>0</v>
      </c>
      <c r="M26" t="b">
        <f>IF(ROW()-ROW($M$1)+1 &lt;= 'FILL ME'!$E$4, TRUE, FALSE)</f>
        <v>1</v>
      </c>
      <c r="N26" t="b">
        <f>IF(ROW()-ROW($N$1)+1 &lt;= 'FILL ME'!$E$5, TRUE, FALSE)</f>
        <v>1</v>
      </c>
      <c r="O26" t="b">
        <f>IF(ROW()-ROW($O$1)+1 &lt;= 'FILL ME'!$E$6, TRUE, FALSE)</f>
        <v>1</v>
      </c>
      <c r="P26" t="b">
        <f>IF(ROW()-ROW($P$1)+1 &lt;= 'FILL ME'!$E$7, TRUE, FALSE)</f>
        <v>1</v>
      </c>
      <c r="Q26" t="b">
        <f>IF(ROW()-ROW($Q$1)+1 &lt;= 'FILL ME'!$E$8, TRUE, FALSE)</f>
        <v>1</v>
      </c>
      <c r="R26" t="b">
        <f>IF(ROW()-ROW($R$1)+1 &lt;= 'FILL ME'!$E$10, TRUE, FALSE)</f>
        <v>1</v>
      </c>
    </row>
    <row r="27" spans="1:18" x14ac:dyDescent="0.25">
      <c r="A27" s="7" t="str">
        <f>'FILL ME'!$B$8</f>
        <v>Grab</v>
      </c>
      <c r="B27" t="str">
        <f>IF('FILL ME'!$B$3 = "", "", 'FILL ME'!$B$3)</f>
        <v>WWS</v>
      </c>
      <c r="C27" t="str">
        <f>IF('FILL ME'!$B$4 = "", "", 'FILL ME'!$B$4)</f>
        <v>SSFLAT</v>
      </c>
      <c r="D27" s="7" t="str">
        <f>TEXT('FILL ME'!$B$7,"yyyymmdd")</f>
        <v>20260319</v>
      </c>
      <c r="E27" s="8" t="str">
        <f t="shared" si="0"/>
        <v/>
      </c>
      <c r="F27" s="7">
        <f>IF('FILL ME'!$B$8="ISCO",'FILL ME'!$B$7+'FILL ME'!$B$12+('FILL ME'!$B$13*(G27-'FILL ME'!$B$14)),'FILL ME'!$B$7)</f>
        <v>46100</v>
      </c>
      <c r="G27" s="2">
        <v>2</v>
      </c>
      <c r="H27" s="2" t="str">
        <v>MCSN02</v>
      </c>
      <c r="I27" s="9" t="str">
        <f t="shared" si="1"/>
        <v>MCSN02_02</v>
      </c>
      <c r="J27" s="10" t="str">
        <f t="shared" si="2"/>
        <v>SSFLAT_MCSN02_20260319_02</v>
      </c>
      <c r="K27" s="10" t="str">
        <f t="shared" si="3"/>
        <v>SSFLAT_MCSN02_20260319_</v>
      </c>
      <c r="L27" t="b">
        <f>IF(ROW()-ROW($L$1)+1 &lt;= 'FILL ME'!$E$3, TRUE, FALSE)</f>
        <v>0</v>
      </c>
      <c r="M27" t="b">
        <f>IF(ROW()-ROW($M$1)+1 &lt;= 'FILL ME'!$E$4, TRUE, FALSE)</f>
        <v>1</v>
      </c>
      <c r="N27" t="b">
        <f>IF(ROW()-ROW($N$1)+1 &lt;= 'FILL ME'!$E$5, TRUE, FALSE)</f>
        <v>1</v>
      </c>
      <c r="O27" t="b">
        <f>IF(ROW()-ROW($O$1)+1 &lt;= 'FILL ME'!$E$6, TRUE, FALSE)</f>
        <v>1</v>
      </c>
      <c r="P27" t="b">
        <f>IF(ROW()-ROW($P$1)+1 &lt;= 'FILL ME'!$E$7, TRUE, FALSE)</f>
        <v>1</v>
      </c>
      <c r="Q27" t="b">
        <f>IF(ROW()-ROW($Q$1)+1 &lt;= 'FILL ME'!$E$8, TRUE, FALSE)</f>
        <v>1</v>
      </c>
      <c r="R27" t="b">
        <f>IF(ROW()-ROW($R$1)+1 &lt;= 'FILL ME'!$E$10, TRUE, FALSE)</f>
        <v>1</v>
      </c>
    </row>
    <row r="28" spans="1:18" x14ac:dyDescent="0.25">
      <c r="A28" s="7" t="str">
        <f>'FILL ME'!$B$8</f>
        <v>Grab</v>
      </c>
      <c r="B28" t="str">
        <f>IF('FILL ME'!$B$3 = "", "", 'FILL ME'!$B$3)</f>
        <v>WWS</v>
      </c>
      <c r="C28" t="str">
        <f>IF('FILL ME'!$B$4 = "", "", 'FILL ME'!$B$4)</f>
        <v>SSFLAT</v>
      </c>
      <c r="D28" s="7" t="str">
        <f>TEXT('FILL ME'!$B$7,"yyyymmdd")</f>
        <v>20260319</v>
      </c>
      <c r="E28" s="8" t="str">
        <f t="shared" si="0"/>
        <v/>
      </c>
      <c r="F28" s="7">
        <f>IF('FILL ME'!$B$8="ISCO",'FILL ME'!$B$7+'FILL ME'!$B$12+('FILL ME'!$B$13*(G28-'FILL ME'!$B$14)),'FILL ME'!$B$7)</f>
        <v>46100</v>
      </c>
      <c r="G28" s="2">
        <v>3</v>
      </c>
      <c r="H28" s="2" t="str">
        <v>MCSN02</v>
      </c>
      <c r="I28" s="9" t="str">
        <f t="shared" si="1"/>
        <v>MCSN02_03</v>
      </c>
      <c r="J28" s="10" t="str">
        <f t="shared" si="2"/>
        <v>SSFLAT_MCSN02_20260319_03</v>
      </c>
      <c r="K28" s="10" t="str">
        <f t="shared" si="3"/>
        <v>SSFLAT_MCSN02_20260319_</v>
      </c>
      <c r="L28" t="b">
        <f>IF(ROW()-ROW($L$1)+1 &lt;= 'FILL ME'!$E$3, TRUE, FALSE)</f>
        <v>0</v>
      </c>
      <c r="M28" t="b">
        <f>IF(ROW()-ROW($M$1)+1 &lt;= 'FILL ME'!$E$4, TRUE, FALSE)</f>
        <v>1</v>
      </c>
      <c r="N28" t="b">
        <f>IF(ROW()-ROW($N$1)+1 &lt;= 'FILL ME'!$E$5, TRUE, FALSE)</f>
        <v>1</v>
      </c>
      <c r="O28" t="b">
        <f>IF(ROW()-ROW($O$1)+1 &lt;= 'FILL ME'!$E$6, TRUE, FALSE)</f>
        <v>1</v>
      </c>
      <c r="P28" t="b">
        <f>IF(ROW()-ROW($P$1)+1 &lt;= 'FILL ME'!$E$7, TRUE, FALSE)</f>
        <v>1</v>
      </c>
      <c r="Q28" t="b">
        <f>IF(ROW()-ROW($Q$1)+1 &lt;= 'FILL ME'!$E$8, TRUE, FALSE)</f>
        <v>1</v>
      </c>
      <c r="R28" t="b">
        <f>IF(ROW()-ROW($R$1)+1 &lt;= 'FILL ME'!$E$10, TRUE, FALSE)</f>
        <v>1</v>
      </c>
    </row>
    <row r="29" spans="1:18" x14ac:dyDescent="0.25">
      <c r="A29" s="7" t="str">
        <f>'FILL ME'!$B$8</f>
        <v>Grab</v>
      </c>
      <c r="B29" t="str">
        <f>IF('FILL ME'!$B$3 = "", "", 'FILL ME'!$B$3)</f>
        <v>WWS</v>
      </c>
      <c r="C29" t="str">
        <f>IF('FILL ME'!$B$4 = "", "", 'FILL ME'!$B$4)</f>
        <v>SSFLAT</v>
      </c>
      <c r="D29" s="7" t="str">
        <f>TEXT('FILL ME'!$B$7,"yyyymmdd")</f>
        <v>20260319</v>
      </c>
      <c r="E29" s="8" t="str">
        <f t="shared" si="0"/>
        <v/>
      </c>
      <c r="F29" s="7">
        <f>IF('FILL ME'!$B$8="ISCO",'FILL ME'!$B$7+'FILL ME'!$B$12+('FILL ME'!$B$13*(G29-'FILL ME'!$B$14)),'FILL ME'!$B$7)</f>
        <v>46100</v>
      </c>
      <c r="G29" s="2">
        <v>4</v>
      </c>
      <c r="H29" s="2" t="str">
        <v>MCSN02</v>
      </c>
      <c r="I29" s="9" t="str">
        <f t="shared" si="1"/>
        <v>MCSN02_04</v>
      </c>
      <c r="J29" s="10" t="str">
        <f t="shared" si="2"/>
        <v>SSFLAT_MCSN02_20260319_04</v>
      </c>
      <c r="K29" s="10" t="str">
        <f t="shared" si="3"/>
        <v>SSFLAT_MCSN02_20260319_</v>
      </c>
      <c r="L29" t="b">
        <f>IF(ROW()-ROW($L$1)+1 &lt;= 'FILL ME'!$E$3, TRUE, FALSE)</f>
        <v>0</v>
      </c>
      <c r="M29" t="b">
        <f>IF(ROW()-ROW($M$1)+1 &lt;= 'FILL ME'!$E$4, TRUE, FALSE)</f>
        <v>1</v>
      </c>
      <c r="N29" t="b">
        <f>IF(ROW()-ROW($N$1)+1 &lt;= 'FILL ME'!$E$5, TRUE, FALSE)</f>
        <v>1</v>
      </c>
      <c r="O29" t="b">
        <f>IF(ROW()-ROW($O$1)+1 &lt;= 'FILL ME'!$E$6, TRUE, FALSE)</f>
        <v>1</v>
      </c>
      <c r="P29" t="b">
        <f>IF(ROW()-ROW($P$1)+1 &lt;= 'FILL ME'!$E$7, TRUE, FALSE)</f>
        <v>1</v>
      </c>
      <c r="Q29" t="b">
        <f>IF(ROW()-ROW($Q$1)+1 &lt;= 'FILL ME'!$E$8, TRUE, FALSE)</f>
        <v>1</v>
      </c>
      <c r="R29" t="b">
        <f>IF(ROW()-ROW($R$1)+1 &lt;= 'FILL ME'!$E$10, TRUE, FALSE)</f>
        <v>1</v>
      </c>
    </row>
    <row r="30" spans="1:18" x14ac:dyDescent="0.25">
      <c r="A30" s="7" t="str">
        <f>'FILL ME'!$B$8</f>
        <v>Grab</v>
      </c>
      <c r="B30" t="str">
        <f>IF('FILL ME'!$B$3 = "", "", 'FILL ME'!$B$3)</f>
        <v>WWS</v>
      </c>
      <c r="C30" t="str">
        <f>IF('FILL ME'!$B$4 = "", "", 'FILL ME'!$B$4)</f>
        <v>SSFLAT</v>
      </c>
      <c r="D30" s="7" t="str">
        <f>TEXT('FILL ME'!$B$7,"yyyymmdd")</f>
        <v>20260319</v>
      </c>
      <c r="E30" s="8" t="str">
        <f t="shared" si="0"/>
        <v/>
      </c>
      <c r="F30" s="7">
        <f>IF('FILL ME'!$B$8="ISCO",'FILL ME'!$B$7+'FILL ME'!$B$12+('FILL ME'!$B$13*(G30-'FILL ME'!$B$14)),'FILL ME'!$B$7)</f>
        <v>46100</v>
      </c>
      <c r="G30" s="2">
        <v>5</v>
      </c>
      <c r="H30" s="2" t="str">
        <v>MCSN02</v>
      </c>
      <c r="I30" s="9" t="str">
        <f t="shared" si="1"/>
        <v>MCSN02_05</v>
      </c>
      <c r="J30" s="10" t="str">
        <f t="shared" si="2"/>
        <v>SSFLAT_MCSN02_20260319_05</v>
      </c>
      <c r="K30" s="10" t="str">
        <f t="shared" si="3"/>
        <v>SSFLAT_MCSN02_20260319_</v>
      </c>
      <c r="L30" t="b">
        <f>IF(ROW()-ROW($L$1)+1 &lt;= 'FILL ME'!$E$3, TRUE, FALSE)</f>
        <v>0</v>
      </c>
      <c r="M30" t="b">
        <f>IF(ROW()-ROW($M$1)+1 &lt;= 'FILL ME'!$E$4, TRUE, FALSE)</f>
        <v>1</v>
      </c>
      <c r="N30" t="b">
        <f>IF(ROW()-ROW($N$1)+1 &lt;= 'FILL ME'!$E$5, TRUE, FALSE)</f>
        <v>1</v>
      </c>
      <c r="O30" t="b">
        <f>IF(ROW()-ROW($O$1)+1 &lt;= 'FILL ME'!$E$6, TRUE, FALSE)</f>
        <v>1</v>
      </c>
      <c r="P30" t="b">
        <f>IF(ROW()-ROW($P$1)+1 &lt;= 'FILL ME'!$E$7, TRUE, FALSE)</f>
        <v>1</v>
      </c>
      <c r="Q30" t="b">
        <f>IF(ROW()-ROW($Q$1)+1 &lt;= 'FILL ME'!$E$8, TRUE, FALSE)</f>
        <v>1</v>
      </c>
      <c r="R30" t="b">
        <f>IF(ROW()-ROW($R$1)+1 &lt;= 'FILL ME'!$E$10, TRUE, FALSE)</f>
        <v>1</v>
      </c>
    </row>
    <row r="31" spans="1:18" x14ac:dyDescent="0.25">
      <c r="A31" s="7" t="str">
        <f>'FILL ME'!$B$8</f>
        <v>Grab</v>
      </c>
      <c r="B31" t="str">
        <f>IF('FILL ME'!$B$3 = "", "", 'FILL ME'!$B$3)</f>
        <v>WWS</v>
      </c>
      <c r="C31" t="str">
        <f>IF('FILL ME'!$B$4 = "", "", 'FILL ME'!$B$4)</f>
        <v>SSFLAT</v>
      </c>
      <c r="D31" s="7" t="str">
        <f>TEXT('FILL ME'!$B$7,"yyyymmdd")</f>
        <v>20260319</v>
      </c>
      <c r="E31" s="8" t="str">
        <f t="shared" si="0"/>
        <v/>
      </c>
      <c r="F31" s="7">
        <f>IF('FILL ME'!$B$8="ISCO",'FILL ME'!$B$7+'FILL ME'!$B$12+('FILL ME'!$B$13*(G31-'FILL ME'!$B$14)),'FILL ME'!$B$7)</f>
        <v>46100</v>
      </c>
      <c r="G31" s="2">
        <v>6</v>
      </c>
      <c r="H31" s="2" t="str">
        <v>MCSN02</v>
      </c>
      <c r="I31" s="9" t="str">
        <f t="shared" si="1"/>
        <v>MCSN02_06</v>
      </c>
      <c r="J31" s="10" t="str">
        <f t="shared" si="2"/>
        <v>SSFLAT_MCSN02_20260319_06</v>
      </c>
      <c r="K31" s="10" t="str">
        <f t="shared" si="3"/>
        <v>SSFLAT_MCSN02_20260319_</v>
      </c>
      <c r="L31" t="b">
        <f>IF(ROW()-ROW($L$1)+1 &lt;= 'FILL ME'!$E$3, TRUE, FALSE)</f>
        <v>0</v>
      </c>
      <c r="M31" t="b">
        <f>IF(ROW()-ROW($M$1)+1 &lt;= 'FILL ME'!$E$4, TRUE, FALSE)</f>
        <v>1</v>
      </c>
      <c r="N31" t="b">
        <f>IF(ROW()-ROW($N$1)+1 &lt;= 'FILL ME'!$E$5, TRUE, FALSE)</f>
        <v>1</v>
      </c>
      <c r="O31" t="b">
        <f>IF(ROW()-ROW($O$1)+1 &lt;= 'FILL ME'!$E$6, TRUE, FALSE)</f>
        <v>1</v>
      </c>
      <c r="P31" t="b">
        <f>IF(ROW()-ROW($P$1)+1 &lt;= 'FILL ME'!$E$7, TRUE, FALSE)</f>
        <v>1</v>
      </c>
      <c r="Q31" t="b">
        <f>IF(ROW()-ROW($Q$1)+1 &lt;= 'FILL ME'!$E$8, TRUE, FALSE)</f>
        <v>1</v>
      </c>
      <c r="R31" t="b">
        <f>IF(ROW()-ROW($R$1)+1 &lt;= 'FILL ME'!$E$10, TRUE, FALSE)</f>
        <v>1</v>
      </c>
    </row>
    <row r="32" spans="1:18" x14ac:dyDescent="0.25">
      <c r="A32" s="7" t="str">
        <f>'FILL ME'!$B$8</f>
        <v>Grab</v>
      </c>
      <c r="B32" t="str">
        <f>IF('FILL ME'!$B$3 = "", "", 'FILL ME'!$B$3)</f>
        <v>WWS</v>
      </c>
      <c r="C32" t="str">
        <f>IF('FILL ME'!$B$4 = "", "", 'FILL ME'!$B$4)</f>
        <v>SSFLAT</v>
      </c>
      <c r="D32" s="7" t="str">
        <f>TEXT('FILL ME'!$B$7,"yyyymmdd")</f>
        <v>20260319</v>
      </c>
      <c r="E32" s="8" t="str">
        <f t="shared" si="0"/>
        <v/>
      </c>
      <c r="F32" s="7">
        <f>IF('FILL ME'!$B$8="ISCO",'FILL ME'!$B$7+'FILL ME'!$B$12+('FILL ME'!$B$13*(G32-'FILL ME'!$B$14)),'FILL ME'!$B$7)</f>
        <v>46100</v>
      </c>
      <c r="G32" s="2">
        <v>7</v>
      </c>
      <c r="H32" s="2" t="str">
        <v>MCSN02</v>
      </c>
      <c r="I32" s="9" t="str">
        <f t="shared" si="1"/>
        <v>MCSN02_07</v>
      </c>
      <c r="J32" s="10" t="str">
        <f t="shared" si="2"/>
        <v>SSFLAT_MCSN02_20260319_07</v>
      </c>
      <c r="K32" s="10" t="str">
        <f t="shared" si="3"/>
        <v>SSFLAT_MCSN02_20260319_</v>
      </c>
      <c r="L32" t="b">
        <f>IF(ROW()-ROW($L$1)+1 &lt;= 'FILL ME'!$E$3, TRUE, FALSE)</f>
        <v>0</v>
      </c>
      <c r="M32" t="b">
        <f>IF(ROW()-ROW($M$1)+1 &lt;= 'FILL ME'!$E$4, TRUE, FALSE)</f>
        <v>1</v>
      </c>
      <c r="N32" t="b">
        <f>IF(ROW()-ROW($N$1)+1 &lt;= 'FILL ME'!$E$5, TRUE, FALSE)</f>
        <v>1</v>
      </c>
      <c r="O32" t="b">
        <f>IF(ROW()-ROW($O$1)+1 &lt;= 'FILL ME'!$E$6, TRUE, FALSE)</f>
        <v>1</v>
      </c>
      <c r="P32" t="b">
        <f>IF(ROW()-ROW($P$1)+1 &lt;= 'FILL ME'!$E$7, TRUE, FALSE)</f>
        <v>1</v>
      </c>
      <c r="Q32" t="b">
        <f>IF(ROW()-ROW($Q$1)+1 &lt;= 'FILL ME'!$E$8, TRUE, FALSE)</f>
        <v>1</v>
      </c>
      <c r="R32" t="b">
        <f>IF(ROW()-ROW($R$1)+1 &lt;= 'FILL ME'!$E$10, TRUE, FALSE)</f>
        <v>1</v>
      </c>
    </row>
    <row r="33" spans="1:18" x14ac:dyDescent="0.25">
      <c r="A33" s="7" t="str">
        <f>'FILL ME'!$B$8</f>
        <v>Grab</v>
      </c>
      <c r="B33" t="str">
        <f>IF('FILL ME'!$B$3 = "", "", 'FILL ME'!$B$3)</f>
        <v>WWS</v>
      </c>
      <c r="C33" t="str">
        <f>IF('FILL ME'!$B$4 = "", "", 'FILL ME'!$B$4)</f>
        <v>SSFLAT</v>
      </c>
      <c r="D33" s="7" t="str">
        <f>TEXT('FILL ME'!$B$7,"yyyymmdd")</f>
        <v>20260319</v>
      </c>
      <c r="E33" s="8" t="str">
        <f t="shared" si="0"/>
        <v/>
      </c>
      <c r="F33" s="7">
        <f>IF('FILL ME'!$B$8="ISCO",'FILL ME'!$B$7+'FILL ME'!$B$12+('FILL ME'!$B$13*(G33-'FILL ME'!$B$14)),'FILL ME'!$B$7)</f>
        <v>46100</v>
      </c>
      <c r="G33" s="2">
        <v>8</v>
      </c>
      <c r="H33" s="2" t="str">
        <v>MCSN02</v>
      </c>
      <c r="I33" s="9" t="str">
        <f t="shared" si="1"/>
        <v>MCSN02_08</v>
      </c>
      <c r="J33" s="10" t="str">
        <f t="shared" si="2"/>
        <v>SSFLAT_MCSN02_20260319_08</v>
      </c>
      <c r="K33" s="10" t="str">
        <f t="shared" si="3"/>
        <v>SSFLAT_MCSN02_20260319_</v>
      </c>
      <c r="L33" t="b">
        <f>IF(ROW()-ROW($L$1)+1 &lt;= 'FILL ME'!$E$3, TRUE, FALSE)</f>
        <v>0</v>
      </c>
      <c r="M33" t="b">
        <f>IF(ROW()-ROW($M$1)+1 &lt;= 'FILL ME'!$E$4, TRUE, FALSE)</f>
        <v>1</v>
      </c>
      <c r="N33" t="b">
        <f>IF(ROW()-ROW($N$1)+1 &lt;= 'FILL ME'!$E$5, TRUE, FALSE)</f>
        <v>1</v>
      </c>
      <c r="O33" t="b">
        <f>IF(ROW()-ROW($O$1)+1 &lt;= 'FILL ME'!$E$6, TRUE, FALSE)</f>
        <v>1</v>
      </c>
      <c r="P33" t="b">
        <f>IF(ROW()-ROW($P$1)+1 &lt;= 'FILL ME'!$E$7, TRUE, FALSE)</f>
        <v>1</v>
      </c>
      <c r="Q33" t="b">
        <f>IF(ROW()-ROW($Q$1)+1 &lt;= 'FILL ME'!$E$8, TRUE, FALSE)</f>
        <v>1</v>
      </c>
      <c r="R33" t="b">
        <f>IF(ROW()-ROW($R$1)+1 &lt;= 'FILL ME'!$E$10, TRUE, FALSE)</f>
        <v>1</v>
      </c>
    </row>
    <row r="34" spans="1:18" x14ac:dyDescent="0.25">
      <c r="A34" s="7" t="str">
        <f>'FILL ME'!$B$8</f>
        <v>Grab</v>
      </c>
      <c r="B34" t="str">
        <f>IF('FILL ME'!$B$3 = "", "", 'FILL ME'!$B$3)</f>
        <v>WWS</v>
      </c>
      <c r="C34" t="str">
        <f>IF('FILL ME'!$B$4 = "", "", 'FILL ME'!$B$4)</f>
        <v>SSFLAT</v>
      </c>
      <c r="D34" s="7" t="str">
        <f>TEXT('FILL ME'!$B$7,"yyyymmdd")</f>
        <v>20260319</v>
      </c>
      <c r="E34" s="8" t="str">
        <f t="shared" si="0"/>
        <v/>
      </c>
      <c r="F34" s="7">
        <f>IF('FILL ME'!$B$8="ISCO",'FILL ME'!$B$7+'FILL ME'!$B$12+('FILL ME'!$B$13*(G34-'FILL ME'!$B$14)),'FILL ME'!$B$7)</f>
        <v>46100</v>
      </c>
      <c r="G34" s="2">
        <v>9</v>
      </c>
      <c r="H34" s="2" t="str">
        <v>MCSN02</v>
      </c>
      <c r="I34" s="9" t="str">
        <f t="shared" si="1"/>
        <v>MCSN02_09</v>
      </c>
      <c r="J34" s="10" t="str">
        <f t="shared" si="2"/>
        <v>SSFLAT_MCSN02_20260319_09</v>
      </c>
      <c r="K34" s="10" t="str">
        <f t="shared" si="3"/>
        <v>SSFLAT_MCSN02_20260319_</v>
      </c>
      <c r="L34" t="b">
        <f>IF(ROW()-ROW($L$1)+1 &lt;= 'FILL ME'!$E$3, TRUE, FALSE)</f>
        <v>0</v>
      </c>
      <c r="M34" t="b">
        <f>IF(ROW()-ROW($M$1)+1 &lt;= 'FILL ME'!$E$4, TRUE, FALSE)</f>
        <v>1</v>
      </c>
      <c r="N34" t="b">
        <f>IF(ROW()-ROW($N$1)+1 &lt;= 'FILL ME'!$E$5, TRUE, FALSE)</f>
        <v>1</v>
      </c>
      <c r="O34" t="b">
        <f>IF(ROW()-ROW($O$1)+1 &lt;= 'FILL ME'!$E$6, TRUE, FALSE)</f>
        <v>1</v>
      </c>
      <c r="P34" t="b">
        <f>IF(ROW()-ROW($P$1)+1 &lt;= 'FILL ME'!$E$7, TRUE, FALSE)</f>
        <v>1</v>
      </c>
      <c r="Q34" t="b">
        <f>IF(ROW()-ROW($Q$1)+1 &lt;= 'FILL ME'!$E$8, TRUE, FALSE)</f>
        <v>1</v>
      </c>
      <c r="R34" t="b">
        <f>IF(ROW()-ROW($R$1)+1 &lt;= 'FILL ME'!$E$10, TRUE, FALSE)</f>
        <v>1</v>
      </c>
    </row>
    <row r="35" spans="1:18" x14ac:dyDescent="0.25">
      <c r="A35" s="7" t="str">
        <f>'FILL ME'!$B$8</f>
        <v>Grab</v>
      </c>
      <c r="B35" t="str">
        <f>IF('FILL ME'!$B$3 = "", "", 'FILL ME'!$B$3)</f>
        <v>WWS</v>
      </c>
      <c r="C35" t="str">
        <f>IF('FILL ME'!$B$4 = "", "", 'FILL ME'!$B$4)</f>
        <v>SSFLAT</v>
      </c>
      <c r="D35" s="7" t="str">
        <f>TEXT('FILL ME'!$B$7,"yyyymmdd")</f>
        <v>20260319</v>
      </c>
      <c r="E35" s="8" t="str">
        <f t="shared" si="0"/>
        <v/>
      </c>
      <c r="F35" s="7">
        <f>IF('FILL ME'!$B$8="ISCO",'FILL ME'!$B$7+'FILL ME'!$B$12+('FILL ME'!$B$13*(G35-'FILL ME'!$B$14)),'FILL ME'!$B$7)</f>
        <v>46100</v>
      </c>
      <c r="G35" s="2">
        <v>10</v>
      </c>
      <c r="H35" s="2" t="str">
        <v>MCSN02</v>
      </c>
      <c r="I35" s="9" t="str">
        <f t="shared" si="1"/>
        <v>MCSN02_10</v>
      </c>
      <c r="J35" s="10" t="str">
        <f t="shared" si="2"/>
        <v>SSFLAT_MCSN02_20260319_10</v>
      </c>
      <c r="K35" s="10" t="str">
        <f t="shared" si="3"/>
        <v>SSFLAT_MCSN02_20260319_</v>
      </c>
      <c r="L35" t="b">
        <f>IF(ROW()-ROW($L$1)+1 &lt;= 'FILL ME'!$E$3, TRUE, FALSE)</f>
        <v>0</v>
      </c>
      <c r="M35" t="b">
        <f>IF(ROW()-ROW($M$1)+1 &lt;= 'FILL ME'!$E$4, TRUE, FALSE)</f>
        <v>1</v>
      </c>
      <c r="N35" t="b">
        <f>IF(ROW()-ROW($N$1)+1 &lt;= 'FILL ME'!$E$5, TRUE, FALSE)</f>
        <v>1</v>
      </c>
      <c r="O35" t="b">
        <f>IF(ROW()-ROW($O$1)+1 &lt;= 'FILL ME'!$E$6, TRUE, FALSE)</f>
        <v>1</v>
      </c>
      <c r="P35" t="b">
        <f>IF(ROW()-ROW($P$1)+1 &lt;= 'FILL ME'!$E$7, TRUE, FALSE)</f>
        <v>1</v>
      </c>
      <c r="Q35" t="b">
        <f>IF(ROW()-ROW($Q$1)+1 &lt;= 'FILL ME'!$E$8, TRUE, FALSE)</f>
        <v>1</v>
      </c>
      <c r="R35" t="b">
        <f>IF(ROW()-ROW($R$1)+1 &lt;= 'FILL ME'!$E$10, TRUE, FALSE)</f>
        <v>1</v>
      </c>
    </row>
    <row r="36" spans="1:18" x14ac:dyDescent="0.25">
      <c r="A36" s="7" t="str">
        <f>'FILL ME'!$B$8</f>
        <v>Grab</v>
      </c>
      <c r="B36" t="str">
        <f>IF('FILL ME'!$B$3 = "", "", 'FILL ME'!$B$3)</f>
        <v>WWS</v>
      </c>
      <c r="C36" t="str">
        <f>IF('FILL ME'!$B$4 = "", "", 'FILL ME'!$B$4)</f>
        <v>SSFLAT</v>
      </c>
      <c r="D36" s="7" t="str">
        <f>TEXT('FILL ME'!$B$7,"yyyymmdd")</f>
        <v>20260319</v>
      </c>
      <c r="E36" s="8" t="str">
        <f t="shared" si="0"/>
        <v/>
      </c>
      <c r="F36" s="7">
        <f>IF('FILL ME'!$B$8="ISCO",'FILL ME'!$B$7+'FILL ME'!$B$12+('FILL ME'!$B$13*(G36-'FILL ME'!$B$14)),'FILL ME'!$B$7)</f>
        <v>46100</v>
      </c>
      <c r="G36" s="2">
        <v>11</v>
      </c>
      <c r="H36" s="2" t="str">
        <v>MCSN02</v>
      </c>
      <c r="I36" s="9" t="str">
        <f t="shared" si="1"/>
        <v>MCSN02_11</v>
      </c>
      <c r="J36" s="10" t="str">
        <f t="shared" si="2"/>
        <v>SSFLAT_MCSN02_20260319_11</v>
      </c>
      <c r="K36" s="10" t="str">
        <f t="shared" si="3"/>
        <v>SSFLAT_MCSN02_20260319_</v>
      </c>
      <c r="L36" t="b">
        <f>IF(ROW()-ROW($L$1)+1 &lt;= 'FILL ME'!$E$3, TRUE, FALSE)</f>
        <v>0</v>
      </c>
      <c r="M36" t="b">
        <f>IF(ROW()-ROW($M$1)+1 &lt;= 'FILL ME'!$E$4, TRUE, FALSE)</f>
        <v>1</v>
      </c>
      <c r="N36" t="b">
        <f>IF(ROW()-ROW($N$1)+1 &lt;= 'FILL ME'!$E$5, TRUE, FALSE)</f>
        <v>1</v>
      </c>
      <c r="O36" t="b">
        <f>IF(ROW()-ROW($O$1)+1 &lt;= 'FILL ME'!$E$6, TRUE, FALSE)</f>
        <v>1</v>
      </c>
      <c r="P36" t="b">
        <f>IF(ROW()-ROW($P$1)+1 &lt;= 'FILL ME'!$E$7, TRUE, FALSE)</f>
        <v>1</v>
      </c>
      <c r="Q36" t="b">
        <f>IF(ROW()-ROW($Q$1)+1 &lt;= 'FILL ME'!$E$8, TRUE, FALSE)</f>
        <v>1</v>
      </c>
      <c r="R36" t="b">
        <f>IF(ROW()-ROW($R$1)+1 &lt;= 'FILL ME'!$E$10, TRUE, FALSE)</f>
        <v>1</v>
      </c>
    </row>
    <row r="37" spans="1:18" x14ac:dyDescent="0.25">
      <c r="A37" s="7" t="str">
        <f>'FILL ME'!$B$8</f>
        <v>Grab</v>
      </c>
      <c r="B37" t="str">
        <f>IF('FILL ME'!$B$3 = "", "", 'FILL ME'!$B$3)</f>
        <v>WWS</v>
      </c>
      <c r="C37" t="str">
        <f>IF('FILL ME'!$B$4 = "", "", 'FILL ME'!$B$4)</f>
        <v>SSFLAT</v>
      </c>
      <c r="D37" s="7" t="str">
        <f>TEXT('FILL ME'!$B$7,"yyyymmdd")</f>
        <v>20260319</v>
      </c>
      <c r="E37" s="8" t="str">
        <f t="shared" si="0"/>
        <v/>
      </c>
      <c r="F37" s="7">
        <f>IF('FILL ME'!$B$8="ISCO",'FILL ME'!$B$7+'FILL ME'!$B$12+('FILL ME'!$B$13*(G37-'FILL ME'!$B$14)),'FILL ME'!$B$7)</f>
        <v>46100</v>
      </c>
      <c r="G37" s="2">
        <v>12</v>
      </c>
      <c r="H37" s="2" t="str">
        <v>MCSN02</v>
      </c>
      <c r="I37" s="9" t="str">
        <f t="shared" si="1"/>
        <v>MCSN02_12</v>
      </c>
      <c r="J37" s="10" t="str">
        <f t="shared" si="2"/>
        <v>SSFLAT_MCSN02_20260319_12</v>
      </c>
      <c r="K37" s="10" t="str">
        <f t="shared" si="3"/>
        <v>SSFLAT_MCSN02_20260319_</v>
      </c>
      <c r="L37" t="b">
        <f>IF(ROW()-ROW($L$1)+1 &lt;= 'FILL ME'!$E$3, TRUE, FALSE)</f>
        <v>0</v>
      </c>
      <c r="M37" t="b">
        <f>IF(ROW()-ROW($M$1)+1 &lt;= 'FILL ME'!$E$4, TRUE, FALSE)</f>
        <v>1</v>
      </c>
      <c r="N37" t="b">
        <f>IF(ROW()-ROW($N$1)+1 &lt;= 'FILL ME'!$E$5, TRUE, FALSE)</f>
        <v>1</v>
      </c>
      <c r="O37" t="b">
        <f>IF(ROW()-ROW($O$1)+1 &lt;= 'FILL ME'!$E$6, TRUE, FALSE)</f>
        <v>1</v>
      </c>
      <c r="P37" t="b">
        <f>IF(ROW()-ROW($P$1)+1 &lt;= 'FILL ME'!$E$7, TRUE, FALSE)</f>
        <v>1</v>
      </c>
      <c r="Q37" t="b">
        <f>IF(ROW()-ROW($Q$1)+1 &lt;= 'FILL ME'!$E$8, TRUE, FALSE)</f>
        <v>1</v>
      </c>
      <c r="R37" t="b">
        <f>IF(ROW()-ROW($R$1)+1 &lt;= 'FILL ME'!$E$10, TRUE, FALSE)</f>
        <v>1</v>
      </c>
    </row>
    <row r="38" spans="1:18" x14ac:dyDescent="0.25">
      <c r="A38" s="7" t="str">
        <f>'FILL ME'!$B$8</f>
        <v>Grab</v>
      </c>
      <c r="B38" t="str">
        <f>IF('FILL ME'!$B$3 = "", "", 'FILL ME'!$B$3)</f>
        <v>WWS</v>
      </c>
      <c r="C38" t="str">
        <f>IF('FILL ME'!$B$4 = "", "", 'FILL ME'!$B$4)</f>
        <v>SSFLAT</v>
      </c>
      <c r="D38" s="7" t="str">
        <f>TEXT('FILL ME'!$B$7,"yyyymmdd")</f>
        <v>20260319</v>
      </c>
      <c r="E38" s="8" t="str">
        <f t="shared" si="0"/>
        <v/>
      </c>
      <c r="F38" s="7">
        <f>IF('FILL ME'!$B$8="ISCO",'FILL ME'!$B$7+'FILL ME'!$B$12+('FILL ME'!$B$13*(G38-'FILL ME'!$B$14)),'FILL ME'!$B$7)</f>
        <v>46100</v>
      </c>
      <c r="G38" s="2">
        <v>13</v>
      </c>
      <c r="H38" s="2" t="str">
        <v>MCSN02</v>
      </c>
      <c r="I38" s="9" t="str">
        <f t="shared" si="1"/>
        <v>MCSN02_13</v>
      </c>
      <c r="J38" s="10" t="str">
        <f t="shared" si="2"/>
        <v>SSFLAT_MCSN02_20260319_13</v>
      </c>
      <c r="K38" s="10" t="str">
        <f t="shared" si="3"/>
        <v>SSFLAT_MCSN02_20260319_</v>
      </c>
      <c r="L38" t="b">
        <f>IF(ROW()-ROW($L$1)+1 &lt;= 'FILL ME'!$E$3, TRUE, FALSE)</f>
        <v>0</v>
      </c>
      <c r="M38" t="b">
        <f>IF(ROW()-ROW($M$1)+1 &lt;= 'FILL ME'!$E$4, TRUE, FALSE)</f>
        <v>1</v>
      </c>
      <c r="N38" t="b">
        <f>IF(ROW()-ROW($N$1)+1 &lt;= 'FILL ME'!$E$5, TRUE, FALSE)</f>
        <v>1</v>
      </c>
      <c r="O38" t="b">
        <f>IF(ROW()-ROW($O$1)+1 &lt;= 'FILL ME'!$E$6, TRUE, FALSE)</f>
        <v>1</v>
      </c>
      <c r="P38" t="b">
        <f>IF(ROW()-ROW($P$1)+1 &lt;= 'FILL ME'!$E$7, TRUE, FALSE)</f>
        <v>1</v>
      </c>
      <c r="Q38" t="b">
        <f>IF(ROW()-ROW($Q$1)+1 &lt;= 'FILL ME'!$E$8, TRUE, FALSE)</f>
        <v>1</v>
      </c>
      <c r="R38" t="b">
        <f>IF(ROW()-ROW($R$1)+1 &lt;= 'FILL ME'!$E$10, TRUE, FALSE)</f>
        <v>1</v>
      </c>
    </row>
    <row r="39" spans="1:18" x14ac:dyDescent="0.25">
      <c r="A39" s="7" t="str">
        <f>'FILL ME'!$B$8</f>
        <v>Grab</v>
      </c>
      <c r="B39" t="str">
        <f>IF('FILL ME'!$B$3 = "", "", 'FILL ME'!$B$3)</f>
        <v>WWS</v>
      </c>
      <c r="C39" t="str">
        <f>IF('FILL ME'!$B$4 = "", "", 'FILL ME'!$B$4)</f>
        <v>SSFLAT</v>
      </c>
      <c r="D39" s="7" t="str">
        <f>TEXT('FILL ME'!$B$7,"yyyymmdd")</f>
        <v>20260319</v>
      </c>
      <c r="E39" s="8" t="str">
        <f t="shared" si="0"/>
        <v/>
      </c>
      <c r="F39" s="7">
        <f>IF('FILL ME'!$B$8="ISCO",'FILL ME'!$B$7+'FILL ME'!$B$12+('FILL ME'!$B$13*(G39-'FILL ME'!$B$14)),'FILL ME'!$B$7)</f>
        <v>46100</v>
      </c>
      <c r="G39" s="2">
        <v>14</v>
      </c>
      <c r="H39" s="2" t="str">
        <v>MCSN02</v>
      </c>
      <c r="I39" s="9" t="str">
        <f t="shared" si="1"/>
        <v>MCSN02_14</v>
      </c>
      <c r="J39" s="10" t="str">
        <f t="shared" si="2"/>
        <v>SSFLAT_MCSN02_20260319_14</v>
      </c>
      <c r="K39" s="10" t="str">
        <f t="shared" si="3"/>
        <v>SSFLAT_MCSN02_20260319_</v>
      </c>
      <c r="L39" t="b">
        <f>IF(ROW()-ROW($L$1)+1 &lt;= 'FILL ME'!$E$3, TRUE, FALSE)</f>
        <v>0</v>
      </c>
      <c r="M39" t="b">
        <f>IF(ROW()-ROW($M$1)+1 &lt;= 'FILL ME'!$E$4, TRUE, FALSE)</f>
        <v>1</v>
      </c>
      <c r="N39" t="b">
        <f>IF(ROW()-ROW($N$1)+1 &lt;= 'FILL ME'!$E$5, TRUE, FALSE)</f>
        <v>1</v>
      </c>
      <c r="O39" t="b">
        <f>IF(ROW()-ROW($O$1)+1 &lt;= 'FILL ME'!$E$6, TRUE, FALSE)</f>
        <v>1</v>
      </c>
      <c r="P39" t="b">
        <f>IF(ROW()-ROW($P$1)+1 &lt;= 'FILL ME'!$E$7, TRUE, FALSE)</f>
        <v>1</v>
      </c>
      <c r="Q39" t="b">
        <f>IF(ROW()-ROW($Q$1)+1 &lt;= 'FILL ME'!$E$8, TRUE, FALSE)</f>
        <v>1</v>
      </c>
      <c r="R39" t="b">
        <f>IF(ROW()-ROW($R$1)+1 &lt;= 'FILL ME'!$E$10, TRUE, FALSE)</f>
        <v>1</v>
      </c>
    </row>
    <row r="40" spans="1:18" x14ac:dyDescent="0.25">
      <c r="A40" s="7" t="str">
        <f>'FILL ME'!$B$8</f>
        <v>Grab</v>
      </c>
      <c r="B40" t="str">
        <f>IF('FILL ME'!$B$3 = "", "", 'FILL ME'!$B$3)</f>
        <v>WWS</v>
      </c>
      <c r="C40" t="str">
        <f>IF('FILL ME'!$B$4 = "", "", 'FILL ME'!$B$4)</f>
        <v>SSFLAT</v>
      </c>
      <c r="D40" s="7" t="str">
        <f>TEXT('FILL ME'!$B$7,"yyyymmdd")</f>
        <v>20260319</v>
      </c>
      <c r="E40" s="8" t="str">
        <f t="shared" si="0"/>
        <v/>
      </c>
      <c r="F40" s="7">
        <f>IF('FILL ME'!$B$8="ISCO",'FILL ME'!$B$7+'FILL ME'!$B$12+('FILL ME'!$B$13*(G40-'FILL ME'!$B$14)),'FILL ME'!$B$7)</f>
        <v>46100</v>
      </c>
      <c r="G40" s="2">
        <v>15</v>
      </c>
      <c r="H40" s="2" t="str">
        <v>MCSN02</v>
      </c>
      <c r="I40" s="9" t="str">
        <f t="shared" si="1"/>
        <v>MCSN02_15</v>
      </c>
      <c r="J40" s="10" t="str">
        <f t="shared" si="2"/>
        <v>SSFLAT_MCSN02_20260319_15</v>
      </c>
      <c r="K40" s="10" t="str">
        <f t="shared" si="3"/>
        <v>SSFLAT_MCSN02_20260319_</v>
      </c>
      <c r="L40" t="b">
        <f>IF(ROW()-ROW($L$1)+1 &lt;= 'FILL ME'!$E$3, TRUE, FALSE)</f>
        <v>0</v>
      </c>
      <c r="M40" t="b">
        <f>IF(ROW()-ROW($M$1)+1 &lt;= 'FILL ME'!$E$4, TRUE, FALSE)</f>
        <v>1</v>
      </c>
      <c r="N40" t="b">
        <f>IF(ROW()-ROW($N$1)+1 &lt;= 'FILL ME'!$E$5, TRUE, FALSE)</f>
        <v>1</v>
      </c>
      <c r="O40" t="b">
        <f>IF(ROW()-ROW($O$1)+1 &lt;= 'FILL ME'!$E$6, TRUE, FALSE)</f>
        <v>1</v>
      </c>
      <c r="P40" t="b">
        <f>IF(ROW()-ROW($P$1)+1 &lt;= 'FILL ME'!$E$7, TRUE, FALSE)</f>
        <v>1</v>
      </c>
      <c r="Q40" t="b">
        <f>IF(ROW()-ROW($Q$1)+1 &lt;= 'FILL ME'!$E$8, TRUE, FALSE)</f>
        <v>1</v>
      </c>
      <c r="R40" t="b">
        <f>IF(ROW()-ROW($R$1)+1 &lt;= 'FILL ME'!$E$10, TRUE, FALSE)</f>
        <v>1</v>
      </c>
    </row>
    <row r="41" spans="1:18" x14ac:dyDescent="0.25">
      <c r="A41" s="7" t="str">
        <f>'FILL ME'!$B$8</f>
        <v>Grab</v>
      </c>
      <c r="B41" t="str">
        <f>IF('FILL ME'!$B$3 = "", "", 'FILL ME'!$B$3)</f>
        <v>WWS</v>
      </c>
      <c r="C41" t="str">
        <f>IF('FILL ME'!$B$4 = "", "", 'FILL ME'!$B$4)</f>
        <v>SSFLAT</v>
      </c>
      <c r="D41" s="7" t="str">
        <f>TEXT('FILL ME'!$B$7,"yyyymmdd")</f>
        <v>20260319</v>
      </c>
      <c r="E41" s="8" t="str">
        <f t="shared" si="0"/>
        <v/>
      </c>
      <c r="F41" s="7">
        <f>IF('FILL ME'!$B$8="ISCO",'FILL ME'!$B$7+'FILL ME'!$B$12+('FILL ME'!$B$13*(G41-'FILL ME'!$B$14)),'FILL ME'!$B$7)</f>
        <v>46100</v>
      </c>
      <c r="G41" s="2">
        <v>16</v>
      </c>
      <c r="H41" s="2" t="str">
        <v>MCSN02</v>
      </c>
      <c r="I41" s="9" t="str">
        <f t="shared" si="1"/>
        <v>MCSN02_16</v>
      </c>
      <c r="J41" s="10" t="str">
        <f t="shared" si="2"/>
        <v>SSFLAT_MCSN02_20260319_16</v>
      </c>
      <c r="K41" s="10" t="str">
        <f t="shared" si="3"/>
        <v>SSFLAT_MCSN02_20260319_</v>
      </c>
      <c r="L41" t="b">
        <f>IF(ROW()-ROW($L$1)+1 &lt;= 'FILL ME'!$E$3, TRUE, FALSE)</f>
        <v>0</v>
      </c>
      <c r="M41" t="b">
        <f>IF(ROW()-ROW($M$1)+1 &lt;= 'FILL ME'!$E$4, TRUE, FALSE)</f>
        <v>1</v>
      </c>
      <c r="N41" t="b">
        <f>IF(ROW()-ROW($N$1)+1 &lt;= 'FILL ME'!$E$5, TRUE, FALSE)</f>
        <v>1</v>
      </c>
      <c r="O41" t="b">
        <f>IF(ROW()-ROW($O$1)+1 &lt;= 'FILL ME'!$E$6, TRUE, FALSE)</f>
        <v>1</v>
      </c>
      <c r="P41" t="b">
        <f>IF(ROW()-ROW($P$1)+1 &lt;= 'FILL ME'!$E$7, TRUE, FALSE)</f>
        <v>1</v>
      </c>
      <c r="Q41" t="b">
        <f>IF(ROW()-ROW($Q$1)+1 &lt;= 'FILL ME'!$E$8, TRUE, FALSE)</f>
        <v>1</v>
      </c>
      <c r="R41" t="b">
        <f>IF(ROW()-ROW($R$1)+1 &lt;= 'FILL ME'!$E$10, TRUE, FALSE)</f>
        <v>1</v>
      </c>
    </row>
    <row r="42" spans="1:18" x14ac:dyDescent="0.25">
      <c r="A42" s="7" t="str">
        <f>'FILL ME'!$B$8</f>
        <v>Grab</v>
      </c>
      <c r="B42" t="str">
        <f>IF('FILL ME'!$B$3 = "", "", 'FILL ME'!$B$3)</f>
        <v>WWS</v>
      </c>
      <c r="C42" t="str">
        <f>IF('FILL ME'!$B$4 = "", "", 'FILL ME'!$B$4)</f>
        <v>SSFLAT</v>
      </c>
      <c r="D42" s="7" t="str">
        <f>TEXT('FILL ME'!$B$7,"yyyymmdd")</f>
        <v>20260319</v>
      </c>
      <c r="E42" s="8" t="str">
        <f t="shared" si="0"/>
        <v/>
      </c>
      <c r="F42" s="7">
        <f>IF('FILL ME'!$B$8="ISCO",'FILL ME'!$B$7+'FILL ME'!$B$12+('FILL ME'!$B$13*(G42-'FILL ME'!$B$14)),'FILL ME'!$B$7)</f>
        <v>46100</v>
      </c>
      <c r="G42" s="2">
        <v>17</v>
      </c>
      <c r="H42" s="2" t="str">
        <v>MCSN02</v>
      </c>
      <c r="I42" s="9" t="str">
        <f t="shared" si="1"/>
        <v>MCSN02_17</v>
      </c>
      <c r="J42" s="10" t="str">
        <f t="shared" si="2"/>
        <v>SSFLAT_MCSN02_20260319_17</v>
      </c>
      <c r="K42" s="10" t="str">
        <f t="shared" si="3"/>
        <v>SSFLAT_MCSN02_20260319_</v>
      </c>
      <c r="L42" t="b">
        <f>IF(ROW()-ROW($L$1)+1 &lt;= 'FILL ME'!$E$3, TRUE, FALSE)</f>
        <v>0</v>
      </c>
      <c r="M42" t="b">
        <f>IF(ROW()-ROW($M$1)+1 &lt;= 'FILL ME'!$E$4, TRUE, FALSE)</f>
        <v>1</v>
      </c>
      <c r="N42" t="b">
        <f>IF(ROW()-ROW($N$1)+1 &lt;= 'FILL ME'!$E$5, TRUE, FALSE)</f>
        <v>1</v>
      </c>
      <c r="O42" t="b">
        <f>IF(ROW()-ROW($O$1)+1 &lt;= 'FILL ME'!$E$6, TRUE, FALSE)</f>
        <v>1</v>
      </c>
      <c r="P42" t="b">
        <f>IF(ROW()-ROW($P$1)+1 &lt;= 'FILL ME'!$E$7, TRUE, FALSE)</f>
        <v>1</v>
      </c>
      <c r="Q42" t="b">
        <f>IF(ROW()-ROW($Q$1)+1 &lt;= 'FILL ME'!$E$8, TRUE, FALSE)</f>
        <v>1</v>
      </c>
      <c r="R42" t="b">
        <f>IF(ROW()-ROW($R$1)+1 &lt;= 'FILL ME'!$E$10, TRUE, FALSE)</f>
        <v>1</v>
      </c>
    </row>
    <row r="43" spans="1:18" x14ac:dyDescent="0.25">
      <c r="A43" s="7" t="str">
        <f>'FILL ME'!$B$8</f>
        <v>Grab</v>
      </c>
      <c r="B43" t="str">
        <f>IF('FILL ME'!$B$3 = "", "", 'FILL ME'!$B$3)</f>
        <v>WWS</v>
      </c>
      <c r="C43" t="str">
        <f>IF('FILL ME'!$B$4 = "", "", 'FILL ME'!$B$4)</f>
        <v>SSFLAT</v>
      </c>
      <c r="D43" s="7" t="str">
        <f>TEXT('FILL ME'!$B$7,"yyyymmdd")</f>
        <v>20260319</v>
      </c>
      <c r="E43" s="8" t="str">
        <f t="shared" si="0"/>
        <v/>
      </c>
      <c r="F43" s="7">
        <f>IF('FILL ME'!$B$8="ISCO",'FILL ME'!$B$7+'FILL ME'!$B$12+('FILL ME'!$B$13*(G43-'FILL ME'!$B$14)),'FILL ME'!$B$7)</f>
        <v>46100</v>
      </c>
      <c r="G43" s="2">
        <v>18</v>
      </c>
      <c r="H43" s="2" t="str">
        <v>MCSN02</v>
      </c>
      <c r="I43" s="9" t="str">
        <f t="shared" si="1"/>
        <v>MCSN02_18</v>
      </c>
      <c r="J43" s="10" t="str">
        <f t="shared" si="2"/>
        <v>SSFLAT_MCSN02_20260319_18</v>
      </c>
      <c r="K43" s="10" t="str">
        <f t="shared" si="3"/>
        <v>SSFLAT_MCSN02_20260319_</v>
      </c>
      <c r="L43" t="b">
        <f>IF(ROW()-ROW($L$1)+1 &lt;= 'FILL ME'!$E$3, TRUE, FALSE)</f>
        <v>0</v>
      </c>
      <c r="M43" t="b">
        <f>IF(ROW()-ROW($M$1)+1 &lt;= 'FILL ME'!$E$4, TRUE, FALSE)</f>
        <v>1</v>
      </c>
      <c r="N43" t="b">
        <f>IF(ROW()-ROW($N$1)+1 &lt;= 'FILL ME'!$E$5, TRUE, FALSE)</f>
        <v>1</v>
      </c>
      <c r="O43" t="b">
        <f>IF(ROW()-ROW($O$1)+1 &lt;= 'FILL ME'!$E$6, TRUE, FALSE)</f>
        <v>1</v>
      </c>
      <c r="P43" t="b">
        <f>IF(ROW()-ROW($P$1)+1 &lt;= 'FILL ME'!$E$7, TRUE, FALSE)</f>
        <v>1</v>
      </c>
      <c r="Q43" t="b">
        <f>IF(ROW()-ROW($Q$1)+1 &lt;= 'FILL ME'!$E$8, TRUE, FALSE)</f>
        <v>1</v>
      </c>
      <c r="R43" t="b">
        <f>IF(ROW()-ROW($R$1)+1 &lt;= 'FILL ME'!$E$10, TRUE, FALSE)</f>
        <v>1</v>
      </c>
    </row>
    <row r="44" spans="1:18" x14ac:dyDescent="0.25">
      <c r="A44" s="7" t="str">
        <f>'FILL ME'!$B$8</f>
        <v>Grab</v>
      </c>
      <c r="B44" t="str">
        <f>IF('FILL ME'!$B$3 = "", "", 'FILL ME'!$B$3)</f>
        <v>WWS</v>
      </c>
      <c r="C44" t="str">
        <f>IF('FILL ME'!$B$4 = "", "", 'FILL ME'!$B$4)</f>
        <v>SSFLAT</v>
      </c>
      <c r="D44" s="7" t="str">
        <f>TEXT('FILL ME'!$B$7,"yyyymmdd")</f>
        <v>20260319</v>
      </c>
      <c r="E44" s="8" t="str">
        <f t="shared" si="0"/>
        <v/>
      </c>
      <c r="F44" s="7">
        <f>IF('FILL ME'!$B$8="ISCO",'FILL ME'!$B$7+'FILL ME'!$B$12+('FILL ME'!$B$13*(G44-'FILL ME'!$B$14)),'FILL ME'!$B$7)</f>
        <v>46100</v>
      </c>
      <c r="G44" s="2">
        <v>19</v>
      </c>
      <c r="H44" s="2" t="str">
        <v>MCSN02</v>
      </c>
      <c r="I44" s="9" t="str">
        <f t="shared" si="1"/>
        <v>MCSN02_19</v>
      </c>
      <c r="J44" s="10" t="str">
        <f t="shared" si="2"/>
        <v>SSFLAT_MCSN02_20260319_19</v>
      </c>
      <c r="K44" s="10" t="str">
        <f t="shared" si="3"/>
        <v>SSFLAT_MCSN02_20260319_</v>
      </c>
      <c r="L44" t="b">
        <f>IF(ROW()-ROW($L$1)+1 &lt;= 'FILL ME'!$E$3, TRUE, FALSE)</f>
        <v>0</v>
      </c>
      <c r="M44" t="b">
        <f>IF(ROW()-ROW($M$1)+1 &lt;= 'FILL ME'!$E$4, TRUE, FALSE)</f>
        <v>1</v>
      </c>
      <c r="N44" t="b">
        <f>IF(ROW()-ROW($N$1)+1 &lt;= 'FILL ME'!$E$5, TRUE, FALSE)</f>
        <v>1</v>
      </c>
      <c r="O44" t="b">
        <f>IF(ROW()-ROW($O$1)+1 &lt;= 'FILL ME'!$E$6, TRUE, FALSE)</f>
        <v>1</v>
      </c>
      <c r="P44" t="b">
        <f>IF(ROW()-ROW($P$1)+1 &lt;= 'FILL ME'!$E$7, TRUE, FALSE)</f>
        <v>1</v>
      </c>
      <c r="Q44" t="b">
        <f>IF(ROW()-ROW($Q$1)+1 &lt;= 'FILL ME'!$E$8, TRUE, FALSE)</f>
        <v>1</v>
      </c>
      <c r="R44" t="b">
        <f>IF(ROW()-ROW($R$1)+1 &lt;= 'FILL ME'!$E$10, TRUE, FALSE)</f>
        <v>1</v>
      </c>
    </row>
    <row r="45" spans="1:18" x14ac:dyDescent="0.25">
      <c r="A45" s="7" t="str">
        <f>'FILL ME'!$B$8</f>
        <v>Grab</v>
      </c>
      <c r="B45" t="str">
        <f>IF('FILL ME'!$B$3 = "", "", 'FILL ME'!$B$3)</f>
        <v>WWS</v>
      </c>
      <c r="C45" t="str">
        <f>IF('FILL ME'!$B$4 = "", "", 'FILL ME'!$B$4)</f>
        <v>SSFLAT</v>
      </c>
      <c r="D45" s="7" t="str">
        <f>TEXT('FILL ME'!$B$7,"yyyymmdd")</f>
        <v>20260319</v>
      </c>
      <c r="E45" s="8" t="str">
        <f t="shared" si="0"/>
        <v/>
      </c>
      <c r="F45" s="7">
        <f>IF('FILL ME'!$B$8="ISCO",'FILL ME'!$B$7+'FILL ME'!$B$12+('FILL ME'!$B$13*(G45-'FILL ME'!$B$14)),'FILL ME'!$B$7)</f>
        <v>46100</v>
      </c>
      <c r="G45" s="2">
        <v>20</v>
      </c>
      <c r="H45" s="2" t="str">
        <v>MCSN02</v>
      </c>
      <c r="I45" s="9" t="str">
        <f t="shared" si="1"/>
        <v>MCSN02_20</v>
      </c>
      <c r="J45" s="10" t="str">
        <f t="shared" si="2"/>
        <v>SSFLAT_MCSN02_20260319_20</v>
      </c>
      <c r="K45" s="10" t="str">
        <f t="shared" si="3"/>
        <v>SSFLAT_MCSN02_20260319_</v>
      </c>
      <c r="L45" t="b">
        <f>IF(ROW()-ROW($L$1)+1 &lt;= 'FILL ME'!$E$3, TRUE, FALSE)</f>
        <v>0</v>
      </c>
      <c r="M45" t="b">
        <f>IF(ROW()-ROW($M$1)+1 &lt;= 'FILL ME'!$E$4, TRUE, FALSE)</f>
        <v>1</v>
      </c>
      <c r="N45" t="b">
        <f>IF(ROW()-ROW($N$1)+1 &lt;= 'FILL ME'!$E$5, TRUE, FALSE)</f>
        <v>1</v>
      </c>
      <c r="O45" t="b">
        <f>IF(ROW()-ROW($O$1)+1 &lt;= 'FILL ME'!$E$6, TRUE, FALSE)</f>
        <v>1</v>
      </c>
      <c r="P45" t="b">
        <f>IF(ROW()-ROW($P$1)+1 &lt;= 'FILL ME'!$E$7, TRUE, FALSE)</f>
        <v>1</v>
      </c>
      <c r="Q45" t="b">
        <f>IF(ROW()-ROW($Q$1)+1 &lt;= 'FILL ME'!$E$8, TRUE, FALSE)</f>
        <v>1</v>
      </c>
      <c r="R45" t="b">
        <f>IF(ROW()-ROW($R$1)+1 &lt;= 'FILL ME'!$E$10, TRUE, FALSE)</f>
        <v>1</v>
      </c>
    </row>
    <row r="46" spans="1:18" x14ac:dyDescent="0.25">
      <c r="A46" s="7" t="str">
        <f>'FILL ME'!$B$8</f>
        <v>Grab</v>
      </c>
      <c r="B46" t="str">
        <f>IF('FILL ME'!$B$3 = "", "", 'FILL ME'!$B$3)</f>
        <v>WWS</v>
      </c>
      <c r="C46" t="str">
        <f>IF('FILL ME'!$B$4 = "", "", 'FILL ME'!$B$4)</f>
        <v>SSFLAT</v>
      </c>
      <c r="D46" s="7" t="str">
        <f>TEXT('FILL ME'!$B$7,"yyyymmdd")</f>
        <v>20260319</v>
      </c>
      <c r="E46" s="8" t="str">
        <f t="shared" si="0"/>
        <v/>
      </c>
      <c r="F46" s="7">
        <f>IF('FILL ME'!$B$8="ISCO",'FILL ME'!$B$7+'FILL ME'!$B$12+('FILL ME'!$B$13*(G46-'FILL ME'!$B$14)),'FILL ME'!$B$7)</f>
        <v>46100</v>
      </c>
      <c r="G46" s="2">
        <v>21</v>
      </c>
      <c r="H46" s="2" t="str">
        <v>MCSN02</v>
      </c>
      <c r="I46" s="9" t="str">
        <f t="shared" si="1"/>
        <v>MCSN02_21</v>
      </c>
      <c r="J46" s="10" t="str">
        <f t="shared" si="2"/>
        <v>SSFLAT_MCSN02_20260319_21</v>
      </c>
      <c r="K46" s="10" t="str">
        <f t="shared" si="3"/>
        <v>SSFLAT_MCSN02_20260319_</v>
      </c>
      <c r="L46" t="b">
        <f>IF(ROW()-ROW($L$1)+1 &lt;= 'FILL ME'!$E$3, TRUE, FALSE)</f>
        <v>0</v>
      </c>
      <c r="M46" t="b">
        <f>IF(ROW()-ROW($M$1)+1 &lt;= 'FILL ME'!$E$4, TRUE, FALSE)</f>
        <v>1</v>
      </c>
      <c r="N46" t="b">
        <f>IF(ROW()-ROW($N$1)+1 &lt;= 'FILL ME'!$E$5, TRUE, FALSE)</f>
        <v>1</v>
      </c>
      <c r="O46" t="b">
        <f>IF(ROW()-ROW($O$1)+1 &lt;= 'FILL ME'!$E$6, TRUE, FALSE)</f>
        <v>1</v>
      </c>
      <c r="P46" t="b">
        <f>IF(ROW()-ROW($P$1)+1 &lt;= 'FILL ME'!$E$7, TRUE, FALSE)</f>
        <v>1</v>
      </c>
      <c r="Q46" t="b">
        <f>IF(ROW()-ROW($Q$1)+1 &lt;= 'FILL ME'!$E$8, TRUE, FALSE)</f>
        <v>1</v>
      </c>
      <c r="R46" t="b">
        <f>IF(ROW()-ROW($R$1)+1 &lt;= 'FILL ME'!$E$10, TRUE, FALSE)</f>
        <v>1</v>
      </c>
    </row>
    <row r="47" spans="1:18" x14ac:dyDescent="0.25">
      <c r="A47" s="7" t="str">
        <f>'FILL ME'!$B$8</f>
        <v>Grab</v>
      </c>
      <c r="B47" t="str">
        <f>IF('FILL ME'!$B$3 = "", "", 'FILL ME'!$B$3)</f>
        <v>WWS</v>
      </c>
      <c r="C47" t="str">
        <f>IF('FILL ME'!$B$4 = "", "", 'FILL ME'!$B$4)</f>
        <v>SSFLAT</v>
      </c>
      <c r="D47" s="7" t="str">
        <f>TEXT('FILL ME'!$B$7,"yyyymmdd")</f>
        <v>20260319</v>
      </c>
      <c r="E47" s="8" t="str">
        <f t="shared" si="0"/>
        <v/>
      </c>
      <c r="F47" s="7">
        <f>IF('FILL ME'!$B$8="ISCO",'FILL ME'!$B$7+'FILL ME'!$B$12+('FILL ME'!$B$13*(G47-'FILL ME'!$B$14)),'FILL ME'!$B$7)</f>
        <v>46100</v>
      </c>
      <c r="G47" s="2">
        <v>22</v>
      </c>
      <c r="H47" s="2" t="str">
        <v>MCSN02</v>
      </c>
      <c r="I47" s="9" t="str">
        <f t="shared" si="1"/>
        <v>MCSN02_22</v>
      </c>
      <c r="J47" s="10" t="str">
        <f t="shared" si="2"/>
        <v>SSFLAT_MCSN02_20260319_22</v>
      </c>
      <c r="K47" s="10" t="str">
        <f t="shared" si="3"/>
        <v>SSFLAT_MCSN02_20260319_</v>
      </c>
      <c r="L47" t="b">
        <f>IF(ROW()-ROW($L$1)+1 &lt;= 'FILL ME'!$E$3, TRUE, FALSE)</f>
        <v>0</v>
      </c>
      <c r="M47" t="b">
        <f>IF(ROW()-ROW($M$1)+1 &lt;= 'FILL ME'!$E$4, TRUE, FALSE)</f>
        <v>1</v>
      </c>
      <c r="N47" t="b">
        <f>IF(ROW()-ROW($N$1)+1 &lt;= 'FILL ME'!$E$5, TRUE, FALSE)</f>
        <v>1</v>
      </c>
      <c r="O47" t="b">
        <f>IF(ROW()-ROW($O$1)+1 &lt;= 'FILL ME'!$E$6, TRUE, FALSE)</f>
        <v>1</v>
      </c>
      <c r="P47" t="b">
        <f>IF(ROW()-ROW($P$1)+1 &lt;= 'FILL ME'!$E$7, TRUE, FALSE)</f>
        <v>1</v>
      </c>
      <c r="Q47" t="b">
        <f>IF(ROW()-ROW($Q$1)+1 &lt;= 'FILL ME'!$E$8, TRUE, FALSE)</f>
        <v>1</v>
      </c>
      <c r="R47" t="b">
        <f>IF(ROW()-ROW($R$1)+1 &lt;= 'FILL ME'!$E$10, TRUE, FALSE)</f>
        <v>1</v>
      </c>
    </row>
    <row r="48" spans="1:18" x14ac:dyDescent="0.25">
      <c r="A48" s="7" t="str">
        <f>'FILL ME'!$B$8</f>
        <v>Grab</v>
      </c>
      <c r="B48" t="str">
        <f>IF('FILL ME'!$B$3 = "", "", 'FILL ME'!$B$3)</f>
        <v>WWS</v>
      </c>
      <c r="C48" t="str">
        <f>IF('FILL ME'!$B$4 = "", "", 'FILL ME'!$B$4)</f>
        <v>SSFLAT</v>
      </c>
      <c r="D48" s="7" t="str">
        <f>TEXT('FILL ME'!$B$7,"yyyymmdd")</f>
        <v>20260319</v>
      </c>
      <c r="E48" s="8" t="str">
        <f t="shared" si="0"/>
        <v/>
      </c>
      <c r="F48" s="7">
        <f>IF('FILL ME'!$B$8="ISCO",'FILL ME'!$B$7+'FILL ME'!$B$12+('FILL ME'!$B$13*(G48-'FILL ME'!$B$14)),'FILL ME'!$B$7)</f>
        <v>46100</v>
      </c>
      <c r="G48" s="2">
        <v>23</v>
      </c>
      <c r="H48" s="2" t="str">
        <v>MCSN02</v>
      </c>
      <c r="I48" s="9" t="str">
        <f t="shared" si="1"/>
        <v>MCSN02_23</v>
      </c>
      <c r="J48" s="10" t="str">
        <f t="shared" si="2"/>
        <v>SSFLAT_MCSN02_20260319_23</v>
      </c>
      <c r="K48" s="10" t="str">
        <f t="shared" si="3"/>
        <v>SSFLAT_MCSN02_20260319_</v>
      </c>
      <c r="L48" t="b">
        <f>IF(ROW()-ROW($L$1)+1 &lt;= 'FILL ME'!$E$3, TRUE, FALSE)</f>
        <v>0</v>
      </c>
      <c r="M48" t="b">
        <f>IF(ROW()-ROW($M$1)+1 &lt;= 'FILL ME'!$E$4, TRUE, FALSE)</f>
        <v>1</v>
      </c>
      <c r="N48" t="b">
        <f>IF(ROW()-ROW($N$1)+1 &lt;= 'FILL ME'!$E$5, TRUE, FALSE)</f>
        <v>1</v>
      </c>
      <c r="O48" t="b">
        <f>IF(ROW()-ROW($O$1)+1 &lt;= 'FILL ME'!$E$6, TRUE, FALSE)</f>
        <v>1</v>
      </c>
      <c r="P48" t="b">
        <f>IF(ROW()-ROW($P$1)+1 &lt;= 'FILL ME'!$E$7, TRUE, FALSE)</f>
        <v>1</v>
      </c>
      <c r="Q48" t="b">
        <f>IF(ROW()-ROW($Q$1)+1 &lt;= 'FILL ME'!$E$8, TRUE, FALSE)</f>
        <v>1</v>
      </c>
      <c r="R48" t="b">
        <f>IF(ROW()-ROW($R$1)+1 &lt;= 'FILL ME'!$E$10, TRUE, FALSE)</f>
        <v>1</v>
      </c>
    </row>
    <row r="49" spans="1:18" x14ac:dyDescent="0.25">
      <c r="A49" s="7" t="str">
        <f>'FILL ME'!$B$8</f>
        <v>Grab</v>
      </c>
      <c r="B49" t="str">
        <f>IF('FILL ME'!$B$3 = "", "", 'FILL ME'!$B$3)</f>
        <v>WWS</v>
      </c>
      <c r="C49" t="str">
        <f>IF('FILL ME'!$B$4 = "", "", 'FILL ME'!$B$4)</f>
        <v>SSFLAT</v>
      </c>
      <c r="D49" s="7" t="str">
        <f>TEXT('FILL ME'!$B$7,"yyyymmdd")</f>
        <v>20260319</v>
      </c>
      <c r="E49" s="8" t="str">
        <f t="shared" si="0"/>
        <v/>
      </c>
      <c r="F49" s="7">
        <f>IF('FILL ME'!$B$8="ISCO",'FILL ME'!$B$7+'FILL ME'!$B$12+('FILL ME'!$B$13*(G49-'FILL ME'!$B$14)),'FILL ME'!$B$7)</f>
        <v>46100</v>
      </c>
      <c r="G49" s="2">
        <v>24</v>
      </c>
      <c r="H49" s="2" t="str">
        <v>MCSN02</v>
      </c>
      <c r="I49" s="9" t="str">
        <f t="shared" si="1"/>
        <v>MCSN02_24</v>
      </c>
      <c r="J49" s="10" t="str">
        <f t="shared" si="2"/>
        <v>SSFLAT_MCSN02_20260319_24</v>
      </c>
      <c r="K49" s="10" t="str">
        <f t="shared" si="3"/>
        <v>SSFLAT_MCSN02_20260319_</v>
      </c>
      <c r="L49" t="b">
        <f>IF(ROW()-ROW($L$1)+1 &lt;= 'FILL ME'!$E$3, TRUE, FALSE)</f>
        <v>0</v>
      </c>
      <c r="M49" t="b">
        <f>IF(ROW()-ROW($M$1)+1 &lt;= 'FILL ME'!$E$4, TRUE, FALSE)</f>
        <v>1</v>
      </c>
      <c r="N49" t="b">
        <f>IF(ROW()-ROW($N$1)+1 &lt;= 'FILL ME'!$E$5, TRUE, FALSE)</f>
        <v>1</v>
      </c>
      <c r="O49" t="b">
        <f>IF(ROW()-ROW($O$1)+1 &lt;= 'FILL ME'!$E$6, TRUE, FALSE)</f>
        <v>1</v>
      </c>
      <c r="P49" t="b">
        <f>IF(ROW()-ROW($P$1)+1 &lt;= 'FILL ME'!$E$7, TRUE, FALSE)</f>
        <v>1</v>
      </c>
      <c r="Q49" t="b">
        <f>IF(ROW()-ROW($Q$1)+1 &lt;= 'FILL ME'!$E$8, TRUE, FALSE)</f>
        <v>1</v>
      </c>
      <c r="R49" t="b">
        <f>IF(ROW()-ROW($R$1)+1 &lt;= 'FILL ME'!$E$10, TRUE, FALSE)</f>
        <v>1</v>
      </c>
    </row>
    <row r="50" spans="1:18" x14ac:dyDescent="0.25">
      <c r="A50" s="7" t="str">
        <f>'FILL ME'!$B$8</f>
        <v>Grab</v>
      </c>
      <c r="B50" t="str">
        <f>IF('FILL ME'!$B$3 = "", "", 'FILL ME'!$B$3)</f>
        <v>WWS</v>
      </c>
      <c r="C50" t="str">
        <f>IF('FILL ME'!$B$4 = "", "", 'FILL ME'!$B$4)</f>
        <v>SSFLAT</v>
      </c>
      <c r="D50" s="7" t="str">
        <f>TEXT('FILL ME'!$B$7,"yyyymmdd")</f>
        <v>20260319</v>
      </c>
      <c r="E50" s="8" t="str">
        <f t="shared" si="0"/>
        <v/>
      </c>
      <c r="F50" s="7">
        <f>IF('FILL ME'!$B$8="ISCO",'FILL ME'!$B$7+'FILL ME'!$B$12+('FILL ME'!$B$13*(G50-'FILL ME'!$B$14)),'FILL ME'!$B$7)</f>
        <v>46100</v>
      </c>
      <c r="G50" s="50">
        <v>1</v>
      </c>
      <c r="H50" s="2" t="str">
        <v>MCSN03</v>
      </c>
      <c r="I50" s="9" t="str">
        <f t="shared" si="1"/>
        <v>MCSN03_01</v>
      </c>
      <c r="J50" s="10" t="str">
        <f t="shared" si="2"/>
        <v>SSFLAT_MCSN03_20260319_01</v>
      </c>
      <c r="K50" s="10" t="str">
        <f t="shared" si="3"/>
        <v>SSFLAT_MCSN03_20260319_</v>
      </c>
      <c r="L50" t="b">
        <f>IF(ROW()-ROW($L$1)+1 &lt;= 'FILL ME'!$E$3, TRUE, FALSE)</f>
        <v>0</v>
      </c>
      <c r="M50" t="b">
        <f>IF(ROW()-ROW($M$1)+1 &lt;= 'FILL ME'!$E$4, TRUE, FALSE)</f>
        <v>1</v>
      </c>
      <c r="N50" t="b">
        <f>IF(ROW()-ROW($N$1)+1 &lt;= 'FILL ME'!$E$5, TRUE, FALSE)</f>
        <v>1</v>
      </c>
      <c r="O50" t="b">
        <f>IF(ROW()-ROW($O$1)+1 &lt;= 'FILL ME'!$E$6, TRUE, FALSE)</f>
        <v>1</v>
      </c>
      <c r="P50" t="b">
        <f>IF(ROW()-ROW($P$1)+1 &lt;= 'FILL ME'!$E$7, TRUE, FALSE)</f>
        <v>1</v>
      </c>
      <c r="Q50" t="b">
        <f>IF(ROW()-ROW($Q$1)+1 &lt;= 'FILL ME'!$E$8, TRUE, FALSE)</f>
        <v>1</v>
      </c>
      <c r="R50" t="b">
        <f>IF(ROW()-ROW($R$1)+1 &lt;= 'FILL ME'!$E$10, TRUE, FALSE)</f>
        <v>1</v>
      </c>
    </row>
    <row r="51" spans="1:18" x14ac:dyDescent="0.25">
      <c r="A51" s="7" t="str">
        <f>'FILL ME'!$B$8</f>
        <v>Grab</v>
      </c>
      <c r="B51" t="str">
        <f>IF('FILL ME'!$B$3 = "", "", 'FILL ME'!$B$3)</f>
        <v>WWS</v>
      </c>
      <c r="C51" t="str">
        <f>IF('FILL ME'!$B$4 = "", "", 'FILL ME'!$B$4)</f>
        <v>SSFLAT</v>
      </c>
      <c r="D51" s="7" t="str">
        <f>TEXT('FILL ME'!$B$7,"yyyymmdd")</f>
        <v>20260319</v>
      </c>
      <c r="E51" s="8" t="str">
        <f t="shared" si="0"/>
        <v/>
      </c>
      <c r="F51" s="7">
        <f>IF('FILL ME'!$B$8="ISCO",'FILL ME'!$B$7+'FILL ME'!$B$12+('FILL ME'!$B$13*(G51-'FILL ME'!$B$14)),'FILL ME'!$B$7)</f>
        <v>46100</v>
      </c>
      <c r="G51" s="8">
        <v>2</v>
      </c>
      <c r="H51" s="2" t="str">
        <v>MCSN03</v>
      </c>
      <c r="I51" s="9" t="str">
        <f t="shared" si="1"/>
        <v>MCSN03_02</v>
      </c>
      <c r="J51" s="10" t="str">
        <f t="shared" si="2"/>
        <v>SSFLAT_MCSN03_20260319_02</v>
      </c>
      <c r="K51" s="10" t="str">
        <f t="shared" si="3"/>
        <v>SSFLAT_MCSN03_20260319_</v>
      </c>
      <c r="L51" t="b">
        <f>IF(ROW()-ROW($L$1)+1 &lt;= 'FILL ME'!$E$3, TRUE, FALSE)</f>
        <v>0</v>
      </c>
      <c r="M51" t="b">
        <f>IF(ROW()-ROW($M$1)+1 &lt;= 'FILL ME'!$E$4, TRUE, FALSE)</f>
        <v>1</v>
      </c>
      <c r="N51" t="b">
        <f>IF(ROW()-ROW($N$1)+1 &lt;= 'FILL ME'!$E$5, TRUE, FALSE)</f>
        <v>1</v>
      </c>
      <c r="O51" t="b">
        <f>IF(ROW()-ROW($O$1)+1 &lt;= 'FILL ME'!$E$6, TRUE, FALSE)</f>
        <v>1</v>
      </c>
      <c r="P51" t="b">
        <f>IF(ROW()-ROW($P$1)+1 &lt;= 'FILL ME'!$E$7, TRUE, FALSE)</f>
        <v>1</v>
      </c>
      <c r="Q51" t="b">
        <f>IF(ROW()-ROW($Q$1)+1 &lt;= 'FILL ME'!$E$8, TRUE, FALSE)</f>
        <v>1</v>
      </c>
      <c r="R51" t="b">
        <f>IF(ROW()-ROW($R$1)+1 &lt;= 'FILL ME'!$E$10, TRUE, FALSE)</f>
        <v>1</v>
      </c>
    </row>
    <row r="52" spans="1:18" x14ac:dyDescent="0.25">
      <c r="A52" s="7" t="str">
        <f>'FILL ME'!$B$8</f>
        <v>Grab</v>
      </c>
      <c r="B52" t="str">
        <f>IF('FILL ME'!$B$3 = "", "", 'FILL ME'!$B$3)</f>
        <v>WWS</v>
      </c>
      <c r="C52" t="str">
        <f>IF('FILL ME'!$B$4 = "", "", 'FILL ME'!$B$4)</f>
        <v>SSFLAT</v>
      </c>
      <c r="D52" s="7" t="str">
        <f>TEXT('FILL ME'!$B$7,"yyyymmdd")</f>
        <v>20260319</v>
      </c>
      <c r="E52" s="8" t="str">
        <f t="shared" si="0"/>
        <v/>
      </c>
      <c r="F52" s="7">
        <f>IF('FILL ME'!$B$8="ISCO",'FILL ME'!$B$7+'FILL ME'!$B$12+('FILL ME'!$B$13*(G52-'FILL ME'!$B$14)),'FILL ME'!$B$7)</f>
        <v>46100</v>
      </c>
      <c r="G52" s="8">
        <v>3</v>
      </c>
      <c r="H52" s="2" t="str">
        <v>MCSN03</v>
      </c>
      <c r="I52" s="9" t="str">
        <f t="shared" si="1"/>
        <v>MCSN03_03</v>
      </c>
      <c r="J52" s="10" t="str">
        <f t="shared" si="2"/>
        <v>SSFLAT_MCSN03_20260319_03</v>
      </c>
      <c r="K52" s="10" t="str">
        <f t="shared" si="3"/>
        <v>SSFLAT_MCSN03_20260319_</v>
      </c>
      <c r="L52" t="b">
        <f>IF(ROW()-ROW($L$1)+1 &lt;= 'FILL ME'!$E$3, TRUE, FALSE)</f>
        <v>0</v>
      </c>
      <c r="M52" t="b">
        <f>IF(ROW()-ROW($M$1)+1 &lt;= 'FILL ME'!$E$4, TRUE, FALSE)</f>
        <v>1</v>
      </c>
      <c r="N52" t="b">
        <f>IF(ROW()-ROW($N$1)+1 &lt;= 'FILL ME'!$E$5, TRUE, FALSE)</f>
        <v>1</v>
      </c>
      <c r="O52" t="b">
        <f>IF(ROW()-ROW($O$1)+1 &lt;= 'FILL ME'!$E$6, TRUE, FALSE)</f>
        <v>1</v>
      </c>
      <c r="P52" t="b">
        <f>IF(ROW()-ROW($P$1)+1 &lt;= 'FILL ME'!$E$7, TRUE, FALSE)</f>
        <v>1</v>
      </c>
      <c r="Q52" t="b">
        <f>IF(ROW()-ROW($Q$1)+1 &lt;= 'FILL ME'!$E$8, TRUE, FALSE)</f>
        <v>1</v>
      </c>
      <c r="R52" t="b">
        <f>IF(ROW()-ROW($R$1)+1 &lt;= 'FILL ME'!$E$10, TRUE, FALSE)</f>
        <v>1</v>
      </c>
    </row>
    <row r="53" spans="1:18" x14ac:dyDescent="0.25">
      <c r="A53" s="7" t="str">
        <f>'FILL ME'!$B$8</f>
        <v>Grab</v>
      </c>
      <c r="B53" t="str">
        <f>IF('FILL ME'!$B$3 = "", "", 'FILL ME'!$B$3)</f>
        <v>WWS</v>
      </c>
      <c r="C53" t="str">
        <f>IF('FILL ME'!$B$4 = "", "", 'FILL ME'!$B$4)</f>
        <v>SSFLAT</v>
      </c>
      <c r="D53" s="7" t="str">
        <f>TEXT('FILL ME'!$B$7,"yyyymmdd")</f>
        <v>20260319</v>
      </c>
      <c r="E53" s="8" t="str">
        <f t="shared" si="0"/>
        <v/>
      </c>
      <c r="F53" s="7">
        <f>IF('FILL ME'!$B$8="ISCO",'FILL ME'!$B$7+'FILL ME'!$B$12+('FILL ME'!$B$13*(G53-'FILL ME'!$B$14)),'FILL ME'!$B$7)</f>
        <v>46100</v>
      </c>
      <c r="G53" s="8">
        <v>4</v>
      </c>
      <c r="H53" s="2" t="str">
        <v>MCSN03</v>
      </c>
      <c r="I53" s="9" t="str">
        <f t="shared" si="1"/>
        <v>MCSN03_04</v>
      </c>
      <c r="J53" s="10" t="str">
        <f t="shared" si="2"/>
        <v>SSFLAT_MCSN03_20260319_04</v>
      </c>
      <c r="K53" s="10" t="str">
        <f t="shared" si="3"/>
        <v>SSFLAT_MCSN03_20260319_</v>
      </c>
      <c r="L53" t="b">
        <f>IF(ROW()-ROW($L$1)+1 &lt;= 'FILL ME'!$E$3, TRUE, FALSE)</f>
        <v>0</v>
      </c>
      <c r="M53" t="b">
        <f>IF(ROW()-ROW($M$1)+1 &lt;= 'FILL ME'!$E$4, TRUE, FALSE)</f>
        <v>1</v>
      </c>
      <c r="N53" t="b">
        <f>IF(ROW()-ROW($N$1)+1 &lt;= 'FILL ME'!$E$5, TRUE, FALSE)</f>
        <v>1</v>
      </c>
      <c r="O53" t="b">
        <f>IF(ROW()-ROW($O$1)+1 &lt;= 'FILL ME'!$E$6, TRUE, FALSE)</f>
        <v>1</v>
      </c>
      <c r="P53" t="b">
        <f>IF(ROW()-ROW($P$1)+1 &lt;= 'FILL ME'!$E$7, TRUE, FALSE)</f>
        <v>1</v>
      </c>
      <c r="Q53" t="b">
        <f>IF(ROW()-ROW($Q$1)+1 &lt;= 'FILL ME'!$E$8, TRUE, FALSE)</f>
        <v>1</v>
      </c>
      <c r="R53" t="b">
        <f>IF(ROW()-ROW($R$1)+1 &lt;= 'FILL ME'!$E$10, TRUE, FALSE)</f>
        <v>1</v>
      </c>
    </row>
    <row r="54" spans="1:18" x14ac:dyDescent="0.25">
      <c r="A54" s="7" t="str">
        <f>'FILL ME'!$B$8</f>
        <v>Grab</v>
      </c>
      <c r="B54" t="str">
        <f>IF('FILL ME'!$B$3 = "", "", 'FILL ME'!$B$3)</f>
        <v>WWS</v>
      </c>
      <c r="C54" t="str">
        <f>IF('FILL ME'!$B$4 = "", "", 'FILL ME'!$B$4)</f>
        <v>SSFLAT</v>
      </c>
      <c r="D54" s="7" t="str">
        <f>TEXT('FILL ME'!$B$7,"yyyymmdd")</f>
        <v>20260319</v>
      </c>
      <c r="E54" s="8" t="str">
        <f t="shared" si="0"/>
        <v/>
      </c>
      <c r="F54" s="7">
        <f>IF('FILL ME'!$B$8="ISCO",'FILL ME'!$B$7+'FILL ME'!$B$12+('FILL ME'!$B$13*(G54-'FILL ME'!$B$14)),'FILL ME'!$B$7)</f>
        <v>46100</v>
      </c>
      <c r="G54" s="8">
        <v>5</v>
      </c>
      <c r="H54" s="2" t="str">
        <v>MCSN03</v>
      </c>
      <c r="I54" s="9" t="str">
        <f t="shared" si="1"/>
        <v>MCSN03_05</v>
      </c>
      <c r="J54" s="10" t="str">
        <f t="shared" si="2"/>
        <v>SSFLAT_MCSN03_20260319_05</v>
      </c>
      <c r="K54" s="10" t="str">
        <f t="shared" si="3"/>
        <v>SSFLAT_MCSN03_20260319_</v>
      </c>
      <c r="L54" t="b">
        <f>IF(ROW()-ROW($L$1)+1 &lt;= 'FILL ME'!$E$3, TRUE, FALSE)</f>
        <v>0</v>
      </c>
      <c r="M54" t="b">
        <f>IF(ROW()-ROW($M$1)+1 &lt;= 'FILL ME'!$E$4, TRUE, FALSE)</f>
        <v>1</v>
      </c>
      <c r="N54" t="b">
        <f>IF(ROW()-ROW($N$1)+1 &lt;= 'FILL ME'!$E$5, TRUE, FALSE)</f>
        <v>1</v>
      </c>
      <c r="O54" t="b">
        <f>IF(ROW()-ROW($O$1)+1 &lt;= 'FILL ME'!$E$6, TRUE, FALSE)</f>
        <v>1</v>
      </c>
      <c r="P54" t="b">
        <f>IF(ROW()-ROW($P$1)+1 &lt;= 'FILL ME'!$E$7, TRUE, FALSE)</f>
        <v>1</v>
      </c>
      <c r="Q54" t="b">
        <f>IF(ROW()-ROW($Q$1)+1 &lt;= 'FILL ME'!$E$8, TRUE, FALSE)</f>
        <v>1</v>
      </c>
      <c r="R54" t="b">
        <f>IF(ROW()-ROW($R$1)+1 &lt;= 'FILL ME'!$E$10, TRUE, FALSE)</f>
        <v>1</v>
      </c>
    </row>
    <row r="55" spans="1:18" x14ac:dyDescent="0.25">
      <c r="A55" s="7" t="str">
        <f>'FILL ME'!$B$8</f>
        <v>Grab</v>
      </c>
      <c r="B55" t="str">
        <f>IF('FILL ME'!$B$3 = "", "", 'FILL ME'!$B$3)</f>
        <v>WWS</v>
      </c>
      <c r="C55" t="str">
        <f>IF('FILL ME'!$B$4 = "", "", 'FILL ME'!$B$4)</f>
        <v>SSFLAT</v>
      </c>
      <c r="D55" s="7" t="str">
        <f>TEXT('FILL ME'!$B$7,"yyyymmdd")</f>
        <v>20260319</v>
      </c>
      <c r="E55" s="8" t="str">
        <f t="shared" si="0"/>
        <v/>
      </c>
      <c r="F55" s="7">
        <f>IF('FILL ME'!$B$8="ISCO",'FILL ME'!$B$7+'FILL ME'!$B$12+('FILL ME'!$B$13*(G55-'FILL ME'!$B$14)),'FILL ME'!$B$7)</f>
        <v>46100</v>
      </c>
      <c r="G55" s="8">
        <v>6</v>
      </c>
      <c r="H55" s="2" t="str">
        <v>MCSN03</v>
      </c>
      <c r="I55" s="9" t="str">
        <f t="shared" si="1"/>
        <v>MCSN03_06</v>
      </c>
      <c r="J55" s="10" t="str">
        <f t="shared" si="2"/>
        <v>SSFLAT_MCSN03_20260319_06</v>
      </c>
      <c r="K55" s="10" t="str">
        <f t="shared" si="3"/>
        <v>SSFLAT_MCSN03_20260319_</v>
      </c>
      <c r="L55" t="b">
        <f>IF(ROW()-ROW($L$1)+1 &lt;= 'FILL ME'!$E$3, TRUE, FALSE)</f>
        <v>0</v>
      </c>
      <c r="M55" t="b">
        <f>IF(ROW()-ROW($M$1)+1 &lt;= 'FILL ME'!$E$4, TRUE, FALSE)</f>
        <v>1</v>
      </c>
      <c r="N55" t="b">
        <f>IF(ROW()-ROW($N$1)+1 &lt;= 'FILL ME'!$E$5, TRUE, FALSE)</f>
        <v>1</v>
      </c>
      <c r="O55" t="b">
        <f>IF(ROW()-ROW($O$1)+1 &lt;= 'FILL ME'!$E$6, TRUE, FALSE)</f>
        <v>1</v>
      </c>
      <c r="P55" t="b">
        <f>IF(ROW()-ROW($P$1)+1 &lt;= 'FILL ME'!$E$7, TRUE, FALSE)</f>
        <v>1</v>
      </c>
      <c r="Q55" t="b">
        <f>IF(ROW()-ROW($Q$1)+1 &lt;= 'FILL ME'!$E$8, TRUE, FALSE)</f>
        <v>1</v>
      </c>
      <c r="R55" t="b">
        <f>IF(ROW()-ROW($R$1)+1 &lt;= 'FILL ME'!$E$10, TRUE, FALSE)</f>
        <v>1</v>
      </c>
    </row>
    <row r="56" spans="1:18" x14ac:dyDescent="0.25">
      <c r="A56" s="7" t="str">
        <f>'FILL ME'!$B$8</f>
        <v>Grab</v>
      </c>
      <c r="B56" t="str">
        <f>IF('FILL ME'!$B$3 = "", "", 'FILL ME'!$B$3)</f>
        <v>WWS</v>
      </c>
      <c r="C56" t="str">
        <f>IF('FILL ME'!$B$4 = "", "", 'FILL ME'!$B$4)</f>
        <v>SSFLAT</v>
      </c>
      <c r="D56" s="7" t="str">
        <f>TEXT('FILL ME'!$B$7,"yyyymmdd")</f>
        <v>20260319</v>
      </c>
      <c r="E56" s="8" t="str">
        <f t="shared" si="0"/>
        <v/>
      </c>
      <c r="F56" s="7">
        <f>IF('FILL ME'!$B$8="ISCO",'FILL ME'!$B$7+'FILL ME'!$B$12+('FILL ME'!$B$13*(G56-'FILL ME'!$B$14)),'FILL ME'!$B$7)</f>
        <v>46100</v>
      </c>
      <c r="G56" s="8">
        <v>7</v>
      </c>
      <c r="H56" s="2" t="str">
        <v>MCSN03</v>
      </c>
      <c r="I56" s="9" t="str">
        <f t="shared" si="1"/>
        <v>MCSN03_07</v>
      </c>
      <c r="J56" s="10" t="str">
        <f t="shared" si="2"/>
        <v>SSFLAT_MCSN03_20260319_07</v>
      </c>
      <c r="K56" s="10" t="str">
        <f t="shared" si="3"/>
        <v>SSFLAT_MCSN03_20260319_</v>
      </c>
      <c r="L56" t="b">
        <f>IF(ROW()-ROW($L$1)+1 &lt;= 'FILL ME'!$E$3, TRUE, FALSE)</f>
        <v>0</v>
      </c>
      <c r="M56" t="b">
        <f>IF(ROW()-ROW($M$1)+1 &lt;= 'FILL ME'!$E$4, TRUE, FALSE)</f>
        <v>1</v>
      </c>
      <c r="N56" t="b">
        <f>IF(ROW()-ROW($N$1)+1 &lt;= 'FILL ME'!$E$5, TRUE, FALSE)</f>
        <v>1</v>
      </c>
      <c r="O56" t="b">
        <f>IF(ROW()-ROW($O$1)+1 &lt;= 'FILL ME'!$E$6, TRUE, FALSE)</f>
        <v>1</v>
      </c>
      <c r="P56" t="b">
        <f>IF(ROW()-ROW($P$1)+1 &lt;= 'FILL ME'!$E$7, TRUE, FALSE)</f>
        <v>1</v>
      </c>
      <c r="Q56" t="b">
        <f>IF(ROW()-ROW($Q$1)+1 &lt;= 'FILL ME'!$E$8, TRUE, FALSE)</f>
        <v>1</v>
      </c>
      <c r="R56" t="b">
        <f>IF(ROW()-ROW($R$1)+1 &lt;= 'FILL ME'!$E$10, TRUE, FALSE)</f>
        <v>1</v>
      </c>
    </row>
    <row r="57" spans="1:18" x14ac:dyDescent="0.25">
      <c r="A57" s="7" t="str">
        <f>'FILL ME'!$B$8</f>
        <v>Grab</v>
      </c>
      <c r="B57" t="str">
        <f>IF('FILL ME'!$B$3 = "", "", 'FILL ME'!$B$3)</f>
        <v>WWS</v>
      </c>
      <c r="C57" t="str">
        <f>IF('FILL ME'!$B$4 = "", "", 'FILL ME'!$B$4)</f>
        <v>SSFLAT</v>
      </c>
      <c r="D57" s="7" t="str">
        <f>TEXT('FILL ME'!$B$7,"yyyymmdd")</f>
        <v>20260319</v>
      </c>
      <c r="E57" s="8" t="str">
        <f t="shared" si="0"/>
        <v/>
      </c>
      <c r="F57" s="7">
        <f>IF('FILL ME'!$B$8="ISCO",'FILL ME'!$B$7+'FILL ME'!$B$12+('FILL ME'!$B$13*(G57-'FILL ME'!$B$14)),'FILL ME'!$B$7)</f>
        <v>46100</v>
      </c>
      <c r="G57" s="8">
        <v>8</v>
      </c>
      <c r="H57" s="2" t="str">
        <v>MCSN03</v>
      </c>
      <c r="I57" s="9" t="str">
        <f t="shared" si="1"/>
        <v>MCSN03_08</v>
      </c>
      <c r="J57" s="10" t="str">
        <f t="shared" si="2"/>
        <v>SSFLAT_MCSN03_20260319_08</v>
      </c>
      <c r="K57" s="10" t="str">
        <f t="shared" si="3"/>
        <v>SSFLAT_MCSN03_20260319_</v>
      </c>
      <c r="L57" t="b">
        <f>IF(ROW()-ROW($L$1)+1 &lt;= 'FILL ME'!$E$3, TRUE, FALSE)</f>
        <v>0</v>
      </c>
      <c r="M57" t="b">
        <f>IF(ROW()-ROW($M$1)+1 &lt;= 'FILL ME'!$E$4, TRUE, FALSE)</f>
        <v>1</v>
      </c>
      <c r="N57" t="b">
        <f>IF(ROW()-ROW($N$1)+1 &lt;= 'FILL ME'!$E$5, TRUE, FALSE)</f>
        <v>1</v>
      </c>
      <c r="O57" t="b">
        <f>IF(ROW()-ROW($O$1)+1 &lt;= 'FILL ME'!$E$6, TRUE, FALSE)</f>
        <v>1</v>
      </c>
      <c r="P57" t="b">
        <f>IF(ROW()-ROW($P$1)+1 &lt;= 'FILL ME'!$E$7, TRUE, FALSE)</f>
        <v>1</v>
      </c>
      <c r="Q57" t="b">
        <f>IF(ROW()-ROW($Q$1)+1 &lt;= 'FILL ME'!$E$8, TRUE, FALSE)</f>
        <v>1</v>
      </c>
      <c r="R57" t="b">
        <f>IF(ROW()-ROW($R$1)+1 &lt;= 'FILL ME'!$E$10, TRUE, FALSE)</f>
        <v>1</v>
      </c>
    </row>
    <row r="58" spans="1:18" x14ac:dyDescent="0.25">
      <c r="A58" s="7" t="str">
        <f>'FILL ME'!$B$8</f>
        <v>Grab</v>
      </c>
      <c r="B58" t="str">
        <f>IF('FILL ME'!$B$3 = "", "", 'FILL ME'!$B$3)</f>
        <v>WWS</v>
      </c>
      <c r="C58" t="str">
        <f>IF('FILL ME'!$B$4 = "", "", 'FILL ME'!$B$4)</f>
        <v>SSFLAT</v>
      </c>
      <c r="D58" s="7" t="str">
        <f>TEXT('FILL ME'!$B$7,"yyyymmdd")</f>
        <v>20260319</v>
      </c>
      <c r="E58" s="8" t="str">
        <f t="shared" si="0"/>
        <v/>
      </c>
      <c r="F58" s="7">
        <f>IF('FILL ME'!$B$8="ISCO",'FILL ME'!$B$7+'FILL ME'!$B$12+('FILL ME'!$B$13*(G58-'FILL ME'!$B$14)),'FILL ME'!$B$7)</f>
        <v>46100</v>
      </c>
      <c r="G58" s="8">
        <v>9</v>
      </c>
      <c r="H58" s="2" t="str">
        <v>MCSN03</v>
      </c>
      <c r="I58" s="9" t="str">
        <f t="shared" si="1"/>
        <v>MCSN03_09</v>
      </c>
      <c r="J58" s="10" t="str">
        <f t="shared" si="2"/>
        <v>SSFLAT_MCSN03_20260319_09</v>
      </c>
      <c r="K58" s="10" t="str">
        <f t="shared" si="3"/>
        <v>SSFLAT_MCSN03_20260319_</v>
      </c>
      <c r="L58" t="b">
        <f>IF(ROW()-ROW($L$1)+1 &lt;= 'FILL ME'!$E$3, TRUE, FALSE)</f>
        <v>0</v>
      </c>
      <c r="M58" t="b">
        <f>IF(ROW()-ROW($M$1)+1 &lt;= 'FILL ME'!$E$4, TRUE, FALSE)</f>
        <v>1</v>
      </c>
      <c r="N58" t="b">
        <f>IF(ROW()-ROW($N$1)+1 &lt;= 'FILL ME'!$E$5, TRUE, FALSE)</f>
        <v>1</v>
      </c>
      <c r="O58" t="b">
        <f>IF(ROW()-ROW($O$1)+1 &lt;= 'FILL ME'!$E$6, TRUE, FALSE)</f>
        <v>1</v>
      </c>
      <c r="P58" t="b">
        <f>IF(ROW()-ROW($P$1)+1 &lt;= 'FILL ME'!$E$7, TRUE, FALSE)</f>
        <v>1</v>
      </c>
      <c r="Q58" t="b">
        <f>IF(ROW()-ROW($Q$1)+1 &lt;= 'FILL ME'!$E$8, TRUE, FALSE)</f>
        <v>1</v>
      </c>
      <c r="R58" t="b">
        <f>IF(ROW()-ROW($R$1)+1 &lt;= 'FILL ME'!$E$10, TRUE, FALSE)</f>
        <v>1</v>
      </c>
    </row>
    <row r="59" spans="1:18" x14ac:dyDescent="0.25">
      <c r="A59" s="7" t="str">
        <f>'FILL ME'!$B$8</f>
        <v>Grab</v>
      </c>
      <c r="B59" t="str">
        <f>IF('FILL ME'!$B$3 = "", "", 'FILL ME'!$B$3)</f>
        <v>WWS</v>
      </c>
      <c r="C59" t="str">
        <f>IF('FILL ME'!$B$4 = "", "", 'FILL ME'!$B$4)</f>
        <v>SSFLAT</v>
      </c>
      <c r="D59" s="7" t="str">
        <f>TEXT('FILL ME'!$B$7,"yyyymmdd")</f>
        <v>20260319</v>
      </c>
      <c r="E59" s="8" t="str">
        <f t="shared" si="0"/>
        <v/>
      </c>
      <c r="F59" s="7">
        <f>IF('FILL ME'!$B$8="ISCO",'FILL ME'!$B$7+'FILL ME'!$B$12+('FILL ME'!$B$13*(G59-'FILL ME'!$B$14)),'FILL ME'!$B$7)</f>
        <v>46100</v>
      </c>
      <c r="G59" s="8">
        <v>10</v>
      </c>
      <c r="H59" s="2" t="str">
        <v>MCSN03</v>
      </c>
      <c r="I59" s="9" t="str">
        <f t="shared" si="1"/>
        <v>MCSN03_10</v>
      </c>
      <c r="J59" s="10" t="str">
        <f t="shared" si="2"/>
        <v>SSFLAT_MCSN03_20260319_10</v>
      </c>
      <c r="K59" s="10" t="str">
        <f t="shared" si="3"/>
        <v>SSFLAT_MCSN03_20260319_</v>
      </c>
      <c r="L59" t="b">
        <f>IF(ROW()-ROW($L$1)+1 &lt;= 'FILL ME'!$E$3, TRUE, FALSE)</f>
        <v>0</v>
      </c>
      <c r="M59" t="b">
        <f>IF(ROW()-ROW($M$1)+1 &lt;= 'FILL ME'!$E$4, TRUE, FALSE)</f>
        <v>1</v>
      </c>
      <c r="N59" t="b">
        <f>IF(ROW()-ROW($N$1)+1 &lt;= 'FILL ME'!$E$5, TRUE, FALSE)</f>
        <v>1</v>
      </c>
      <c r="O59" t="b">
        <f>IF(ROW()-ROW($O$1)+1 &lt;= 'FILL ME'!$E$6, TRUE, FALSE)</f>
        <v>1</v>
      </c>
      <c r="P59" t="b">
        <f>IF(ROW()-ROW($P$1)+1 &lt;= 'FILL ME'!$E$7, TRUE, FALSE)</f>
        <v>1</v>
      </c>
      <c r="Q59" t="b">
        <f>IF(ROW()-ROW($Q$1)+1 &lt;= 'FILL ME'!$E$8, TRUE, FALSE)</f>
        <v>1</v>
      </c>
      <c r="R59" t="b">
        <f>IF(ROW()-ROW($R$1)+1 &lt;= 'FILL ME'!$E$10, TRUE, FALSE)</f>
        <v>1</v>
      </c>
    </row>
    <row r="60" spans="1:18" x14ac:dyDescent="0.25">
      <c r="A60" s="7" t="str">
        <f>'FILL ME'!$B$8</f>
        <v>Grab</v>
      </c>
      <c r="B60" t="str">
        <f>IF('FILL ME'!$B$3 = "", "", 'FILL ME'!$B$3)</f>
        <v>WWS</v>
      </c>
      <c r="C60" t="str">
        <f>IF('FILL ME'!$B$4 = "", "", 'FILL ME'!$B$4)</f>
        <v>SSFLAT</v>
      </c>
      <c r="D60" s="7" t="str">
        <f>TEXT('FILL ME'!$B$7,"yyyymmdd")</f>
        <v>20260319</v>
      </c>
      <c r="E60" s="8" t="str">
        <f t="shared" si="0"/>
        <v/>
      </c>
      <c r="F60" s="7">
        <f>IF('FILL ME'!$B$8="ISCO",'FILL ME'!$B$7+'FILL ME'!$B$12+('FILL ME'!$B$13*(G60-'FILL ME'!$B$14)),'FILL ME'!$B$7)</f>
        <v>46100</v>
      </c>
      <c r="G60" s="8">
        <v>11</v>
      </c>
      <c r="H60" s="2" t="str">
        <v>MCSN03</v>
      </c>
      <c r="I60" s="9" t="str">
        <f t="shared" si="1"/>
        <v>MCSN03_11</v>
      </c>
      <c r="J60" s="10" t="str">
        <f t="shared" si="2"/>
        <v>SSFLAT_MCSN03_20260319_11</v>
      </c>
      <c r="K60" s="10" t="str">
        <f t="shared" si="3"/>
        <v>SSFLAT_MCSN03_20260319_</v>
      </c>
      <c r="L60" t="b">
        <f>IF(ROW()-ROW($L$1)+1 &lt;= 'FILL ME'!$E$3, TRUE, FALSE)</f>
        <v>0</v>
      </c>
      <c r="M60" t="b">
        <f>IF(ROW()-ROW($M$1)+1 &lt;= 'FILL ME'!$E$4, TRUE, FALSE)</f>
        <v>1</v>
      </c>
      <c r="N60" t="b">
        <f>IF(ROW()-ROW($N$1)+1 &lt;= 'FILL ME'!$E$5, TRUE, FALSE)</f>
        <v>1</v>
      </c>
      <c r="O60" t="b">
        <f>IF(ROW()-ROW($O$1)+1 &lt;= 'FILL ME'!$E$6, TRUE, FALSE)</f>
        <v>1</v>
      </c>
      <c r="P60" t="b">
        <f>IF(ROW()-ROW($P$1)+1 &lt;= 'FILL ME'!$E$7, TRUE, FALSE)</f>
        <v>1</v>
      </c>
      <c r="Q60" t="b">
        <f>IF(ROW()-ROW($Q$1)+1 &lt;= 'FILL ME'!$E$8, TRUE, FALSE)</f>
        <v>1</v>
      </c>
      <c r="R60" t="b">
        <f>IF(ROW()-ROW($R$1)+1 &lt;= 'FILL ME'!$E$10, TRUE, FALSE)</f>
        <v>1</v>
      </c>
    </row>
    <row r="61" spans="1:18" x14ac:dyDescent="0.25">
      <c r="A61" s="7" t="str">
        <f>'FILL ME'!$B$8</f>
        <v>Grab</v>
      </c>
      <c r="B61" t="str">
        <f>IF('FILL ME'!$B$3 = "", "", 'FILL ME'!$B$3)</f>
        <v>WWS</v>
      </c>
      <c r="C61" t="str">
        <f>IF('FILL ME'!$B$4 = "", "", 'FILL ME'!$B$4)</f>
        <v>SSFLAT</v>
      </c>
      <c r="D61" s="7" t="str">
        <f>TEXT('FILL ME'!$B$7,"yyyymmdd")</f>
        <v>20260319</v>
      </c>
      <c r="E61" s="8" t="str">
        <f t="shared" si="0"/>
        <v/>
      </c>
      <c r="F61" s="7">
        <f>IF('FILL ME'!$B$8="ISCO",'FILL ME'!$B$7+'FILL ME'!$B$12+('FILL ME'!$B$13*(G61-'FILL ME'!$B$14)),'FILL ME'!$B$7)</f>
        <v>46100</v>
      </c>
      <c r="G61" s="8">
        <v>12</v>
      </c>
      <c r="H61" s="2" t="str">
        <v>MCSN03</v>
      </c>
      <c r="I61" s="9" t="str">
        <f t="shared" si="1"/>
        <v>MCSN03_12</v>
      </c>
      <c r="J61" s="10" t="str">
        <f t="shared" si="2"/>
        <v>SSFLAT_MCSN03_20260319_12</v>
      </c>
      <c r="K61" s="10" t="str">
        <f t="shared" si="3"/>
        <v>SSFLAT_MCSN03_20260319_</v>
      </c>
      <c r="L61" t="b">
        <f>IF(ROW()-ROW($L$1)+1 &lt;= 'FILL ME'!$E$3, TRUE, FALSE)</f>
        <v>0</v>
      </c>
      <c r="M61" t="b">
        <f>IF(ROW()-ROW($M$1)+1 &lt;= 'FILL ME'!$E$4, TRUE, FALSE)</f>
        <v>1</v>
      </c>
      <c r="N61" t="b">
        <f>IF(ROW()-ROW($N$1)+1 &lt;= 'FILL ME'!$E$5, TRUE, FALSE)</f>
        <v>1</v>
      </c>
      <c r="O61" t="b">
        <f>IF(ROW()-ROW($O$1)+1 &lt;= 'FILL ME'!$E$6, TRUE, FALSE)</f>
        <v>1</v>
      </c>
      <c r="P61" t="b">
        <f>IF(ROW()-ROW($P$1)+1 &lt;= 'FILL ME'!$E$7, TRUE, FALSE)</f>
        <v>1</v>
      </c>
      <c r="Q61" t="b">
        <f>IF(ROW()-ROW($Q$1)+1 &lt;= 'FILL ME'!$E$8, TRUE, FALSE)</f>
        <v>1</v>
      </c>
      <c r="R61" t="b">
        <f>IF(ROW()-ROW($R$1)+1 &lt;= 'FILL ME'!$E$10, TRUE, FALSE)</f>
        <v>1</v>
      </c>
    </row>
    <row r="62" spans="1:18" x14ac:dyDescent="0.25">
      <c r="A62" s="7" t="str">
        <f>'FILL ME'!$B$8</f>
        <v>Grab</v>
      </c>
      <c r="B62" t="str">
        <f>IF('FILL ME'!$B$3 = "", "", 'FILL ME'!$B$3)</f>
        <v>WWS</v>
      </c>
      <c r="C62" t="str">
        <f>IF('FILL ME'!$B$4 = "", "", 'FILL ME'!$B$4)</f>
        <v>SSFLAT</v>
      </c>
      <c r="D62" s="7" t="str">
        <f>TEXT('FILL ME'!$B$7,"yyyymmdd")</f>
        <v>20260319</v>
      </c>
      <c r="E62" s="8" t="str">
        <f t="shared" si="0"/>
        <v/>
      </c>
      <c r="F62" s="7">
        <f>IF('FILL ME'!$B$8="ISCO",'FILL ME'!$B$7+'FILL ME'!$B$12+('FILL ME'!$B$13*(G62-'FILL ME'!$B$14)),'FILL ME'!$B$7)</f>
        <v>46100</v>
      </c>
      <c r="G62" s="8">
        <v>13</v>
      </c>
      <c r="H62" s="2" t="str">
        <v>MCSN03</v>
      </c>
      <c r="I62" s="9" t="str">
        <f t="shared" si="1"/>
        <v>MCSN03_13</v>
      </c>
      <c r="J62" s="10" t="str">
        <f t="shared" si="2"/>
        <v>SSFLAT_MCSN03_20260319_13</v>
      </c>
      <c r="K62" s="10" t="str">
        <f t="shared" si="3"/>
        <v>SSFLAT_MCSN03_20260319_</v>
      </c>
      <c r="L62" t="b">
        <f>IF(ROW()-ROW($L$1)+1 &lt;= 'FILL ME'!$E$3, TRUE, FALSE)</f>
        <v>0</v>
      </c>
      <c r="M62" t="b">
        <f>IF(ROW()-ROW($M$1)+1 &lt;= 'FILL ME'!$E$4, TRUE, FALSE)</f>
        <v>1</v>
      </c>
      <c r="N62" t="b">
        <f>IF(ROW()-ROW($N$1)+1 &lt;= 'FILL ME'!$E$5, TRUE, FALSE)</f>
        <v>1</v>
      </c>
      <c r="O62" t="b">
        <f>IF(ROW()-ROW($O$1)+1 &lt;= 'FILL ME'!$E$6, TRUE, FALSE)</f>
        <v>1</v>
      </c>
      <c r="P62" t="b">
        <f>IF(ROW()-ROW($P$1)+1 &lt;= 'FILL ME'!$E$7, TRUE, FALSE)</f>
        <v>1</v>
      </c>
      <c r="Q62" t="b">
        <f>IF(ROW()-ROW($Q$1)+1 &lt;= 'FILL ME'!$E$8, TRUE, FALSE)</f>
        <v>1</v>
      </c>
      <c r="R62" t="b">
        <f>IF(ROW()-ROW($R$1)+1 &lt;= 'FILL ME'!$E$10, TRUE, FALSE)</f>
        <v>1</v>
      </c>
    </row>
    <row r="63" spans="1:18" x14ac:dyDescent="0.25">
      <c r="A63" s="7" t="str">
        <f>'FILL ME'!$B$8</f>
        <v>Grab</v>
      </c>
      <c r="B63" t="str">
        <f>IF('FILL ME'!$B$3 = "", "", 'FILL ME'!$B$3)</f>
        <v>WWS</v>
      </c>
      <c r="C63" t="str">
        <f>IF('FILL ME'!$B$4 = "", "", 'FILL ME'!$B$4)</f>
        <v>SSFLAT</v>
      </c>
      <c r="D63" s="7" t="str">
        <f>TEXT('FILL ME'!$B$7,"yyyymmdd")</f>
        <v>20260319</v>
      </c>
      <c r="E63" s="8" t="str">
        <f t="shared" si="0"/>
        <v/>
      </c>
      <c r="F63" s="7">
        <f>IF('FILL ME'!$B$8="ISCO",'FILL ME'!$B$7+'FILL ME'!$B$12+('FILL ME'!$B$13*(G63-'FILL ME'!$B$14)),'FILL ME'!$B$7)</f>
        <v>46100</v>
      </c>
      <c r="G63" s="8">
        <v>14</v>
      </c>
      <c r="H63" s="2" t="str">
        <v>MCSN03</v>
      </c>
      <c r="I63" s="9" t="str">
        <f t="shared" si="1"/>
        <v>MCSN03_14</v>
      </c>
      <c r="J63" s="10" t="str">
        <f t="shared" si="2"/>
        <v>SSFLAT_MCSN03_20260319_14</v>
      </c>
      <c r="K63" s="10" t="str">
        <f t="shared" si="3"/>
        <v>SSFLAT_MCSN03_20260319_</v>
      </c>
      <c r="L63" t="b">
        <f>IF(ROW()-ROW($L$1)+1 &lt;= 'FILL ME'!$E$3, TRUE, FALSE)</f>
        <v>0</v>
      </c>
      <c r="M63" t="b">
        <f>IF(ROW()-ROW($M$1)+1 &lt;= 'FILL ME'!$E$4, TRUE, FALSE)</f>
        <v>1</v>
      </c>
      <c r="N63" t="b">
        <f>IF(ROW()-ROW($N$1)+1 &lt;= 'FILL ME'!$E$5, TRUE, FALSE)</f>
        <v>1</v>
      </c>
      <c r="O63" t="b">
        <f>IF(ROW()-ROW($O$1)+1 &lt;= 'FILL ME'!$E$6, TRUE, FALSE)</f>
        <v>1</v>
      </c>
      <c r="P63" t="b">
        <f>IF(ROW()-ROW($P$1)+1 &lt;= 'FILL ME'!$E$7, TRUE, FALSE)</f>
        <v>1</v>
      </c>
      <c r="Q63" t="b">
        <f>IF(ROW()-ROW($Q$1)+1 &lt;= 'FILL ME'!$E$8, TRUE, FALSE)</f>
        <v>1</v>
      </c>
      <c r="R63" t="b">
        <f>IF(ROW()-ROW($R$1)+1 &lt;= 'FILL ME'!$E$10, TRUE, FALSE)</f>
        <v>1</v>
      </c>
    </row>
    <row r="64" spans="1:18" x14ac:dyDescent="0.25">
      <c r="A64" s="7" t="str">
        <f>'FILL ME'!$B$8</f>
        <v>Grab</v>
      </c>
      <c r="B64" t="str">
        <f>IF('FILL ME'!$B$3 = "", "", 'FILL ME'!$B$3)</f>
        <v>WWS</v>
      </c>
      <c r="C64" t="str">
        <f>IF('FILL ME'!$B$4 = "", "", 'FILL ME'!$B$4)</f>
        <v>SSFLAT</v>
      </c>
      <c r="D64" s="7" t="str">
        <f>TEXT('FILL ME'!$B$7,"yyyymmdd")</f>
        <v>20260319</v>
      </c>
      <c r="E64" s="8" t="str">
        <f t="shared" si="0"/>
        <v/>
      </c>
      <c r="F64" s="7">
        <f>IF('FILL ME'!$B$8="ISCO",'FILL ME'!$B$7+'FILL ME'!$B$12+('FILL ME'!$B$13*(G64-'FILL ME'!$B$14)),'FILL ME'!$B$7)</f>
        <v>46100</v>
      </c>
      <c r="G64" s="8">
        <v>15</v>
      </c>
      <c r="H64" s="2" t="str">
        <v>MCSN03</v>
      </c>
      <c r="I64" s="9" t="str">
        <f t="shared" si="1"/>
        <v>MCSN03_15</v>
      </c>
      <c r="J64" s="10" t="str">
        <f t="shared" si="2"/>
        <v>SSFLAT_MCSN03_20260319_15</v>
      </c>
      <c r="K64" s="10" t="str">
        <f t="shared" si="3"/>
        <v>SSFLAT_MCSN03_20260319_</v>
      </c>
      <c r="L64" t="b">
        <f>IF(ROW()-ROW($L$1)+1 &lt;= 'FILL ME'!$E$3, TRUE, FALSE)</f>
        <v>0</v>
      </c>
      <c r="M64" t="b">
        <f>IF(ROW()-ROW($M$1)+1 &lt;= 'FILL ME'!$E$4, TRUE, FALSE)</f>
        <v>1</v>
      </c>
      <c r="N64" t="b">
        <f>IF(ROW()-ROW($N$1)+1 &lt;= 'FILL ME'!$E$5, TRUE, FALSE)</f>
        <v>1</v>
      </c>
      <c r="O64" t="b">
        <f>IF(ROW()-ROW($O$1)+1 &lt;= 'FILL ME'!$E$6, TRUE, FALSE)</f>
        <v>1</v>
      </c>
      <c r="P64" t="b">
        <f>IF(ROW()-ROW($P$1)+1 &lt;= 'FILL ME'!$E$7, TRUE, FALSE)</f>
        <v>1</v>
      </c>
      <c r="Q64" t="b">
        <f>IF(ROW()-ROW($Q$1)+1 &lt;= 'FILL ME'!$E$8, TRUE, FALSE)</f>
        <v>1</v>
      </c>
      <c r="R64" t="b">
        <f>IF(ROW()-ROW($R$1)+1 &lt;= 'FILL ME'!$E$10, TRUE, FALSE)</f>
        <v>1</v>
      </c>
    </row>
    <row r="65" spans="1:18" x14ac:dyDescent="0.25">
      <c r="A65" s="7" t="str">
        <f>'FILL ME'!$B$8</f>
        <v>Grab</v>
      </c>
      <c r="B65" t="str">
        <f>IF('FILL ME'!$B$3 = "", "", 'FILL ME'!$B$3)</f>
        <v>WWS</v>
      </c>
      <c r="C65" t="str">
        <f>IF('FILL ME'!$B$4 = "", "", 'FILL ME'!$B$4)</f>
        <v>SSFLAT</v>
      </c>
      <c r="D65" s="7" t="str">
        <f>TEXT('FILL ME'!$B$7,"yyyymmdd")</f>
        <v>20260319</v>
      </c>
      <c r="E65" s="8" t="str">
        <f t="shared" si="0"/>
        <v/>
      </c>
      <c r="F65" s="7">
        <f>IF('FILL ME'!$B$8="ISCO",'FILL ME'!$B$7+'FILL ME'!$B$12+('FILL ME'!$B$13*(G65-'FILL ME'!$B$14)),'FILL ME'!$B$7)</f>
        <v>46100</v>
      </c>
      <c r="G65" s="8">
        <v>16</v>
      </c>
      <c r="H65" s="2" t="str">
        <v>MCSN03</v>
      </c>
      <c r="I65" s="9" t="str">
        <f t="shared" si="1"/>
        <v>MCSN03_16</v>
      </c>
      <c r="J65" s="10" t="str">
        <f t="shared" si="2"/>
        <v>SSFLAT_MCSN03_20260319_16</v>
      </c>
      <c r="K65" s="10" t="str">
        <f t="shared" si="3"/>
        <v>SSFLAT_MCSN03_20260319_</v>
      </c>
      <c r="L65" t="b">
        <f>IF(ROW()-ROW($L$1)+1 &lt;= 'FILL ME'!$E$3, TRUE, FALSE)</f>
        <v>0</v>
      </c>
      <c r="M65" t="b">
        <f>IF(ROW()-ROW($M$1)+1 &lt;= 'FILL ME'!$E$4, TRUE, FALSE)</f>
        <v>1</v>
      </c>
      <c r="N65" t="b">
        <f>IF(ROW()-ROW($N$1)+1 &lt;= 'FILL ME'!$E$5, TRUE, FALSE)</f>
        <v>1</v>
      </c>
      <c r="O65" t="b">
        <f>IF(ROW()-ROW($O$1)+1 &lt;= 'FILL ME'!$E$6, TRUE, FALSE)</f>
        <v>1</v>
      </c>
      <c r="P65" t="b">
        <f>IF(ROW()-ROW($P$1)+1 &lt;= 'FILL ME'!$E$7, TRUE, FALSE)</f>
        <v>1</v>
      </c>
      <c r="Q65" t="b">
        <f>IF(ROW()-ROW($Q$1)+1 &lt;= 'FILL ME'!$E$8, TRUE, FALSE)</f>
        <v>1</v>
      </c>
      <c r="R65" t="b">
        <f>IF(ROW()-ROW($R$1)+1 &lt;= 'FILL ME'!$E$10, TRUE, FALSE)</f>
        <v>1</v>
      </c>
    </row>
    <row r="66" spans="1:18" x14ac:dyDescent="0.25">
      <c r="A66" s="7" t="str">
        <f>'FILL ME'!$B$8</f>
        <v>Grab</v>
      </c>
      <c r="B66" t="str">
        <f>IF('FILL ME'!$B$3 = "", "", 'FILL ME'!$B$3)</f>
        <v>WWS</v>
      </c>
      <c r="C66" t="str">
        <f>IF('FILL ME'!$B$4 = "", "", 'FILL ME'!$B$4)</f>
        <v>SSFLAT</v>
      </c>
      <c r="D66" s="7" t="str">
        <f>TEXT('FILL ME'!$B$7,"yyyymmdd")</f>
        <v>20260319</v>
      </c>
      <c r="E66" s="8" t="str">
        <f t="shared" ref="E66:E129" si="4">IF(A66="Grab","",TEXT(F66,"hh:mm"))</f>
        <v/>
      </c>
      <c r="F66" s="7">
        <f>IF('FILL ME'!$B$8="ISCO",'FILL ME'!$B$7+'FILL ME'!$B$12+('FILL ME'!$B$13*(G66-'FILL ME'!$B$14)),'FILL ME'!$B$7)</f>
        <v>46100</v>
      </c>
      <c r="G66" s="8">
        <v>17</v>
      </c>
      <c r="H66" s="2" t="str">
        <v>MCSN03</v>
      </c>
      <c r="I66" s="9" t="str">
        <f t="shared" si="1"/>
        <v>MCSN03_17</v>
      </c>
      <c r="J66" s="10" t="str">
        <f t="shared" si="2"/>
        <v>SSFLAT_MCSN03_20260319_17</v>
      </c>
      <c r="K66" s="10" t="str">
        <f t="shared" si="3"/>
        <v>SSFLAT_MCSN03_20260319_</v>
      </c>
      <c r="L66" t="b">
        <f>IF(ROW()-ROW($L$1)+1 &lt;= 'FILL ME'!$E$3, TRUE, FALSE)</f>
        <v>0</v>
      </c>
      <c r="M66" t="b">
        <f>IF(ROW()-ROW($M$1)+1 &lt;= 'FILL ME'!$E$4, TRUE, FALSE)</f>
        <v>1</v>
      </c>
      <c r="N66" t="b">
        <f>IF(ROW()-ROW($N$1)+1 &lt;= 'FILL ME'!$E$5, TRUE, FALSE)</f>
        <v>1</v>
      </c>
      <c r="O66" t="b">
        <f>IF(ROW()-ROW($O$1)+1 &lt;= 'FILL ME'!$E$6, TRUE, FALSE)</f>
        <v>1</v>
      </c>
      <c r="P66" t="b">
        <f>IF(ROW()-ROW($P$1)+1 &lt;= 'FILL ME'!$E$7, TRUE, FALSE)</f>
        <v>1</v>
      </c>
      <c r="Q66" t="b">
        <f>IF(ROW()-ROW($Q$1)+1 &lt;= 'FILL ME'!$E$8, TRUE, FALSE)</f>
        <v>1</v>
      </c>
      <c r="R66" t="b">
        <f>IF(ROW()-ROW($R$1)+1 &lt;= 'FILL ME'!$E$10, TRUE, FALSE)</f>
        <v>1</v>
      </c>
    </row>
    <row r="67" spans="1:18" x14ac:dyDescent="0.25">
      <c r="A67" s="7" t="str">
        <f>'FILL ME'!$B$8</f>
        <v>Grab</v>
      </c>
      <c r="B67" t="str">
        <f>IF('FILL ME'!$B$3 = "", "", 'FILL ME'!$B$3)</f>
        <v>WWS</v>
      </c>
      <c r="C67" t="str">
        <f>IF('FILL ME'!$B$4 = "", "", 'FILL ME'!$B$4)</f>
        <v>SSFLAT</v>
      </c>
      <c r="D67" s="7" t="str">
        <f>TEXT('FILL ME'!$B$7,"yyyymmdd")</f>
        <v>20260319</v>
      </c>
      <c r="E67" s="8" t="str">
        <f t="shared" si="4"/>
        <v/>
      </c>
      <c r="F67" s="7">
        <f>IF('FILL ME'!$B$8="ISCO",'FILL ME'!$B$7+'FILL ME'!$B$12+('FILL ME'!$B$13*(G67-'FILL ME'!$B$14)),'FILL ME'!$B$7)</f>
        <v>46100</v>
      </c>
      <c r="G67" s="8">
        <v>18</v>
      </c>
      <c r="H67" s="2" t="str">
        <v>MCSN03</v>
      </c>
      <c r="I67" s="9" t="str">
        <f t="shared" ref="I67:I130" si="5">CONCATENATE(H67,"_",TEXT(G67,"00"))</f>
        <v>MCSN03_18</v>
      </c>
      <c r="J67" s="10" t="str">
        <f t="shared" ref="J67:J130" si="6">CONCATENATE(C67,"_", H67,"_",D67,"_",TEXT(G67,"00"))</f>
        <v>SSFLAT_MCSN03_20260319_18</v>
      </c>
      <c r="K67" s="10" t="str">
        <f t="shared" ref="K67:K130" si="7">CONCATENATE(C67,"_", H67,"_",TEXT(F67, "yyyymmdd"),"_",TEXT(E67, "hhmm"))</f>
        <v>SSFLAT_MCSN03_20260319_</v>
      </c>
      <c r="L67" t="b">
        <f>IF(ROW()-ROW($L$1)+1 &lt;= 'FILL ME'!$E$3, TRUE, FALSE)</f>
        <v>0</v>
      </c>
      <c r="M67" t="b">
        <f>IF(ROW()-ROW($M$1)+1 &lt;= 'FILL ME'!$E$4, TRUE, FALSE)</f>
        <v>1</v>
      </c>
      <c r="N67" t="b">
        <f>IF(ROW()-ROW($N$1)+1 &lt;= 'FILL ME'!$E$5, TRUE, FALSE)</f>
        <v>1</v>
      </c>
      <c r="O67" t="b">
        <f>IF(ROW()-ROW($O$1)+1 &lt;= 'FILL ME'!$E$6, TRUE, FALSE)</f>
        <v>1</v>
      </c>
      <c r="P67" t="b">
        <f>IF(ROW()-ROW($P$1)+1 &lt;= 'FILL ME'!$E$7, TRUE, FALSE)</f>
        <v>1</v>
      </c>
      <c r="Q67" t="b">
        <f>IF(ROW()-ROW($Q$1)+1 &lt;= 'FILL ME'!$E$8, TRUE, FALSE)</f>
        <v>1</v>
      </c>
      <c r="R67" t="b">
        <f>IF(ROW()-ROW($R$1)+1 &lt;= 'FILL ME'!$E$10, TRUE, FALSE)</f>
        <v>1</v>
      </c>
    </row>
    <row r="68" spans="1:18" x14ac:dyDescent="0.25">
      <c r="A68" s="7" t="str">
        <f>'FILL ME'!$B$8</f>
        <v>Grab</v>
      </c>
      <c r="B68" t="str">
        <f>IF('FILL ME'!$B$3 = "", "", 'FILL ME'!$B$3)</f>
        <v>WWS</v>
      </c>
      <c r="C68" t="str">
        <f>IF('FILL ME'!$B$4 = "", "", 'FILL ME'!$B$4)</f>
        <v>SSFLAT</v>
      </c>
      <c r="D68" s="7" t="str">
        <f>TEXT('FILL ME'!$B$7,"yyyymmdd")</f>
        <v>20260319</v>
      </c>
      <c r="E68" s="8" t="str">
        <f t="shared" si="4"/>
        <v/>
      </c>
      <c r="F68" s="7">
        <f>IF('FILL ME'!$B$8="ISCO",'FILL ME'!$B$7+'FILL ME'!$B$12+('FILL ME'!$B$13*(G68-'FILL ME'!$B$14)),'FILL ME'!$B$7)</f>
        <v>46100</v>
      </c>
      <c r="G68" s="8">
        <v>19</v>
      </c>
      <c r="H68" s="2" t="str">
        <v>MCSN03</v>
      </c>
      <c r="I68" s="9" t="str">
        <f t="shared" si="5"/>
        <v>MCSN03_19</v>
      </c>
      <c r="J68" s="10" t="str">
        <f t="shared" si="6"/>
        <v>SSFLAT_MCSN03_20260319_19</v>
      </c>
      <c r="K68" s="10" t="str">
        <f t="shared" si="7"/>
        <v>SSFLAT_MCSN03_20260319_</v>
      </c>
      <c r="L68" t="b">
        <f>IF(ROW()-ROW($L$1)+1 &lt;= 'FILL ME'!$E$3, TRUE, FALSE)</f>
        <v>0</v>
      </c>
      <c r="M68" t="b">
        <f>IF(ROW()-ROW($M$1)+1 &lt;= 'FILL ME'!$E$4, TRUE, FALSE)</f>
        <v>1</v>
      </c>
      <c r="N68" t="b">
        <f>IF(ROW()-ROW($N$1)+1 &lt;= 'FILL ME'!$E$5, TRUE, FALSE)</f>
        <v>1</v>
      </c>
      <c r="O68" t="b">
        <f>IF(ROW()-ROW($O$1)+1 &lt;= 'FILL ME'!$E$6, TRUE, FALSE)</f>
        <v>1</v>
      </c>
      <c r="P68" t="b">
        <f>IF(ROW()-ROW($P$1)+1 &lt;= 'FILL ME'!$E$7, TRUE, FALSE)</f>
        <v>1</v>
      </c>
      <c r="Q68" t="b">
        <f>IF(ROW()-ROW($Q$1)+1 &lt;= 'FILL ME'!$E$8, TRUE, FALSE)</f>
        <v>1</v>
      </c>
      <c r="R68" t="b">
        <f>IF(ROW()-ROW($R$1)+1 &lt;= 'FILL ME'!$E$10, TRUE, FALSE)</f>
        <v>1</v>
      </c>
    </row>
    <row r="69" spans="1:18" x14ac:dyDescent="0.25">
      <c r="A69" s="7" t="str">
        <f>'FILL ME'!$B$8</f>
        <v>Grab</v>
      </c>
      <c r="B69" t="str">
        <f>IF('FILL ME'!$B$3 = "", "", 'FILL ME'!$B$3)</f>
        <v>WWS</v>
      </c>
      <c r="C69" t="str">
        <f>IF('FILL ME'!$B$4 = "", "", 'FILL ME'!$B$4)</f>
        <v>SSFLAT</v>
      </c>
      <c r="D69" s="7" t="str">
        <f>TEXT('FILL ME'!$B$7,"yyyymmdd")</f>
        <v>20260319</v>
      </c>
      <c r="E69" s="8" t="str">
        <f t="shared" si="4"/>
        <v/>
      </c>
      <c r="F69" s="7">
        <f>IF('FILL ME'!$B$8="ISCO",'FILL ME'!$B$7+'FILL ME'!$B$12+('FILL ME'!$B$13*(G69-'FILL ME'!$B$14)),'FILL ME'!$B$7)</f>
        <v>46100</v>
      </c>
      <c r="G69" s="8">
        <v>20</v>
      </c>
      <c r="H69" s="2" t="str">
        <v>MCSN03</v>
      </c>
      <c r="I69" s="9" t="str">
        <f t="shared" si="5"/>
        <v>MCSN03_20</v>
      </c>
      <c r="J69" s="10" t="str">
        <f t="shared" si="6"/>
        <v>SSFLAT_MCSN03_20260319_20</v>
      </c>
      <c r="K69" s="10" t="str">
        <f t="shared" si="7"/>
        <v>SSFLAT_MCSN03_20260319_</v>
      </c>
      <c r="L69" t="b">
        <f>IF(ROW()-ROW($L$1)+1 &lt;= 'FILL ME'!$E$3, TRUE, FALSE)</f>
        <v>0</v>
      </c>
      <c r="M69" t="b">
        <f>IF(ROW()-ROW($M$1)+1 &lt;= 'FILL ME'!$E$4, TRUE, FALSE)</f>
        <v>1</v>
      </c>
      <c r="N69" t="b">
        <f>IF(ROW()-ROW($N$1)+1 &lt;= 'FILL ME'!$E$5, TRUE, FALSE)</f>
        <v>1</v>
      </c>
      <c r="O69" t="b">
        <f>IF(ROW()-ROW($O$1)+1 &lt;= 'FILL ME'!$E$6, TRUE, FALSE)</f>
        <v>1</v>
      </c>
      <c r="P69" t="b">
        <f>IF(ROW()-ROW($P$1)+1 &lt;= 'FILL ME'!$E$7, TRUE, FALSE)</f>
        <v>1</v>
      </c>
      <c r="Q69" t="b">
        <f>IF(ROW()-ROW($Q$1)+1 &lt;= 'FILL ME'!$E$8, TRUE, FALSE)</f>
        <v>1</v>
      </c>
      <c r="R69" t="b">
        <f>IF(ROW()-ROW($R$1)+1 &lt;= 'FILL ME'!$E$10, TRUE, FALSE)</f>
        <v>1</v>
      </c>
    </row>
    <row r="70" spans="1:18" x14ac:dyDescent="0.25">
      <c r="A70" s="7" t="str">
        <f>'FILL ME'!$B$8</f>
        <v>Grab</v>
      </c>
      <c r="B70" t="str">
        <f>IF('FILL ME'!$B$3 = "", "", 'FILL ME'!$B$3)</f>
        <v>WWS</v>
      </c>
      <c r="C70" t="str">
        <f>IF('FILL ME'!$B$4 = "", "", 'FILL ME'!$B$4)</f>
        <v>SSFLAT</v>
      </c>
      <c r="D70" s="7" t="str">
        <f>TEXT('FILL ME'!$B$7,"yyyymmdd")</f>
        <v>20260319</v>
      </c>
      <c r="E70" s="8" t="str">
        <f t="shared" si="4"/>
        <v/>
      </c>
      <c r="F70" s="7">
        <f>IF('FILL ME'!$B$8="ISCO",'FILL ME'!$B$7+'FILL ME'!$B$12+('FILL ME'!$B$13*(G70-'FILL ME'!$B$14)),'FILL ME'!$B$7)</f>
        <v>46100</v>
      </c>
      <c r="G70" s="8">
        <v>21</v>
      </c>
      <c r="H70" s="2" t="str">
        <v>MCSN03</v>
      </c>
      <c r="I70" s="9" t="str">
        <f t="shared" si="5"/>
        <v>MCSN03_21</v>
      </c>
      <c r="J70" s="10" t="str">
        <f t="shared" si="6"/>
        <v>SSFLAT_MCSN03_20260319_21</v>
      </c>
      <c r="K70" s="10" t="str">
        <f t="shared" si="7"/>
        <v>SSFLAT_MCSN03_20260319_</v>
      </c>
      <c r="L70" t="b">
        <f>IF(ROW()-ROW($L$1)+1 &lt;= 'FILL ME'!$E$3, TRUE, FALSE)</f>
        <v>0</v>
      </c>
      <c r="M70" t="b">
        <f>IF(ROW()-ROW($M$1)+1 &lt;= 'FILL ME'!$E$4, TRUE, FALSE)</f>
        <v>1</v>
      </c>
      <c r="N70" t="b">
        <f>IF(ROW()-ROW($N$1)+1 &lt;= 'FILL ME'!$E$5, TRUE, FALSE)</f>
        <v>1</v>
      </c>
      <c r="O70" t="b">
        <f>IF(ROW()-ROW($O$1)+1 &lt;= 'FILL ME'!$E$6, TRUE, FALSE)</f>
        <v>1</v>
      </c>
      <c r="P70" t="b">
        <f>IF(ROW()-ROW($P$1)+1 &lt;= 'FILL ME'!$E$7, TRUE, FALSE)</f>
        <v>1</v>
      </c>
      <c r="Q70" t="b">
        <f>IF(ROW()-ROW($Q$1)+1 &lt;= 'FILL ME'!$E$8, TRUE, FALSE)</f>
        <v>1</v>
      </c>
      <c r="R70" t="b">
        <f>IF(ROW()-ROW($R$1)+1 &lt;= 'FILL ME'!$E$10, TRUE, FALSE)</f>
        <v>1</v>
      </c>
    </row>
    <row r="71" spans="1:18" x14ac:dyDescent="0.25">
      <c r="A71" s="7" t="str">
        <f>'FILL ME'!$B$8</f>
        <v>Grab</v>
      </c>
      <c r="B71" t="str">
        <f>IF('FILL ME'!$B$3 = "", "", 'FILL ME'!$B$3)</f>
        <v>WWS</v>
      </c>
      <c r="C71" t="str">
        <f>IF('FILL ME'!$B$4 = "", "", 'FILL ME'!$B$4)</f>
        <v>SSFLAT</v>
      </c>
      <c r="D71" s="7" t="str">
        <f>TEXT('FILL ME'!$B$7,"yyyymmdd")</f>
        <v>20260319</v>
      </c>
      <c r="E71" s="8" t="str">
        <f t="shared" si="4"/>
        <v/>
      </c>
      <c r="F71" s="7">
        <f>IF('FILL ME'!$B$8="ISCO",'FILL ME'!$B$7+'FILL ME'!$B$12+('FILL ME'!$B$13*(G71-'FILL ME'!$B$14)),'FILL ME'!$B$7)</f>
        <v>46100</v>
      </c>
      <c r="G71" s="8">
        <v>22</v>
      </c>
      <c r="H71" s="2" t="str">
        <v>MCSN03</v>
      </c>
      <c r="I71" s="9" t="str">
        <f t="shared" si="5"/>
        <v>MCSN03_22</v>
      </c>
      <c r="J71" s="10" t="str">
        <f t="shared" si="6"/>
        <v>SSFLAT_MCSN03_20260319_22</v>
      </c>
      <c r="K71" s="10" t="str">
        <f t="shared" si="7"/>
        <v>SSFLAT_MCSN03_20260319_</v>
      </c>
      <c r="L71" t="b">
        <f>IF(ROW()-ROW($L$1)+1 &lt;= 'FILL ME'!$E$3, TRUE, FALSE)</f>
        <v>0</v>
      </c>
      <c r="M71" t="b">
        <f>IF(ROW()-ROW($M$1)+1 &lt;= 'FILL ME'!$E$4, TRUE, FALSE)</f>
        <v>1</v>
      </c>
      <c r="N71" t="b">
        <f>IF(ROW()-ROW($N$1)+1 &lt;= 'FILL ME'!$E$5, TRUE, FALSE)</f>
        <v>1</v>
      </c>
      <c r="O71" t="b">
        <f>IF(ROW()-ROW($O$1)+1 &lt;= 'FILL ME'!$E$6, TRUE, FALSE)</f>
        <v>1</v>
      </c>
      <c r="P71" t="b">
        <f>IF(ROW()-ROW($P$1)+1 &lt;= 'FILL ME'!$E$7, TRUE, FALSE)</f>
        <v>1</v>
      </c>
      <c r="Q71" t="b">
        <f>IF(ROW()-ROW($Q$1)+1 &lt;= 'FILL ME'!$E$8, TRUE, FALSE)</f>
        <v>1</v>
      </c>
      <c r="R71" t="b">
        <f>IF(ROW()-ROW($R$1)+1 &lt;= 'FILL ME'!$E$10, TRUE, FALSE)</f>
        <v>1</v>
      </c>
    </row>
    <row r="72" spans="1:18" x14ac:dyDescent="0.25">
      <c r="A72" s="7" t="str">
        <f>'FILL ME'!$B$8</f>
        <v>Grab</v>
      </c>
      <c r="B72" t="str">
        <f>IF('FILL ME'!$B$3 = "", "", 'FILL ME'!$B$3)</f>
        <v>WWS</v>
      </c>
      <c r="C72" t="str">
        <f>IF('FILL ME'!$B$4 = "", "", 'FILL ME'!$B$4)</f>
        <v>SSFLAT</v>
      </c>
      <c r="D72" s="7" t="str">
        <f>TEXT('FILL ME'!$B$7,"yyyymmdd")</f>
        <v>20260319</v>
      </c>
      <c r="E72" s="8" t="str">
        <f t="shared" si="4"/>
        <v/>
      </c>
      <c r="F72" s="7">
        <f>IF('FILL ME'!$B$8="ISCO",'FILL ME'!$B$7+'FILL ME'!$B$12+('FILL ME'!$B$13*(G72-'FILL ME'!$B$14)),'FILL ME'!$B$7)</f>
        <v>46100</v>
      </c>
      <c r="G72" s="8">
        <v>23</v>
      </c>
      <c r="H72" s="2" t="str">
        <v>MCSN03</v>
      </c>
      <c r="I72" s="9" t="str">
        <f t="shared" si="5"/>
        <v>MCSN03_23</v>
      </c>
      <c r="J72" s="10" t="str">
        <f t="shared" si="6"/>
        <v>SSFLAT_MCSN03_20260319_23</v>
      </c>
      <c r="K72" s="10" t="str">
        <f t="shared" si="7"/>
        <v>SSFLAT_MCSN03_20260319_</v>
      </c>
      <c r="L72" t="b">
        <f>IF(ROW()-ROW($L$1)+1 &lt;= 'FILL ME'!$E$3, TRUE, FALSE)</f>
        <v>0</v>
      </c>
      <c r="M72" t="b">
        <f>IF(ROW()-ROW($M$1)+1 &lt;= 'FILL ME'!$E$4, TRUE, FALSE)</f>
        <v>1</v>
      </c>
      <c r="N72" t="b">
        <f>IF(ROW()-ROW($N$1)+1 &lt;= 'FILL ME'!$E$5, TRUE, FALSE)</f>
        <v>1</v>
      </c>
      <c r="O72" t="b">
        <f>IF(ROW()-ROW($O$1)+1 &lt;= 'FILL ME'!$E$6, TRUE, FALSE)</f>
        <v>1</v>
      </c>
      <c r="P72" t="b">
        <f>IF(ROW()-ROW($P$1)+1 &lt;= 'FILL ME'!$E$7, TRUE, FALSE)</f>
        <v>1</v>
      </c>
      <c r="Q72" t="b">
        <f>IF(ROW()-ROW($Q$1)+1 &lt;= 'FILL ME'!$E$8, TRUE, FALSE)</f>
        <v>1</v>
      </c>
      <c r="R72" t="b">
        <f>IF(ROW()-ROW($R$1)+1 &lt;= 'FILL ME'!$E$10, TRUE, FALSE)</f>
        <v>1</v>
      </c>
    </row>
    <row r="73" spans="1:18" x14ac:dyDescent="0.25">
      <c r="A73" s="7" t="str">
        <f>'FILL ME'!$B$8</f>
        <v>Grab</v>
      </c>
      <c r="B73" t="str">
        <f>IF('FILL ME'!$B$3 = "", "", 'FILL ME'!$B$3)</f>
        <v>WWS</v>
      </c>
      <c r="C73" t="str">
        <f>IF('FILL ME'!$B$4 = "", "", 'FILL ME'!$B$4)</f>
        <v>SSFLAT</v>
      </c>
      <c r="D73" s="7" t="str">
        <f>TEXT('FILL ME'!$B$7,"yyyymmdd")</f>
        <v>20260319</v>
      </c>
      <c r="E73" s="8" t="str">
        <f t="shared" si="4"/>
        <v/>
      </c>
      <c r="F73" s="7">
        <f>IF('FILL ME'!$B$8="ISCO",'FILL ME'!$B$7+'FILL ME'!$B$12+('FILL ME'!$B$13*(G73-'FILL ME'!$B$14)),'FILL ME'!$B$7)</f>
        <v>46100</v>
      </c>
      <c r="G73" s="8">
        <v>24</v>
      </c>
      <c r="H73" s="2" t="str">
        <v>MCSN03</v>
      </c>
      <c r="I73" s="9" t="str">
        <f t="shared" si="5"/>
        <v>MCSN03_24</v>
      </c>
      <c r="J73" s="10" t="str">
        <f t="shared" si="6"/>
        <v>SSFLAT_MCSN03_20260319_24</v>
      </c>
      <c r="K73" s="10" t="str">
        <f t="shared" si="7"/>
        <v>SSFLAT_MCSN03_20260319_</v>
      </c>
      <c r="L73" t="b">
        <f>IF(ROW()-ROW($L$1)+1 &lt;= 'FILL ME'!$E$3, TRUE, FALSE)</f>
        <v>0</v>
      </c>
      <c r="M73" t="b">
        <f>IF(ROW()-ROW($M$1)+1 &lt;= 'FILL ME'!$E$4, TRUE, FALSE)</f>
        <v>1</v>
      </c>
      <c r="N73" t="b">
        <f>IF(ROW()-ROW($N$1)+1 &lt;= 'FILL ME'!$E$5, TRUE, FALSE)</f>
        <v>1</v>
      </c>
      <c r="O73" t="b">
        <f>IF(ROW()-ROW($O$1)+1 &lt;= 'FILL ME'!$E$6, TRUE, FALSE)</f>
        <v>1</v>
      </c>
      <c r="P73" t="b">
        <f>IF(ROW()-ROW($P$1)+1 &lt;= 'FILL ME'!$E$7, TRUE, FALSE)</f>
        <v>1</v>
      </c>
      <c r="Q73" t="b">
        <f>IF(ROW()-ROW($Q$1)+1 &lt;= 'FILL ME'!$E$8, TRUE, FALSE)</f>
        <v>1</v>
      </c>
      <c r="R73" t="b">
        <f>IF(ROW()-ROW($R$1)+1 &lt;= 'FILL ME'!$E$10, TRUE, FALSE)</f>
        <v>1</v>
      </c>
    </row>
    <row r="74" spans="1:18" x14ac:dyDescent="0.25">
      <c r="A74" s="7" t="str">
        <f>'FILL ME'!$B$8</f>
        <v>Grab</v>
      </c>
      <c r="B74" t="str">
        <f>IF('FILL ME'!$B$3 = "", "", 'FILL ME'!$B$3)</f>
        <v>WWS</v>
      </c>
      <c r="C74" t="str">
        <f>IF('FILL ME'!$B$4 = "", "", 'FILL ME'!$B$4)</f>
        <v>SSFLAT</v>
      </c>
      <c r="D74" s="7" t="str">
        <f>TEXT('FILL ME'!$B$7,"yyyymmdd")</f>
        <v>20260319</v>
      </c>
      <c r="E74" s="8" t="str">
        <f t="shared" si="4"/>
        <v/>
      </c>
      <c r="F74" s="7">
        <f>IF('FILL ME'!$B$8="ISCO",'FILL ME'!$B$7+'FILL ME'!$B$12+('FILL ME'!$B$13*(G74-'FILL ME'!$B$14)),'FILL ME'!$B$7)</f>
        <v>46100</v>
      </c>
      <c r="G74" s="8">
        <v>1</v>
      </c>
      <c r="H74" s="2" t="str">
        <v>MCSN04</v>
      </c>
      <c r="I74" s="9" t="str">
        <f t="shared" si="5"/>
        <v>MCSN04_01</v>
      </c>
      <c r="J74" s="10" t="str">
        <f t="shared" si="6"/>
        <v>SSFLAT_MCSN04_20260319_01</v>
      </c>
      <c r="K74" s="10" t="str">
        <f t="shared" si="7"/>
        <v>SSFLAT_MCSN04_20260319_</v>
      </c>
      <c r="L74" t="b">
        <f>IF(ROW()-ROW($L$1)+1 &lt;= 'FILL ME'!$E$3, TRUE, FALSE)</f>
        <v>0</v>
      </c>
      <c r="M74" t="b">
        <f>IF(ROW()-ROW($M$1)+1 &lt;= 'FILL ME'!$E$4, TRUE, FALSE)</f>
        <v>1</v>
      </c>
      <c r="N74" t="b">
        <f>IF(ROW()-ROW($N$1)+1 &lt;= 'FILL ME'!$E$5, TRUE, FALSE)</f>
        <v>1</v>
      </c>
      <c r="O74" t="b">
        <f>IF(ROW()-ROW($O$1)+1 &lt;= 'FILL ME'!$E$6, TRUE, FALSE)</f>
        <v>1</v>
      </c>
      <c r="P74" t="b">
        <f>IF(ROW()-ROW($P$1)+1 &lt;= 'FILL ME'!$E$7, TRUE, FALSE)</f>
        <v>1</v>
      </c>
      <c r="Q74" t="b">
        <f>IF(ROW()-ROW($Q$1)+1 &lt;= 'FILL ME'!$E$8, TRUE, FALSE)</f>
        <v>1</v>
      </c>
      <c r="R74" t="b">
        <f>IF(ROW()-ROW($R$1)+1 &lt;= 'FILL ME'!$E$10, TRUE, FALSE)</f>
        <v>1</v>
      </c>
    </row>
    <row r="75" spans="1:18" x14ac:dyDescent="0.25">
      <c r="A75" s="7" t="str">
        <f>'FILL ME'!$B$8</f>
        <v>Grab</v>
      </c>
      <c r="B75" t="str">
        <f>IF('FILL ME'!$B$3 = "", "", 'FILL ME'!$B$3)</f>
        <v>WWS</v>
      </c>
      <c r="C75" t="str">
        <f>IF('FILL ME'!$B$4 = "", "", 'FILL ME'!$B$4)</f>
        <v>SSFLAT</v>
      </c>
      <c r="D75" s="7" t="str">
        <f>TEXT('FILL ME'!$B$7,"yyyymmdd")</f>
        <v>20260319</v>
      </c>
      <c r="E75" s="8" t="str">
        <f t="shared" si="4"/>
        <v/>
      </c>
      <c r="F75" s="7">
        <f>IF('FILL ME'!$B$8="ISCO",'FILL ME'!$B$7+'FILL ME'!$B$12+('FILL ME'!$B$13*(G75-'FILL ME'!$B$14)),'FILL ME'!$B$7)</f>
        <v>46100</v>
      </c>
      <c r="G75" s="8">
        <v>2</v>
      </c>
      <c r="H75" s="2" t="str">
        <v>MCSN04</v>
      </c>
      <c r="I75" s="9" t="str">
        <f t="shared" si="5"/>
        <v>MCSN04_02</v>
      </c>
      <c r="J75" s="10" t="str">
        <f t="shared" si="6"/>
        <v>SSFLAT_MCSN04_20260319_02</v>
      </c>
      <c r="K75" s="10" t="str">
        <f t="shared" si="7"/>
        <v>SSFLAT_MCSN04_20260319_</v>
      </c>
      <c r="L75" t="b">
        <f>IF(ROW()-ROW($L$1)+1 &lt;= 'FILL ME'!$E$3, TRUE, FALSE)</f>
        <v>0</v>
      </c>
      <c r="M75" t="b">
        <f>IF(ROW()-ROW($M$1)+1 &lt;= 'FILL ME'!$E$4, TRUE, FALSE)</f>
        <v>1</v>
      </c>
      <c r="N75" t="b">
        <f>IF(ROW()-ROW($N$1)+1 &lt;= 'FILL ME'!$E$5, TRUE, FALSE)</f>
        <v>1</v>
      </c>
      <c r="O75" t="b">
        <f>IF(ROW()-ROW($O$1)+1 &lt;= 'FILL ME'!$E$6, TRUE, FALSE)</f>
        <v>1</v>
      </c>
      <c r="P75" t="b">
        <f>IF(ROW()-ROW($P$1)+1 &lt;= 'FILL ME'!$E$7, TRUE, FALSE)</f>
        <v>1</v>
      </c>
      <c r="Q75" t="b">
        <f>IF(ROW()-ROW($Q$1)+1 &lt;= 'FILL ME'!$E$8, TRUE, FALSE)</f>
        <v>1</v>
      </c>
      <c r="R75" t="b">
        <f>IF(ROW()-ROW($R$1)+1 &lt;= 'FILL ME'!$E$10, TRUE, FALSE)</f>
        <v>1</v>
      </c>
    </row>
    <row r="76" spans="1:18" x14ac:dyDescent="0.25">
      <c r="A76" s="7" t="str">
        <f>'FILL ME'!$B$8</f>
        <v>Grab</v>
      </c>
      <c r="B76" t="str">
        <f>IF('FILL ME'!$B$3 = "", "", 'FILL ME'!$B$3)</f>
        <v>WWS</v>
      </c>
      <c r="C76" t="str">
        <f>IF('FILL ME'!$B$4 = "", "", 'FILL ME'!$B$4)</f>
        <v>SSFLAT</v>
      </c>
      <c r="D76" s="7" t="str">
        <f>TEXT('FILL ME'!$B$7,"yyyymmdd")</f>
        <v>20260319</v>
      </c>
      <c r="E76" s="8" t="str">
        <f t="shared" si="4"/>
        <v/>
      </c>
      <c r="F76" s="7">
        <f>IF('FILL ME'!$B$8="ISCO",'FILL ME'!$B$7+'FILL ME'!$B$12+('FILL ME'!$B$13*(G76-'FILL ME'!$B$14)),'FILL ME'!$B$7)</f>
        <v>46100</v>
      </c>
      <c r="G76" s="8">
        <v>3</v>
      </c>
      <c r="H76" s="2" t="str">
        <v>MCSN04</v>
      </c>
      <c r="I76" s="9" t="str">
        <f t="shared" si="5"/>
        <v>MCSN04_03</v>
      </c>
      <c r="J76" s="10" t="str">
        <f t="shared" si="6"/>
        <v>SSFLAT_MCSN04_20260319_03</v>
      </c>
      <c r="K76" s="10" t="str">
        <f t="shared" si="7"/>
        <v>SSFLAT_MCSN04_20260319_</v>
      </c>
      <c r="L76" t="b">
        <f>IF(ROW()-ROW($L$1)+1 &lt;= 'FILL ME'!$E$3, TRUE, FALSE)</f>
        <v>0</v>
      </c>
      <c r="M76" t="b">
        <f>IF(ROW()-ROW($M$1)+1 &lt;= 'FILL ME'!$E$4, TRUE, FALSE)</f>
        <v>1</v>
      </c>
      <c r="N76" t="b">
        <f>IF(ROW()-ROW($N$1)+1 &lt;= 'FILL ME'!$E$5, TRUE, FALSE)</f>
        <v>1</v>
      </c>
      <c r="O76" t="b">
        <f>IF(ROW()-ROW($O$1)+1 &lt;= 'FILL ME'!$E$6, TRUE, FALSE)</f>
        <v>1</v>
      </c>
      <c r="P76" t="b">
        <f>IF(ROW()-ROW($P$1)+1 &lt;= 'FILL ME'!$E$7, TRUE, FALSE)</f>
        <v>1</v>
      </c>
      <c r="Q76" t="b">
        <f>IF(ROW()-ROW($Q$1)+1 &lt;= 'FILL ME'!$E$8, TRUE, FALSE)</f>
        <v>1</v>
      </c>
      <c r="R76" t="b">
        <f>IF(ROW()-ROW($R$1)+1 &lt;= 'FILL ME'!$E$10, TRUE, FALSE)</f>
        <v>1</v>
      </c>
    </row>
    <row r="77" spans="1:18" x14ac:dyDescent="0.25">
      <c r="A77" s="7" t="str">
        <f>'FILL ME'!$B$8</f>
        <v>Grab</v>
      </c>
      <c r="B77" t="str">
        <f>IF('FILL ME'!$B$3 = "", "", 'FILL ME'!$B$3)</f>
        <v>WWS</v>
      </c>
      <c r="C77" t="str">
        <f>IF('FILL ME'!$B$4 = "", "", 'FILL ME'!$B$4)</f>
        <v>SSFLAT</v>
      </c>
      <c r="D77" s="7" t="str">
        <f>TEXT('FILL ME'!$B$7,"yyyymmdd")</f>
        <v>20260319</v>
      </c>
      <c r="E77" s="8" t="str">
        <f t="shared" si="4"/>
        <v/>
      </c>
      <c r="F77" s="7">
        <f>IF('FILL ME'!$B$8="ISCO",'FILL ME'!$B$7+'FILL ME'!$B$12+('FILL ME'!$B$13*(G77-'FILL ME'!$B$14)),'FILL ME'!$B$7)</f>
        <v>46100</v>
      </c>
      <c r="G77" s="8">
        <v>4</v>
      </c>
      <c r="H77" s="2" t="str">
        <v>MCSN04</v>
      </c>
      <c r="I77" s="9" t="str">
        <f t="shared" si="5"/>
        <v>MCSN04_04</v>
      </c>
      <c r="J77" s="10" t="str">
        <f t="shared" si="6"/>
        <v>SSFLAT_MCSN04_20260319_04</v>
      </c>
      <c r="K77" s="10" t="str">
        <f t="shared" si="7"/>
        <v>SSFLAT_MCSN04_20260319_</v>
      </c>
      <c r="L77" t="b">
        <f>IF(ROW()-ROW($L$1)+1 &lt;= 'FILL ME'!$E$3, TRUE, FALSE)</f>
        <v>0</v>
      </c>
      <c r="M77" t="b">
        <f>IF(ROW()-ROW($M$1)+1 &lt;= 'FILL ME'!$E$4, TRUE, FALSE)</f>
        <v>1</v>
      </c>
      <c r="N77" t="b">
        <f>IF(ROW()-ROW($N$1)+1 &lt;= 'FILL ME'!$E$5, TRUE, FALSE)</f>
        <v>1</v>
      </c>
      <c r="O77" t="b">
        <f>IF(ROW()-ROW($O$1)+1 &lt;= 'FILL ME'!$E$6, TRUE, FALSE)</f>
        <v>1</v>
      </c>
      <c r="P77" t="b">
        <f>IF(ROW()-ROW($P$1)+1 &lt;= 'FILL ME'!$E$7, TRUE, FALSE)</f>
        <v>1</v>
      </c>
      <c r="Q77" t="b">
        <f>IF(ROW()-ROW($Q$1)+1 &lt;= 'FILL ME'!$E$8, TRUE, FALSE)</f>
        <v>1</v>
      </c>
      <c r="R77" t="b">
        <f>IF(ROW()-ROW($R$1)+1 &lt;= 'FILL ME'!$E$10, TRUE, FALSE)</f>
        <v>1</v>
      </c>
    </row>
    <row r="78" spans="1:18" x14ac:dyDescent="0.25">
      <c r="A78" s="7" t="str">
        <f>'FILL ME'!$B$8</f>
        <v>Grab</v>
      </c>
      <c r="B78" t="str">
        <f>IF('FILL ME'!$B$3 = "", "", 'FILL ME'!$B$3)</f>
        <v>WWS</v>
      </c>
      <c r="C78" t="str">
        <f>IF('FILL ME'!$B$4 = "", "", 'FILL ME'!$B$4)</f>
        <v>SSFLAT</v>
      </c>
      <c r="D78" s="7" t="str">
        <f>TEXT('FILL ME'!$B$7,"yyyymmdd")</f>
        <v>20260319</v>
      </c>
      <c r="E78" s="8" t="str">
        <f t="shared" si="4"/>
        <v/>
      </c>
      <c r="F78" s="7">
        <f>IF('FILL ME'!$B$8="ISCO",'FILL ME'!$B$7+'FILL ME'!$B$12+('FILL ME'!$B$13*(G78-'FILL ME'!$B$14)),'FILL ME'!$B$7)</f>
        <v>46100</v>
      </c>
      <c r="G78" s="8">
        <v>5</v>
      </c>
      <c r="H78" s="2" t="str">
        <v>MCSN04</v>
      </c>
      <c r="I78" s="9" t="str">
        <f t="shared" si="5"/>
        <v>MCSN04_05</v>
      </c>
      <c r="J78" s="10" t="str">
        <f t="shared" si="6"/>
        <v>SSFLAT_MCSN04_20260319_05</v>
      </c>
      <c r="K78" s="10" t="str">
        <f t="shared" si="7"/>
        <v>SSFLAT_MCSN04_20260319_</v>
      </c>
      <c r="L78" t="b">
        <f>IF(ROW()-ROW($L$1)+1 &lt;= 'FILL ME'!$E$3, TRUE, FALSE)</f>
        <v>0</v>
      </c>
      <c r="M78" t="b">
        <f>IF(ROW()-ROW($M$1)+1 &lt;= 'FILL ME'!$E$4, TRUE, FALSE)</f>
        <v>1</v>
      </c>
      <c r="N78" t="b">
        <f>IF(ROW()-ROW($N$1)+1 &lt;= 'FILL ME'!$E$5, TRUE, FALSE)</f>
        <v>1</v>
      </c>
      <c r="O78" t="b">
        <f>IF(ROW()-ROW($O$1)+1 &lt;= 'FILL ME'!$E$6, TRUE, FALSE)</f>
        <v>1</v>
      </c>
      <c r="P78" t="b">
        <f>IF(ROW()-ROW($P$1)+1 &lt;= 'FILL ME'!$E$7, TRUE, FALSE)</f>
        <v>1</v>
      </c>
      <c r="Q78" t="b">
        <f>IF(ROW()-ROW($Q$1)+1 &lt;= 'FILL ME'!$E$8, TRUE, FALSE)</f>
        <v>1</v>
      </c>
      <c r="R78" t="b">
        <f>IF(ROW()-ROW($R$1)+1 &lt;= 'FILL ME'!$E$10, TRUE, FALSE)</f>
        <v>1</v>
      </c>
    </row>
    <row r="79" spans="1:18" x14ac:dyDescent="0.25">
      <c r="A79" s="7" t="str">
        <f>'FILL ME'!$B$8</f>
        <v>Grab</v>
      </c>
      <c r="B79" t="str">
        <f>IF('FILL ME'!$B$3 = "", "", 'FILL ME'!$B$3)</f>
        <v>WWS</v>
      </c>
      <c r="C79" t="str">
        <f>IF('FILL ME'!$B$4 = "", "", 'FILL ME'!$B$4)</f>
        <v>SSFLAT</v>
      </c>
      <c r="D79" s="7" t="str">
        <f>TEXT('FILL ME'!$B$7,"yyyymmdd")</f>
        <v>20260319</v>
      </c>
      <c r="E79" s="8" t="str">
        <f t="shared" si="4"/>
        <v/>
      </c>
      <c r="F79" s="7">
        <f>IF('FILL ME'!$B$8="ISCO",'FILL ME'!$B$7+'FILL ME'!$B$12+('FILL ME'!$B$13*(G79-'FILL ME'!$B$14)),'FILL ME'!$B$7)</f>
        <v>46100</v>
      </c>
      <c r="G79" s="8">
        <v>6</v>
      </c>
      <c r="H79" s="2" t="str">
        <v>MCSN04</v>
      </c>
      <c r="I79" s="9" t="str">
        <f t="shared" si="5"/>
        <v>MCSN04_06</v>
      </c>
      <c r="J79" s="10" t="str">
        <f t="shared" si="6"/>
        <v>SSFLAT_MCSN04_20260319_06</v>
      </c>
      <c r="K79" s="10" t="str">
        <f t="shared" si="7"/>
        <v>SSFLAT_MCSN04_20260319_</v>
      </c>
      <c r="L79" t="b">
        <f>IF(ROW()-ROW($L$1)+1 &lt;= 'FILL ME'!$E$3, TRUE, FALSE)</f>
        <v>0</v>
      </c>
      <c r="M79" t="b">
        <f>IF(ROW()-ROW($M$1)+1 &lt;= 'FILL ME'!$E$4, TRUE, FALSE)</f>
        <v>1</v>
      </c>
      <c r="N79" t="b">
        <f>IF(ROW()-ROW($N$1)+1 &lt;= 'FILL ME'!$E$5, TRUE, FALSE)</f>
        <v>1</v>
      </c>
      <c r="O79" t="b">
        <f>IF(ROW()-ROW($O$1)+1 &lt;= 'FILL ME'!$E$6, TRUE, FALSE)</f>
        <v>1</v>
      </c>
      <c r="P79" t="b">
        <f>IF(ROW()-ROW($P$1)+1 &lt;= 'FILL ME'!$E$7, TRUE, FALSE)</f>
        <v>1</v>
      </c>
      <c r="Q79" t="b">
        <f>IF(ROW()-ROW($Q$1)+1 &lt;= 'FILL ME'!$E$8, TRUE, FALSE)</f>
        <v>1</v>
      </c>
      <c r="R79" t="b">
        <f>IF(ROW()-ROW($R$1)+1 &lt;= 'FILL ME'!$E$10, TRUE, FALSE)</f>
        <v>1</v>
      </c>
    </row>
    <row r="80" spans="1:18" x14ac:dyDescent="0.25">
      <c r="A80" s="7" t="str">
        <f>'FILL ME'!$B$8</f>
        <v>Grab</v>
      </c>
      <c r="B80" t="str">
        <f>IF('FILL ME'!$B$3 = "", "", 'FILL ME'!$B$3)</f>
        <v>WWS</v>
      </c>
      <c r="C80" t="str">
        <f>IF('FILL ME'!$B$4 = "", "", 'FILL ME'!$B$4)</f>
        <v>SSFLAT</v>
      </c>
      <c r="D80" s="7" t="str">
        <f>TEXT('FILL ME'!$B$7,"yyyymmdd")</f>
        <v>20260319</v>
      </c>
      <c r="E80" s="8" t="str">
        <f t="shared" si="4"/>
        <v/>
      </c>
      <c r="F80" s="7">
        <f>IF('FILL ME'!$B$8="ISCO",'FILL ME'!$B$7+'FILL ME'!$B$12+('FILL ME'!$B$13*(G80-'FILL ME'!$B$14)),'FILL ME'!$B$7)</f>
        <v>46100</v>
      </c>
      <c r="G80" s="8">
        <v>7</v>
      </c>
      <c r="H80" s="2" t="str">
        <v>MCSN04</v>
      </c>
      <c r="I80" s="9" t="str">
        <f t="shared" si="5"/>
        <v>MCSN04_07</v>
      </c>
      <c r="J80" s="10" t="str">
        <f t="shared" si="6"/>
        <v>SSFLAT_MCSN04_20260319_07</v>
      </c>
      <c r="K80" s="10" t="str">
        <f t="shared" si="7"/>
        <v>SSFLAT_MCSN04_20260319_</v>
      </c>
      <c r="L80" t="b">
        <f>IF(ROW()-ROW($L$1)+1 &lt;= 'FILL ME'!$E$3, TRUE, FALSE)</f>
        <v>0</v>
      </c>
      <c r="M80" t="b">
        <f>IF(ROW()-ROW($M$1)+1 &lt;= 'FILL ME'!$E$4, TRUE, FALSE)</f>
        <v>1</v>
      </c>
      <c r="N80" t="b">
        <f>IF(ROW()-ROW($N$1)+1 &lt;= 'FILL ME'!$E$5, TRUE, FALSE)</f>
        <v>1</v>
      </c>
      <c r="O80" t="b">
        <f>IF(ROW()-ROW($O$1)+1 &lt;= 'FILL ME'!$E$6, TRUE, FALSE)</f>
        <v>1</v>
      </c>
      <c r="P80" t="b">
        <f>IF(ROW()-ROW($P$1)+1 &lt;= 'FILL ME'!$E$7, TRUE, FALSE)</f>
        <v>1</v>
      </c>
      <c r="Q80" t="b">
        <f>IF(ROW()-ROW($Q$1)+1 &lt;= 'FILL ME'!$E$8, TRUE, FALSE)</f>
        <v>1</v>
      </c>
      <c r="R80" t="b">
        <f>IF(ROW()-ROW($R$1)+1 &lt;= 'FILL ME'!$E$10, TRUE, FALSE)</f>
        <v>1</v>
      </c>
    </row>
    <row r="81" spans="1:18" x14ac:dyDescent="0.25">
      <c r="A81" s="7" t="str">
        <f>'FILL ME'!$B$8</f>
        <v>Grab</v>
      </c>
      <c r="B81" t="str">
        <f>IF('FILL ME'!$B$3 = "", "", 'FILL ME'!$B$3)</f>
        <v>WWS</v>
      </c>
      <c r="C81" t="str">
        <f>IF('FILL ME'!$B$4 = "", "", 'FILL ME'!$B$4)</f>
        <v>SSFLAT</v>
      </c>
      <c r="D81" s="7" t="str">
        <f>TEXT('FILL ME'!$B$7,"yyyymmdd")</f>
        <v>20260319</v>
      </c>
      <c r="E81" s="8" t="str">
        <f t="shared" si="4"/>
        <v/>
      </c>
      <c r="F81" s="7">
        <f>IF('FILL ME'!$B$8="ISCO",'FILL ME'!$B$7+'FILL ME'!$B$12+('FILL ME'!$B$13*(G81-'FILL ME'!$B$14)),'FILL ME'!$B$7)</f>
        <v>46100</v>
      </c>
      <c r="G81" s="8">
        <v>8</v>
      </c>
      <c r="H81" s="2" t="str">
        <v>MCSN04</v>
      </c>
      <c r="I81" s="9" t="str">
        <f t="shared" si="5"/>
        <v>MCSN04_08</v>
      </c>
      <c r="J81" s="10" t="str">
        <f t="shared" si="6"/>
        <v>SSFLAT_MCSN04_20260319_08</v>
      </c>
      <c r="K81" s="10" t="str">
        <f t="shared" si="7"/>
        <v>SSFLAT_MCSN04_20260319_</v>
      </c>
      <c r="L81" t="b">
        <f>IF(ROW()-ROW($L$1)+1 &lt;= 'FILL ME'!$E$3, TRUE, FALSE)</f>
        <v>0</v>
      </c>
      <c r="M81" t="b">
        <f>IF(ROW()-ROW($M$1)+1 &lt;= 'FILL ME'!$E$4, TRUE, FALSE)</f>
        <v>1</v>
      </c>
      <c r="N81" t="b">
        <f>IF(ROW()-ROW($N$1)+1 &lt;= 'FILL ME'!$E$5, TRUE, FALSE)</f>
        <v>1</v>
      </c>
      <c r="O81" t="b">
        <f>IF(ROW()-ROW($O$1)+1 &lt;= 'FILL ME'!$E$6, TRUE, FALSE)</f>
        <v>1</v>
      </c>
      <c r="P81" t="b">
        <f>IF(ROW()-ROW($P$1)+1 &lt;= 'FILL ME'!$E$7, TRUE, FALSE)</f>
        <v>1</v>
      </c>
      <c r="Q81" t="b">
        <f>IF(ROW()-ROW($Q$1)+1 &lt;= 'FILL ME'!$E$8, TRUE, FALSE)</f>
        <v>1</v>
      </c>
      <c r="R81" t="b">
        <f>IF(ROW()-ROW($R$1)+1 &lt;= 'FILL ME'!$E$10, TRUE, FALSE)</f>
        <v>1</v>
      </c>
    </row>
    <row r="82" spans="1:18" x14ac:dyDescent="0.25">
      <c r="A82" s="7" t="str">
        <f>'FILL ME'!$B$8</f>
        <v>Grab</v>
      </c>
      <c r="B82" t="str">
        <f>IF('FILL ME'!$B$3 = "", "", 'FILL ME'!$B$3)</f>
        <v>WWS</v>
      </c>
      <c r="C82" t="str">
        <f>IF('FILL ME'!$B$4 = "", "", 'FILL ME'!$B$4)</f>
        <v>SSFLAT</v>
      </c>
      <c r="D82" s="7" t="str">
        <f>TEXT('FILL ME'!$B$7,"yyyymmdd")</f>
        <v>20260319</v>
      </c>
      <c r="E82" s="8" t="str">
        <f t="shared" si="4"/>
        <v/>
      </c>
      <c r="F82" s="7">
        <f>IF('FILL ME'!$B$8="ISCO",'FILL ME'!$B$7+'FILL ME'!$B$12+('FILL ME'!$B$13*(G82-'FILL ME'!$B$14)),'FILL ME'!$B$7)</f>
        <v>46100</v>
      </c>
      <c r="G82" s="8">
        <v>9</v>
      </c>
      <c r="H82" s="2" t="str">
        <v>MCSN04</v>
      </c>
      <c r="I82" s="9" t="str">
        <f t="shared" si="5"/>
        <v>MCSN04_09</v>
      </c>
      <c r="J82" s="10" t="str">
        <f t="shared" si="6"/>
        <v>SSFLAT_MCSN04_20260319_09</v>
      </c>
      <c r="K82" s="10" t="str">
        <f t="shared" si="7"/>
        <v>SSFLAT_MCSN04_20260319_</v>
      </c>
      <c r="L82" t="b">
        <f>IF(ROW()-ROW($L$1)+1 &lt;= 'FILL ME'!$E$3, TRUE, FALSE)</f>
        <v>0</v>
      </c>
      <c r="M82" t="b">
        <f>IF(ROW()-ROW($M$1)+1 &lt;= 'FILL ME'!$E$4, TRUE, FALSE)</f>
        <v>1</v>
      </c>
      <c r="N82" t="b">
        <f>IF(ROW()-ROW($N$1)+1 &lt;= 'FILL ME'!$E$5, TRUE, FALSE)</f>
        <v>1</v>
      </c>
      <c r="O82" t="b">
        <f>IF(ROW()-ROW($O$1)+1 &lt;= 'FILL ME'!$E$6, TRUE, FALSE)</f>
        <v>1</v>
      </c>
      <c r="P82" t="b">
        <f>IF(ROW()-ROW($P$1)+1 &lt;= 'FILL ME'!$E$7, TRUE, FALSE)</f>
        <v>1</v>
      </c>
      <c r="Q82" t="b">
        <f>IF(ROW()-ROW($Q$1)+1 &lt;= 'FILL ME'!$E$8, TRUE, FALSE)</f>
        <v>1</v>
      </c>
      <c r="R82" t="b">
        <f>IF(ROW()-ROW($R$1)+1 &lt;= 'FILL ME'!$E$10, TRUE, FALSE)</f>
        <v>1</v>
      </c>
    </row>
    <row r="83" spans="1:18" x14ac:dyDescent="0.25">
      <c r="A83" s="7" t="str">
        <f>'FILL ME'!$B$8</f>
        <v>Grab</v>
      </c>
      <c r="B83" t="str">
        <f>IF('FILL ME'!$B$3 = "", "", 'FILL ME'!$B$3)</f>
        <v>WWS</v>
      </c>
      <c r="C83" t="str">
        <f>IF('FILL ME'!$B$4 = "", "", 'FILL ME'!$B$4)</f>
        <v>SSFLAT</v>
      </c>
      <c r="D83" s="7" t="str">
        <f>TEXT('FILL ME'!$B$7,"yyyymmdd")</f>
        <v>20260319</v>
      </c>
      <c r="E83" s="8" t="str">
        <f t="shared" si="4"/>
        <v/>
      </c>
      <c r="F83" s="7">
        <f>IF('FILL ME'!$B$8="ISCO",'FILL ME'!$B$7+'FILL ME'!$B$12+('FILL ME'!$B$13*(G83-'FILL ME'!$B$14)),'FILL ME'!$B$7)</f>
        <v>46100</v>
      </c>
      <c r="G83" s="8">
        <v>10</v>
      </c>
      <c r="H83" s="2" t="str">
        <v>MCSN04</v>
      </c>
      <c r="I83" s="9" t="str">
        <f t="shared" si="5"/>
        <v>MCSN04_10</v>
      </c>
      <c r="J83" s="10" t="str">
        <f t="shared" si="6"/>
        <v>SSFLAT_MCSN04_20260319_10</v>
      </c>
      <c r="K83" s="10" t="str">
        <f t="shared" si="7"/>
        <v>SSFLAT_MCSN04_20260319_</v>
      </c>
      <c r="L83" t="b">
        <f>IF(ROW()-ROW($L$1)+1 &lt;= 'FILL ME'!$E$3, TRUE, FALSE)</f>
        <v>0</v>
      </c>
      <c r="M83" t="b">
        <f>IF(ROW()-ROW($M$1)+1 &lt;= 'FILL ME'!$E$4, TRUE, FALSE)</f>
        <v>1</v>
      </c>
      <c r="N83" t="b">
        <f>IF(ROW()-ROW($N$1)+1 &lt;= 'FILL ME'!$E$5, TRUE, FALSE)</f>
        <v>1</v>
      </c>
      <c r="O83" t="b">
        <f>IF(ROW()-ROW($O$1)+1 &lt;= 'FILL ME'!$E$6, TRUE, FALSE)</f>
        <v>1</v>
      </c>
      <c r="P83" t="b">
        <f>IF(ROW()-ROW($P$1)+1 &lt;= 'FILL ME'!$E$7, TRUE, FALSE)</f>
        <v>1</v>
      </c>
      <c r="Q83" t="b">
        <f>IF(ROW()-ROW($Q$1)+1 &lt;= 'FILL ME'!$E$8, TRUE, FALSE)</f>
        <v>1</v>
      </c>
      <c r="R83" t="b">
        <f>IF(ROW()-ROW($R$1)+1 &lt;= 'FILL ME'!$E$10, TRUE, FALSE)</f>
        <v>1</v>
      </c>
    </row>
    <row r="84" spans="1:18" x14ac:dyDescent="0.25">
      <c r="A84" s="7" t="str">
        <f>'FILL ME'!$B$8</f>
        <v>Grab</v>
      </c>
      <c r="B84" t="str">
        <f>IF('FILL ME'!$B$3 = "", "", 'FILL ME'!$B$3)</f>
        <v>WWS</v>
      </c>
      <c r="C84" t="str">
        <f>IF('FILL ME'!$B$4 = "", "", 'FILL ME'!$B$4)</f>
        <v>SSFLAT</v>
      </c>
      <c r="D84" s="7" t="str">
        <f>TEXT('FILL ME'!$B$7,"yyyymmdd")</f>
        <v>20260319</v>
      </c>
      <c r="E84" s="8" t="str">
        <f t="shared" si="4"/>
        <v/>
      </c>
      <c r="F84" s="7">
        <f>IF('FILL ME'!$B$8="ISCO",'FILL ME'!$B$7+'FILL ME'!$B$12+('FILL ME'!$B$13*(G84-'FILL ME'!$B$14)),'FILL ME'!$B$7)</f>
        <v>46100</v>
      </c>
      <c r="G84" s="8">
        <v>11</v>
      </c>
      <c r="H84" s="2" t="str">
        <v>MCSN04</v>
      </c>
      <c r="I84" s="9" t="str">
        <f t="shared" si="5"/>
        <v>MCSN04_11</v>
      </c>
      <c r="J84" s="10" t="str">
        <f t="shared" si="6"/>
        <v>SSFLAT_MCSN04_20260319_11</v>
      </c>
      <c r="K84" s="10" t="str">
        <f t="shared" si="7"/>
        <v>SSFLAT_MCSN04_20260319_</v>
      </c>
      <c r="L84" t="b">
        <f>IF(ROW()-ROW($L$1)+1 &lt;= 'FILL ME'!$E$3, TRUE, FALSE)</f>
        <v>0</v>
      </c>
      <c r="M84" t="b">
        <f>IF(ROW()-ROW($M$1)+1 &lt;= 'FILL ME'!$E$4, TRUE, FALSE)</f>
        <v>1</v>
      </c>
      <c r="N84" t="b">
        <f>IF(ROW()-ROW($N$1)+1 &lt;= 'FILL ME'!$E$5, TRUE, FALSE)</f>
        <v>1</v>
      </c>
      <c r="O84" t="b">
        <f>IF(ROW()-ROW($O$1)+1 &lt;= 'FILL ME'!$E$6, TRUE, FALSE)</f>
        <v>1</v>
      </c>
      <c r="P84" t="b">
        <f>IF(ROW()-ROW($P$1)+1 &lt;= 'FILL ME'!$E$7, TRUE, FALSE)</f>
        <v>1</v>
      </c>
      <c r="Q84" t="b">
        <f>IF(ROW()-ROW($Q$1)+1 &lt;= 'FILL ME'!$E$8, TRUE, FALSE)</f>
        <v>1</v>
      </c>
      <c r="R84" t="b">
        <f>IF(ROW()-ROW($R$1)+1 &lt;= 'FILL ME'!$E$10, TRUE, FALSE)</f>
        <v>1</v>
      </c>
    </row>
    <row r="85" spans="1:18" x14ac:dyDescent="0.25">
      <c r="A85" s="7" t="str">
        <f>'FILL ME'!$B$8</f>
        <v>Grab</v>
      </c>
      <c r="B85" t="str">
        <f>IF('FILL ME'!$B$3 = "", "", 'FILL ME'!$B$3)</f>
        <v>WWS</v>
      </c>
      <c r="C85" t="str">
        <f>IF('FILL ME'!$B$4 = "", "", 'FILL ME'!$B$4)</f>
        <v>SSFLAT</v>
      </c>
      <c r="D85" s="7" t="str">
        <f>TEXT('FILL ME'!$B$7,"yyyymmdd")</f>
        <v>20260319</v>
      </c>
      <c r="E85" s="8" t="str">
        <f t="shared" si="4"/>
        <v/>
      </c>
      <c r="F85" s="7">
        <f>IF('FILL ME'!$B$8="ISCO",'FILL ME'!$B$7+'FILL ME'!$B$12+('FILL ME'!$B$13*(G85-'FILL ME'!$B$14)),'FILL ME'!$B$7)</f>
        <v>46100</v>
      </c>
      <c r="G85" s="8">
        <v>12</v>
      </c>
      <c r="H85" s="2" t="str">
        <v>MCSN04</v>
      </c>
      <c r="I85" s="9" t="str">
        <f t="shared" si="5"/>
        <v>MCSN04_12</v>
      </c>
      <c r="J85" s="10" t="str">
        <f t="shared" si="6"/>
        <v>SSFLAT_MCSN04_20260319_12</v>
      </c>
      <c r="K85" s="10" t="str">
        <f t="shared" si="7"/>
        <v>SSFLAT_MCSN04_20260319_</v>
      </c>
      <c r="L85" t="b">
        <f>IF(ROW()-ROW($L$1)+1 &lt;= 'FILL ME'!$E$3, TRUE, FALSE)</f>
        <v>0</v>
      </c>
      <c r="M85" t="b">
        <f>IF(ROW()-ROW($M$1)+1 &lt;= 'FILL ME'!$E$4, TRUE, FALSE)</f>
        <v>1</v>
      </c>
      <c r="N85" t="b">
        <f>IF(ROW()-ROW($N$1)+1 &lt;= 'FILL ME'!$E$5, TRUE, FALSE)</f>
        <v>1</v>
      </c>
      <c r="O85" t="b">
        <f>IF(ROW()-ROW($O$1)+1 &lt;= 'FILL ME'!$E$6, TRUE, FALSE)</f>
        <v>1</v>
      </c>
      <c r="P85" t="b">
        <f>IF(ROW()-ROW($P$1)+1 &lt;= 'FILL ME'!$E$7, TRUE, FALSE)</f>
        <v>1</v>
      </c>
      <c r="Q85" t="b">
        <f>IF(ROW()-ROW($Q$1)+1 &lt;= 'FILL ME'!$E$8, TRUE, FALSE)</f>
        <v>1</v>
      </c>
      <c r="R85" t="b">
        <f>IF(ROW()-ROW($R$1)+1 &lt;= 'FILL ME'!$E$10, TRUE, FALSE)</f>
        <v>1</v>
      </c>
    </row>
    <row r="86" spans="1:18" x14ac:dyDescent="0.25">
      <c r="A86" s="7" t="str">
        <f>'FILL ME'!$B$8</f>
        <v>Grab</v>
      </c>
      <c r="B86" t="str">
        <f>IF('FILL ME'!$B$3 = "", "", 'FILL ME'!$B$3)</f>
        <v>WWS</v>
      </c>
      <c r="C86" t="str">
        <f>IF('FILL ME'!$B$4 = "", "", 'FILL ME'!$B$4)</f>
        <v>SSFLAT</v>
      </c>
      <c r="D86" s="7" t="str">
        <f>TEXT('FILL ME'!$B$7,"yyyymmdd")</f>
        <v>20260319</v>
      </c>
      <c r="E86" s="8" t="str">
        <f t="shared" si="4"/>
        <v/>
      </c>
      <c r="F86" s="7">
        <f>IF('FILL ME'!$B$8="ISCO",'FILL ME'!$B$7+'FILL ME'!$B$12+('FILL ME'!$B$13*(G86-'FILL ME'!$B$14)),'FILL ME'!$B$7)</f>
        <v>46100</v>
      </c>
      <c r="G86" s="8">
        <v>13</v>
      </c>
      <c r="H86" s="2" t="str">
        <v>MCSN04</v>
      </c>
      <c r="I86" s="9" t="str">
        <f t="shared" si="5"/>
        <v>MCSN04_13</v>
      </c>
      <c r="J86" s="10" t="str">
        <f t="shared" si="6"/>
        <v>SSFLAT_MCSN04_20260319_13</v>
      </c>
      <c r="K86" s="10" t="str">
        <f t="shared" si="7"/>
        <v>SSFLAT_MCSN04_20260319_</v>
      </c>
      <c r="L86" t="b">
        <f>IF(ROW()-ROW($L$1)+1 &lt;= 'FILL ME'!$E$3, TRUE, FALSE)</f>
        <v>0</v>
      </c>
      <c r="M86" t="b">
        <f>IF(ROW()-ROW($M$1)+1 &lt;= 'FILL ME'!$E$4, TRUE, FALSE)</f>
        <v>1</v>
      </c>
      <c r="N86" t="b">
        <f>IF(ROW()-ROW($N$1)+1 &lt;= 'FILL ME'!$E$5, TRUE, FALSE)</f>
        <v>1</v>
      </c>
      <c r="O86" t="b">
        <f>IF(ROW()-ROW($O$1)+1 &lt;= 'FILL ME'!$E$6, TRUE, FALSE)</f>
        <v>1</v>
      </c>
      <c r="P86" t="b">
        <f>IF(ROW()-ROW($P$1)+1 &lt;= 'FILL ME'!$E$7, TRUE, FALSE)</f>
        <v>1</v>
      </c>
      <c r="Q86" t="b">
        <f>IF(ROW()-ROW($Q$1)+1 &lt;= 'FILL ME'!$E$8, TRUE, FALSE)</f>
        <v>1</v>
      </c>
      <c r="R86" t="b">
        <f>IF(ROW()-ROW($R$1)+1 &lt;= 'FILL ME'!$E$10, TRUE, FALSE)</f>
        <v>1</v>
      </c>
    </row>
    <row r="87" spans="1:18" x14ac:dyDescent="0.25">
      <c r="A87" s="7" t="str">
        <f>'FILL ME'!$B$8</f>
        <v>Grab</v>
      </c>
      <c r="B87" t="str">
        <f>IF('FILL ME'!$B$3 = "", "", 'FILL ME'!$B$3)</f>
        <v>WWS</v>
      </c>
      <c r="C87" t="str">
        <f>IF('FILL ME'!$B$4 = "", "", 'FILL ME'!$B$4)</f>
        <v>SSFLAT</v>
      </c>
      <c r="D87" s="7" t="str">
        <f>TEXT('FILL ME'!$B$7,"yyyymmdd")</f>
        <v>20260319</v>
      </c>
      <c r="E87" s="8" t="str">
        <f t="shared" si="4"/>
        <v/>
      </c>
      <c r="F87" s="7">
        <f>IF('FILL ME'!$B$8="ISCO",'FILL ME'!$B$7+'FILL ME'!$B$12+('FILL ME'!$B$13*(G87-'FILL ME'!$B$14)),'FILL ME'!$B$7)</f>
        <v>46100</v>
      </c>
      <c r="G87" s="8">
        <v>14</v>
      </c>
      <c r="H87" s="2" t="str">
        <v>MCSN04</v>
      </c>
      <c r="I87" s="9" t="str">
        <f t="shared" si="5"/>
        <v>MCSN04_14</v>
      </c>
      <c r="J87" s="10" t="str">
        <f t="shared" si="6"/>
        <v>SSFLAT_MCSN04_20260319_14</v>
      </c>
      <c r="K87" s="10" t="str">
        <f t="shared" si="7"/>
        <v>SSFLAT_MCSN04_20260319_</v>
      </c>
      <c r="L87" t="b">
        <f>IF(ROW()-ROW($L$1)+1 &lt;= 'FILL ME'!$E$3, TRUE, FALSE)</f>
        <v>0</v>
      </c>
      <c r="M87" t="b">
        <f>IF(ROW()-ROW($M$1)+1 &lt;= 'FILL ME'!$E$4, TRUE, FALSE)</f>
        <v>1</v>
      </c>
      <c r="N87" t="b">
        <f>IF(ROW()-ROW($N$1)+1 &lt;= 'FILL ME'!$E$5, TRUE, FALSE)</f>
        <v>1</v>
      </c>
      <c r="O87" t="b">
        <f>IF(ROW()-ROW($O$1)+1 &lt;= 'FILL ME'!$E$6, TRUE, FALSE)</f>
        <v>1</v>
      </c>
      <c r="P87" t="b">
        <f>IF(ROW()-ROW($P$1)+1 &lt;= 'FILL ME'!$E$7, TRUE, FALSE)</f>
        <v>1</v>
      </c>
      <c r="Q87" t="b">
        <f>IF(ROW()-ROW($Q$1)+1 &lt;= 'FILL ME'!$E$8, TRUE, FALSE)</f>
        <v>1</v>
      </c>
      <c r="R87" t="b">
        <f>IF(ROW()-ROW($R$1)+1 &lt;= 'FILL ME'!$E$10, TRUE, FALSE)</f>
        <v>1</v>
      </c>
    </row>
    <row r="88" spans="1:18" x14ac:dyDescent="0.25">
      <c r="A88" s="7" t="str">
        <f>'FILL ME'!$B$8</f>
        <v>Grab</v>
      </c>
      <c r="B88" t="str">
        <f>IF('FILL ME'!$B$3 = "", "", 'FILL ME'!$B$3)</f>
        <v>WWS</v>
      </c>
      <c r="C88" t="str">
        <f>IF('FILL ME'!$B$4 = "", "", 'FILL ME'!$B$4)</f>
        <v>SSFLAT</v>
      </c>
      <c r="D88" s="7" t="str">
        <f>TEXT('FILL ME'!$B$7,"yyyymmdd")</f>
        <v>20260319</v>
      </c>
      <c r="E88" s="8" t="str">
        <f t="shared" si="4"/>
        <v/>
      </c>
      <c r="F88" s="7">
        <f>IF('FILL ME'!$B$8="ISCO",'FILL ME'!$B$7+'FILL ME'!$B$12+('FILL ME'!$B$13*(G88-'FILL ME'!$B$14)),'FILL ME'!$B$7)</f>
        <v>46100</v>
      </c>
      <c r="G88" s="8">
        <v>15</v>
      </c>
      <c r="H88" s="2" t="str">
        <v>MCSN04</v>
      </c>
      <c r="I88" s="9" t="str">
        <f t="shared" si="5"/>
        <v>MCSN04_15</v>
      </c>
      <c r="J88" s="10" t="str">
        <f t="shared" si="6"/>
        <v>SSFLAT_MCSN04_20260319_15</v>
      </c>
      <c r="K88" s="10" t="str">
        <f t="shared" si="7"/>
        <v>SSFLAT_MCSN04_20260319_</v>
      </c>
      <c r="L88" t="b">
        <f>IF(ROW()-ROW($L$1)+1 &lt;= 'FILL ME'!$E$3, TRUE, FALSE)</f>
        <v>0</v>
      </c>
      <c r="M88" t="b">
        <f>IF(ROW()-ROW($M$1)+1 &lt;= 'FILL ME'!$E$4, TRUE, FALSE)</f>
        <v>1</v>
      </c>
      <c r="N88" t="b">
        <f>IF(ROW()-ROW($N$1)+1 &lt;= 'FILL ME'!$E$5, TRUE, FALSE)</f>
        <v>1</v>
      </c>
      <c r="O88" t="b">
        <f>IF(ROW()-ROW($O$1)+1 &lt;= 'FILL ME'!$E$6, TRUE, FALSE)</f>
        <v>1</v>
      </c>
      <c r="P88" t="b">
        <f>IF(ROW()-ROW($P$1)+1 &lt;= 'FILL ME'!$E$7, TRUE, FALSE)</f>
        <v>1</v>
      </c>
      <c r="Q88" t="b">
        <f>IF(ROW()-ROW($Q$1)+1 &lt;= 'FILL ME'!$E$8, TRUE, FALSE)</f>
        <v>1</v>
      </c>
      <c r="R88" t="b">
        <f>IF(ROW()-ROW($R$1)+1 &lt;= 'FILL ME'!$E$10, TRUE, FALSE)</f>
        <v>1</v>
      </c>
    </row>
    <row r="89" spans="1:18" x14ac:dyDescent="0.25">
      <c r="A89" s="7" t="str">
        <f>'FILL ME'!$B$8</f>
        <v>Grab</v>
      </c>
      <c r="B89" t="str">
        <f>IF('FILL ME'!$B$3 = "", "", 'FILL ME'!$B$3)</f>
        <v>WWS</v>
      </c>
      <c r="C89" t="str">
        <f>IF('FILL ME'!$B$4 = "", "", 'FILL ME'!$B$4)</f>
        <v>SSFLAT</v>
      </c>
      <c r="D89" s="7" t="str">
        <f>TEXT('FILL ME'!$B$7,"yyyymmdd")</f>
        <v>20260319</v>
      </c>
      <c r="E89" s="8" t="str">
        <f t="shared" si="4"/>
        <v/>
      </c>
      <c r="F89" s="7">
        <f>IF('FILL ME'!$B$8="ISCO",'FILL ME'!$B$7+'FILL ME'!$B$12+('FILL ME'!$B$13*(G89-'FILL ME'!$B$14)),'FILL ME'!$B$7)</f>
        <v>46100</v>
      </c>
      <c r="G89" s="8">
        <v>16</v>
      </c>
      <c r="H89" s="2" t="str">
        <v>MCSN04</v>
      </c>
      <c r="I89" s="9" t="str">
        <f t="shared" si="5"/>
        <v>MCSN04_16</v>
      </c>
      <c r="J89" s="10" t="str">
        <f t="shared" si="6"/>
        <v>SSFLAT_MCSN04_20260319_16</v>
      </c>
      <c r="K89" s="10" t="str">
        <f t="shared" si="7"/>
        <v>SSFLAT_MCSN04_20260319_</v>
      </c>
      <c r="L89" t="b">
        <f>IF(ROW()-ROW($L$1)+1 &lt;= 'FILL ME'!$E$3, TRUE, FALSE)</f>
        <v>0</v>
      </c>
      <c r="M89" t="b">
        <f>IF(ROW()-ROW($M$1)+1 &lt;= 'FILL ME'!$E$4, TRUE, FALSE)</f>
        <v>1</v>
      </c>
      <c r="N89" t="b">
        <f>IF(ROW()-ROW($N$1)+1 &lt;= 'FILL ME'!$E$5, TRUE, FALSE)</f>
        <v>1</v>
      </c>
      <c r="O89" t="b">
        <f>IF(ROW()-ROW($O$1)+1 &lt;= 'FILL ME'!$E$6, TRUE, FALSE)</f>
        <v>1</v>
      </c>
      <c r="P89" t="b">
        <f>IF(ROW()-ROW($P$1)+1 &lt;= 'FILL ME'!$E$7, TRUE, FALSE)</f>
        <v>1</v>
      </c>
      <c r="Q89" t="b">
        <f>IF(ROW()-ROW($Q$1)+1 &lt;= 'FILL ME'!$E$8, TRUE, FALSE)</f>
        <v>1</v>
      </c>
      <c r="R89" t="b">
        <f>IF(ROW()-ROW($R$1)+1 &lt;= 'FILL ME'!$E$10, TRUE, FALSE)</f>
        <v>1</v>
      </c>
    </row>
    <row r="90" spans="1:18" x14ac:dyDescent="0.25">
      <c r="A90" s="7" t="str">
        <f>'FILL ME'!$B$8</f>
        <v>Grab</v>
      </c>
      <c r="B90" t="str">
        <f>IF('FILL ME'!$B$3 = "", "", 'FILL ME'!$B$3)</f>
        <v>WWS</v>
      </c>
      <c r="C90" t="str">
        <f>IF('FILL ME'!$B$4 = "", "", 'FILL ME'!$B$4)</f>
        <v>SSFLAT</v>
      </c>
      <c r="D90" s="7" t="str">
        <f>TEXT('FILL ME'!$B$7,"yyyymmdd")</f>
        <v>20260319</v>
      </c>
      <c r="E90" s="8" t="str">
        <f t="shared" si="4"/>
        <v/>
      </c>
      <c r="F90" s="7">
        <f>IF('FILL ME'!$B$8="ISCO",'FILL ME'!$B$7+'FILL ME'!$B$12+('FILL ME'!$B$13*(G90-'FILL ME'!$B$14)),'FILL ME'!$B$7)</f>
        <v>46100</v>
      </c>
      <c r="G90" s="8">
        <v>17</v>
      </c>
      <c r="H90" s="2" t="str">
        <v>MCSN04</v>
      </c>
      <c r="I90" s="9" t="str">
        <f t="shared" si="5"/>
        <v>MCSN04_17</v>
      </c>
      <c r="J90" s="10" t="str">
        <f t="shared" si="6"/>
        <v>SSFLAT_MCSN04_20260319_17</v>
      </c>
      <c r="K90" s="10" t="str">
        <f t="shared" si="7"/>
        <v>SSFLAT_MCSN04_20260319_</v>
      </c>
      <c r="L90" t="b">
        <f>IF(ROW()-ROW($L$1)+1 &lt;= 'FILL ME'!$E$3, TRUE, FALSE)</f>
        <v>0</v>
      </c>
      <c r="M90" t="b">
        <f>IF(ROW()-ROW($M$1)+1 &lt;= 'FILL ME'!$E$4, TRUE, FALSE)</f>
        <v>1</v>
      </c>
      <c r="N90" t="b">
        <f>IF(ROW()-ROW($N$1)+1 &lt;= 'FILL ME'!$E$5, TRUE, FALSE)</f>
        <v>1</v>
      </c>
      <c r="O90" t="b">
        <f>IF(ROW()-ROW($O$1)+1 &lt;= 'FILL ME'!$E$6, TRUE, FALSE)</f>
        <v>1</v>
      </c>
      <c r="P90" t="b">
        <f>IF(ROW()-ROW($P$1)+1 &lt;= 'FILL ME'!$E$7, TRUE, FALSE)</f>
        <v>1</v>
      </c>
      <c r="Q90" t="b">
        <f>IF(ROW()-ROW($Q$1)+1 &lt;= 'FILL ME'!$E$8, TRUE, FALSE)</f>
        <v>1</v>
      </c>
      <c r="R90" t="b">
        <f>IF(ROW()-ROW($R$1)+1 &lt;= 'FILL ME'!$E$10, TRUE, FALSE)</f>
        <v>1</v>
      </c>
    </row>
    <row r="91" spans="1:18" x14ac:dyDescent="0.25">
      <c r="A91" s="7" t="str">
        <f>'FILL ME'!$B$8</f>
        <v>Grab</v>
      </c>
      <c r="B91" t="str">
        <f>IF('FILL ME'!$B$3 = "", "", 'FILL ME'!$B$3)</f>
        <v>WWS</v>
      </c>
      <c r="C91" t="str">
        <f>IF('FILL ME'!$B$4 = "", "", 'FILL ME'!$B$4)</f>
        <v>SSFLAT</v>
      </c>
      <c r="D91" s="7" t="str">
        <f>TEXT('FILL ME'!$B$7,"yyyymmdd")</f>
        <v>20260319</v>
      </c>
      <c r="E91" s="8" t="str">
        <f t="shared" si="4"/>
        <v/>
      </c>
      <c r="F91" s="7">
        <f>IF('FILL ME'!$B$8="ISCO",'FILL ME'!$B$7+'FILL ME'!$B$12+('FILL ME'!$B$13*(G91-'FILL ME'!$B$14)),'FILL ME'!$B$7)</f>
        <v>46100</v>
      </c>
      <c r="G91" s="8">
        <v>18</v>
      </c>
      <c r="H91" s="2" t="str">
        <v>MCSN04</v>
      </c>
      <c r="I91" s="9" t="str">
        <f t="shared" si="5"/>
        <v>MCSN04_18</v>
      </c>
      <c r="J91" s="10" t="str">
        <f t="shared" si="6"/>
        <v>SSFLAT_MCSN04_20260319_18</v>
      </c>
      <c r="K91" s="10" t="str">
        <f t="shared" si="7"/>
        <v>SSFLAT_MCSN04_20260319_</v>
      </c>
      <c r="L91" t="b">
        <f>IF(ROW()-ROW($L$1)+1 &lt;= 'FILL ME'!$E$3, TRUE, FALSE)</f>
        <v>0</v>
      </c>
      <c r="M91" t="b">
        <f>IF(ROW()-ROW($M$1)+1 &lt;= 'FILL ME'!$E$4, TRUE, FALSE)</f>
        <v>1</v>
      </c>
      <c r="N91" t="b">
        <f>IF(ROW()-ROW($N$1)+1 &lt;= 'FILL ME'!$E$5, TRUE, FALSE)</f>
        <v>1</v>
      </c>
      <c r="O91" t="b">
        <f>IF(ROW()-ROW($O$1)+1 &lt;= 'FILL ME'!$E$6, TRUE, FALSE)</f>
        <v>1</v>
      </c>
      <c r="P91" t="b">
        <f>IF(ROW()-ROW($P$1)+1 &lt;= 'FILL ME'!$E$7, TRUE, FALSE)</f>
        <v>1</v>
      </c>
      <c r="Q91" t="b">
        <f>IF(ROW()-ROW($Q$1)+1 &lt;= 'FILL ME'!$E$8, TRUE, FALSE)</f>
        <v>1</v>
      </c>
      <c r="R91" t="b">
        <f>IF(ROW()-ROW($R$1)+1 &lt;= 'FILL ME'!$E$10, TRUE, FALSE)</f>
        <v>1</v>
      </c>
    </row>
    <row r="92" spans="1:18" x14ac:dyDescent="0.25">
      <c r="A92" s="7" t="str">
        <f>'FILL ME'!$B$8</f>
        <v>Grab</v>
      </c>
      <c r="B92" t="str">
        <f>IF('FILL ME'!$B$3 = "", "", 'FILL ME'!$B$3)</f>
        <v>WWS</v>
      </c>
      <c r="C92" t="str">
        <f>IF('FILL ME'!$B$4 = "", "", 'FILL ME'!$B$4)</f>
        <v>SSFLAT</v>
      </c>
      <c r="D92" s="7" t="str">
        <f>TEXT('FILL ME'!$B$7,"yyyymmdd")</f>
        <v>20260319</v>
      </c>
      <c r="E92" s="8" t="str">
        <f t="shared" si="4"/>
        <v/>
      </c>
      <c r="F92" s="7">
        <f>IF('FILL ME'!$B$8="ISCO",'FILL ME'!$B$7+'FILL ME'!$B$12+('FILL ME'!$B$13*(G92-'FILL ME'!$B$14)),'FILL ME'!$B$7)</f>
        <v>46100</v>
      </c>
      <c r="G92" s="8">
        <v>19</v>
      </c>
      <c r="H92" s="2" t="str">
        <v>MCSN04</v>
      </c>
      <c r="I92" s="9" t="str">
        <f t="shared" si="5"/>
        <v>MCSN04_19</v>
      </c>
      <c r="J92" s="10" t="str">
        <f t="shared" si="6"/>
        <v>SSFLAT_MCSN04_20260319_19</v>
      </c>
      <c r="K92" s="10" t="str">
        <f t="shared" si="7"/>
        <v>SSFLAT_MCSN04_20260319_</v>
      </c>
      <c r="L92" t="b">
        <f>IF(ROW()-ROW($L$1)+1 &lt;= 'FILL ME'!$E$3, TRUE, FALSE)</f>
        <v>0</v>
      </c>
      <c r="M92" t="b">
        <f>IF(ROW()-ROW($M$1)+1 &lt;= 'FILL ME'!$E$4, TRUE, FALSE)</f>
        <v>1</v>
      </c>
      <c r="N92" t="b">
        <f>IF(ROW()-ROW($N$1)+1 &lt;= 'FILL ME'!$E$5, TRUE, FALSE)</f>
        <v>1</v>
      </c>
      <c r="O92" t="b">
        <f>IF(ROW()-ROW($O$1)+1 &lt;= 'FILL ME'!$E$6, TRUE, FALSE)</f>
        <v>1</v>
      </c>
      <c r="P92" t="b">
        <f>IF(ROW()-ROW($P$1)+1 &lt;= 'FILL ME'!$E$7, TRUE, FALSE)</f>
        <v>1</v>
      </c>
      <c r="Q92" t="b">
        <f>IF(ROW()-ROW($Q$1)+1 &lt;= 'FILL ME'!$E$8, TRUE, FALSE)</f>
        <v>1</v>
      </c>
      <c r="R92" t="b">
        <f>IF(ROW()-ROW($R$1)+1 &lt;= 'FILL ME'!$E$10, TRUE, FALSE)</f>
        <v>1</v>
      </c>
    </row>
    <row r="93" spans="1:18" x14ac:dyDescent="0.25">
      <c r="A93" s="7" t="str">
        <f>'FILL ME'!$B$8</f>
        <v>Grab</v>
      </c>
      <c r="B93" t="str">
        <f>IF('FILL ME'!$B$3 = "", "", 'FILL ME'!$B$3)</f>
        <v>WWS</v>
      </c>
      <c r="C93" t="str">
        <f>IF('FILL ME'!$B$4 = "", "", 'FILL ME'!$B$4)</f>
        <v>SSFLAT</v>
      </c>
      <c r="D93" s="7" t="str">
        <f>TEXT('FILL ME'!$B$7,"yyyymmdd")</f>
        <v>20260319</v>
      </c>
      <c r="E93" s="8" t="str">
        <f t="shared" si="4"/>
        <v/>
      </c>
      <c r="F93" s="7">
        <f>IF('FILL ME'!$B$8="ISCO",'FILL ME'!$B$7+'FILL ME'!$B$12+('FILL ME'!$B$13*(G93-'FILL ME'!$B$14)),'FILL ME'!$B$7)</f>
        <v>46100</v>
      </c>
      <c r="G93" s="8">
        <v>20</v>
      </c>
      <c r="H93" s="2" t="str">
        <v>MCSN04</v>
      </c>
      <c r="I93" s="9" t="str">
        <f t="shared" si="5"/>
        <v>MCSN04_20</v>
      </c>
      <c r="J93" s="10" t="str">
        <f t="shared" si="6"/>
        <v>SSFLAT_MCSN04_20260319_20</v>
      </c>
      <c r="K93" s="10" t="str">
        <f t="shared" si="7"/>
        <v>SSFLAT_MCSN04_20260319_</v>
      </c>
      <c r="L93" t="b">
        <f>IF(ROW()-ROW($L$1)+1 &lt;= 'FILL ME'!$E$3, TRUE, FALSE)</f>
        <v>0</v>
      </c>
      <c r="M93" t="b">
        <f>IF(ROW()-ROW($M$1)+1 &lt;= 'FILL ME'!$E$4, TRUE, FALSE)</f>
        <v>1</v>
      </c>
      <c r="N93" t="b">
        <f>IF(ROW()-ROW($N$1)+1 &lt;= 'FILL ME'!$E$5, TRUE, FALSE)</f>
        <v>1</v>
      </c>
      <c r="O93" t="b">
        <f>IF(ROW()-ROW($O$1)+1 &lt;= 'FILL ME'!$E$6, TRUE, FALSE)</f>
        <v>1</v>
      </c>
      <c r="P93" t="b">
        <f>IF(ROW()-ROW($P$1)+1 &lt;= 'FILL ME'!$E$7, TRUE, FALSE)</f>
        <v>1</v>
      </c>
      <c r="Q93" t="b">
        <f>IF(ROW()-ROW($Q$1)+1 &lt;= 'FILL ME'!$E$8, TRUE, FALSE)</f>
        <v>1</v>
      </c>
      <c r="R93" t="b">
        <f>IF(ROW()-ROW($R$1)+1 &lt;= 'FILL ME'!$E$10, TRUE, FALSE)</f>
        <v>1</v>
      </c>
    </row>
    <row r="94" spans="1:18" x14ac:dyDescent="0.25">
      <c r="A94" s="7" t="str">
        <f>'FILL ME'!$B$8</f>
        <v>Grab</v>
      </c>
      <c r="B94" t="str">
        <f>IF('FILL ME'!$B$3 = "", "", 'FILL ME'!$B$3)</f>
        <v>WWS</v>
      </c>
      <c r="C94" t="str">
        <f>IF('FILL ME'!$B$4 = "", "", 'FILL ME'!$B$4)</f>
        <v>SSFLAT</v>
      </c>
      <c r="D94" s="7" t="str">
        <f>TEXT('FILL ME'!$B$7,"yyyymmdd")</f>
        <v>20260319</v>
      </c>
      <c r="E94" s="8" t="str">
        <f t="shared" si="4"/>
        <v/>
      </c>
      <c r="F94" s="7">
        <f>IF('FILL ME'!$B$8="ISCO",'FILL ME'!$B$7+'FILL ME'!$B$12+('FILL ME'!$B$13*(G94-'FILL ME'!$B$14)),'FILL ME'!$B$7)</f>
        <v>46100</v>
      </c>
      <c r="G94" s="8">
        <v>21</v>
      </c>
      <c r="H94" s="2" t="str">
        <v>MCSN04</v>
      </c>
      <c r="I94" s="9" t="str">
        <f t="shared" si="5"/>
        <v>MCSN04_21</v>
      </c>
      <c r="J94" s="10" t="str">
        <f t="shared" si="6"/>
        <v>SSFLAT_MCSN04_20260319_21</v>
      </c>
      <c r="K94" s="10" t="str">
        <f t="shared" si="7"/>
        <v>SSFLAT_MCSN04_20260319_</v>
      </c>
      <c r="L94" t="b">
        <f>IF(ROW()-ROW($L$1)+1 &lt;= 'FILL ME'!$E$3, TRUE, FALSE)</f>
        <v>0</v>
      </c>
      <c r="M94" t="b">
        <f>IF(ROW()-ROW($M$1)+1 &lt;= 'FILL ME'!$E$4, TRUE, FALSE)</f>
        <v>1</v>
      </c>
      <c r="N94" t="b">
        <f>IF(ROW()-ROW($N$1)+1 &lt;= 'FILL ME'!$E$5, TRUE, FALSE)</f>
        <v>1</v>
      </c>
      <c r="O94" t="b">
        <f>IF(ROW()-ROW($O$1)+1 &lt;= 'FILL ME'!$E$6, TRUE, FALSE)</f>
        <v>1</v>
      </c>
      <c r="P94" t="b">
        <f>IF(ROW()-ROW($P$1)+1 &lt;= 'FILL ME'!$E$7, TRUE, FALSE)</f>
        <v>1</v>
      </c>
      <c r="Q94" t="b">
        <f>IF(ROW()-ROW($Q$1)+1 &lt;= 'FILL ME'!$E$8, TRUE, FALSE)</f>
        <v>1</v>
      </c>
      <c r="R94" t="b">
        <f>IF(ROW()-ROW($R$1)+1 &lt;= 'FILL ME'!$E$10, TRUE, FALSE)</f>
        <v>1</v>
      </c>
    </row>
    <row r="95" spans="1:18" x14ac:dyDescent="0.25">
      <c r="A95" s="7" t="str">
        <f>'FILL ME'!$B$8</f>
        <v>Grab</v>
      </c>
      <c r="B95" t="str">
        <f>IF('FILL ME'!$B$3 = "", "", 'FILL ME'!$B$3)</f>
        <v>WWS</v>
      </c>
      <c r="C95" t="str">
        <f>IF('FILL ME'!$B$4 = "", "", 'FILL ME'!$B$4)</f>
        <v>SSFLAT</v>
      </c>
      <c r="D95" s="7" t="str">
        <f>TEXT('FILL ME'!$B$7,"yyyymmdd")</f>
        <v>20260319</v>
      </c>
      <c r="E95" s="8" t="str">
        <f t="shared" si="4"/>
        <v/>
      </c>
      <c r="F95" s="7">
        <f>IF('FILL ME'!$B$8="ISCO",'FILL ME'!$B$7+'FILL ME'!$B$12+('FILL ME'!$B$13*(G95-'FILL ME'!$B$14)),'FILL ME'!$B$7)</f>
        <v>46100</v>
      </c>
      <c r="G95" s="8">
        <v>22</v>
      </c>
      <c r="H95" s="2" t="str">
        <v>MCSN04</v>
      </c>
      <c r="I95" s="9" t="str">
        <f t="shared" si="5"/>
        <v>MCSN04_22</v>
      </c>
      <c r="J95" s="10" t="str">
        <f t="shared" si="6"/>
        <v>SSFLAT_MCSN04_20260319_22</v>
      </c>
      <c r="K95" s="10" t="str">
        <f t="shared" si="7"/>
        <v>SSFLAT_MCSN04_20260319_</v>
      </c>
      <c r="L95" t="b">
        <f>IF(ROW()-ROW($L$1)+1 &lt;= 'FILL ME'!$E$3, TRUE, FALSE)</f>
        <v>0</v>
      </c>
      <c r="M95" t="b">
        <f>IF(ROW()-ROW($M$1)+1 &lt;= 'FILL ME'!$E$4, TRUE, FALSE)</f>
        <v>1</v>
      </c>
      <c r="N95" t="b">
        <f>IF(ROW()-ROW($N$1)+1 &lt;= 'FILL ME'!$E$5, TRUE, FALSE)</f>
        <v>1</v>
      </c>
      <c r="O95" t="b">
        <f>IF(ROW()-ROW($O$1)+1 &lt;= 'FILL ME'!$E$6, TRUE, FALSE)</f>
        <v>1</v>
      </c>
      <c r="P95" t="b">
        <f>IF(ROW()-ROW($P$1)+1 &lt;= 'FILL ME'!$E$7, TRUE, FALSE)</f>
        <v>1</v>
      </c>
      <c r="Q95" t="b">
        <f>IF(ROW()-ROW($Q$1)+1 &lt;= 'FILL ME'!$E$8, TRUE, FALSE)</f>
        <v>1</v>
      </c>
      <c r="R95" t="b">
        <f>IF(ROW()-ROW($R$1)+1 &lt;= 'FILL ME'!$E$10, TRUE, FALSE)</f>
        <v>1</v>
      </c>
    </row>
    <row r="96" spans="1:18" x14ac:dyDescent="0.25">
      <c r="A96" s="7" t="str">
        <f>'FILL ME'!$B$8</f>
        <v>Grab</v>
      </c>
      <c r="B96" t="str">
        <f>IF('FILL ME'!$B$3 = "", "", 'FILL ME'!$B$3)</f>
        <v>WWS</v>
      </c>
      <c r="C96" t="str">
        <f>IF('FILL ME'!$B$4 = "", "", 'FILL ME'!$B$4)</f>
        <v>SSFLAT</v>
      </c>
      <c r="D96" s="7" t="str">
        <f>TEXT('FILL ME'!$B$7,"yyyymmdd")</f>
        <v>20260319</v>
      </c>
      <c r="E96" s="8" t="str">
        <f t="shared" si="4"/>
        <v/>
      </c>
      <c r="F96" s="7">
        <f>IF('FILL ME'!$B$8="ISCO",'FILL ME'!$B$7+'FILL ME'!$B$12+('FILL ME'!$B$13*(G96-'FILL ME'!$B$14)),'FILL ME'!$B$7)</f>
        <v>46100</v>
      </c>
      <c r="G96" s="8">
        <v>23</v>
      </c>
      <c r="H96" s="2" t="str">
        <v>MCSN04</v>
      </c>
      <c r="I96" s="9" t="str">
        <f t="shared" si="5"/>
        <v>MCSN04_23</v>
      </c>
      <c r="J96" s="10" t="str">
        <f t="shared" si="6"/>
        <v>SSFLAT_MCSN04_20260319_23</v>
      </c>
      <c r="K96" s="10" t="str">
        <f t="shared" si="7"/>
        <v>SSFLAT_MCSN04_20260319_</v>
      </c>
      <c r="L96" t="b">
        <f>IF(ROW()-ROW($L$1)+1 &lt;= 'FILL ME'!$E$3, TRUE, FALSE)</f>
        <v>0</v>
      </c>
      <c r="M96" t="b">
        <f>IF(ROW()-ROW($M$1)+1 &lt;= 'FILL ME'!$E$4, TRUE, FALSE)</f>
        <v>1</v>
      </c>
      <c r="N96" t="b">
        <f>IF(ROW()-ROW($N$1)+1 &lt;= 'FILL ME'!$E$5, TRUE, FALSE)</f>
        <v>1</v>
      </c>
      <c r="O96" t="b">
        <f>IF(ROW()-ROW($O$1)+1 &lt;= 'FILL ME'!$E$6, TRUE, FALSE)</f>
        <v>1</v>
      </c>
      <c r="P96" t="b">
        <f>IF(ROW()-ROW($P$1)+1 &lt;= 'FILL ME'!$E$7, TRUE, FALSE)</f>
        <v>1</v>
      </c>
      <c r="Q96" t="b">
        <f>IF(ROW()-ROW($Q$1)+1 &lt;= 'FILL ME'!$E$8, TRUE, FALSE)</f>
        <v>1</v>
      </c>
      <c r="R96" t="b">
        <f>IF(ROW()-ROW($R$1)+1 &lt;= 'FILL ME'!$E$10, TRUE, FALSE)</f>
        <v>1</v>
      </c>
    </row>
    <row r="97" spans="1:18" x14ac:dyDescent="0.25">
      <c r="A97" s="7" t="str">
        <f>'FILL ME'!$B$8</f>
        <v>Grab</v>
      </c>
      <c r="B97" t="str">
        <f>IF('FILL ME'!$B$3 = "", "", 'FILL ME'!$B$3)</f>
        <v>WWS</v>
      </c>
      <c r="C97" t="str">
        <f>IF('FILL ME'!$B$4 = "", "", 'FILL ME'!$B$4)</f>
        <v>SSFLAT</v>
      </c>
      <c r="D97" s="7" t="str">
        <f>TEXT('FILL ME'!$B$7,"yyyymmdd")</f>
        <v>20260319</v>
      </c>
      <c r="E97" s="8" t="str">
        <f t="shared" si="4"/>
        <v/>
      </c>
      <c r="F97" s="7">
        <f>IF('FILL ME'!$B$8="ISCO",'FILL ME'!$B$7+'FILL ME'!$B$12+('FILL ME'!$B$13*(G97-'FILL ME'!$B$14)),'FILL ME'!$B$7)</f>
        <v>46100</v>
      </c>
      <c r="G97" s="8">
        <v>24</v>
      </c>
      <c r="H97" s="2" t="str">
        <v>MCSN04</v>
      </c>
      <c r="I97" s="9" t="str">
        <f t="shared" si="5"/>
        <v>MCSN04_24</v>
      </c>
      <c r="J97" s="10" t="str">
        <f t="shared" si="6"/>
        <v>SSFLAT_MCSN04_20260319_24</v>
      </c>
      <c r="K97" s="10" t="str">
        <f t="shared" si="7"/>
        <v>SSFLAT_MCSN04_20260319_</v>
      </c>
      <c r="L97" t="b">
        <f>IF(ROW()-ROW($L$1)+1 &lt;= 'FILL ME'!$E$3, TRUE, FALSE)</f>
        <v>0</v>
      </c>
      <c r="M97" t="b">
        <f>IF(ROW()-ROW($M$1)+1 &lt;= 'FILL ME'!$E$4, TRUE, FALSE)</f>
        <v>1</v>
      </c>
      <c r="N97" t="b">
        <f>IF(ROW()-ROW($N$1)+1 &lt;= 'FILL ME'!$E$5, TRUE, FALSE)</f>
        <v>1</v>
      </c>
      <c r="O97" t="b">
        <f>IF(ROW()-ROW($O$1)+1 &lt;= 'FILL ME'!$E$6, TRUE, FALSE)</f>
        <v>1</v>
      </c>
      <c r="P97" t="b">
        <f>IF(ROW()-ROW($P$1)+1 &lt;= 'FILL ME'!$E$7, TRUE, FALSE)</f>
        <v>1</v>
      </c>
      <c r="Q97" t="b">
        <f>IF(ROW()-ROW($Q$1)+1 &lt;= 'FILL ME'!$E$8, TRUE, FALSE)</f>
        <v>1</v>
      </c>
      <c r="R97" t="b">
        <f>IF(ROW()-ROW($R$1)+1 &lt;= 'FILL ME'!$E$10, TRUE, FALSE)</f>
        <v>1</v>
      </c>
    </row>
    <row r="98" spans="1:18" x14ac:dyDescent="0.25">
      <c r="A98" s="7" t="str">
        <f>'FILL ME'!$B$8</f>
        <v>Grab</v>
      </c>
      <c r="B98" t="str">
        <f>IF('FILL ME'!$B$3 = "", "", 'FILL ME'!$B$3)</f>
        <v>WWS</v>
      </c>
      <c r="C98" t="str">
        <f>IF('FILL ME'!$B$4 = "", "", 'FILL ME'!$B$4)</f>
        <v>SSFLAT</v>
      </c>
      <c r="D98" s="7" t="str">
        <f>TEXT('FILL ME'!$B$7,"yyyymmdd")</f>
        <v>20260319</v>
      </c>
      <c r="E98" s="8" t="str">
        <f t="shared" si="4"/>
        <v/>
      </c>
      <c r="F98" s="7">
        <f>IF('FILL ME'!$B$8="ISCO",'FILL ME'!$B$7+'FILL ME'!$B$12+('FILL ME'!$B$13*(G98-'FILL ME'!$B$14)),'FILL ME'!$B$7)</f>
        <v>46100</v>
      </c>
      <c r="G98" s="8">
        <v>1</v>
      </c>
      <c r="H98" s="2" t="str">
        <v>MCSN05</v>
      </c>
      <c r="I98" s="9" t="str">
        <f t="shared" si="5"/>
        <v>MCSN05_01</v>
      </c>
      <c r="J98" s="10" t="str">
        <f t="shared" si="6"/>
        <v>SSFLAT_MCSN05_20260319_01</v>
      </c>
      <c r="K98" s="10" t="str">
        <f t="shared" si="7"/>
        <v>SSFLAT_MCSN05_20260319_</v>
      </c>
      <c r="L98" t="b">
        <f>IF(ROW()-ROW($L$1)+1 &lt;= 'FILL ME'!$E$3, TRUE, FALSE)</f>
        <v>0</v>
      </c>
      <c r="M98" t="b">
        <f>IF(ROW()-ROW($M$1)+1 &lt;= 'FILL ME'!$E$4, TRUE, FALSE)</f>
        <v>1</v>
      </c>
      <c r="N98" t="b">
        <f>IF(ROW()-ROW($N$1)+1 &lt;= 'FILL ME'!$E$5, TRUE, FALSE)</f>
        <v>1</v>
      </c>
      <c r="O98" t="b">
        <f>IF(ROW()-ROW($O$1)+1 &lt;= 'FILL ME'!$E$6, TRUE, FALSE)</f>
        <v>1</v>
      </c>
      <c r="P98" t="b">
        <f>IF(ROW()-ROW($P$1)+1 &lt;= 'FILL ME'!$E$7, TRUE, FALSE)</f>
        <v>1</v>
      </c>
      <c r="Q98" t="b">
        <f>IF(ROW()-ROW($Q$1)+1 &lt;= 'FILL ME'!$E$8, TRUE, FALSE)</f>
        <v>1</v>
      </c>
      <c r="R98" t="b">
        <f>IF(ROW()-ROW($R$1)+1 &lt;= 'FILL ME'!$E$10, TRUE, FALSE)</f>
        <v>1</v>
      </c>
    </row>
    <row r="99" spans="1:18" x14ac:dyDescent="0.25">
      <c r="A99" s="7" t="str">
        <f>'FILL ME'!$B$8</f>
        <v>Grab</v>
      </c>
      <c r="B99" t="str">
        <f>IF('FILL ME'!$B$3 = "", "", 'FILL ME'!$B$3)</f>
        <v>WWS</v>
      </c>
      <c r="C99" t="str">
        <f>IF('FILL ME'!$B$4 = "", "", 'FILL ME'!$B$4)</f>
        <v>SSFLAT</v>
      </c>
      <c r="D99" s="7" t="str">
        <f>TEXT('FILL ME'!$B$7,"yyyymmdd")</f>
        <v>20260319</v>
      </c>
      <c r="E99" s="8" t="str">
        <f t="shared" si="4"/>
        <v/>
      </c>
      <c r="F99" s="7">
        <f>IF('FILL ME'!$B$8="ISCO",'FILL ME'!$B$7+'FILL ME'!$B$12+('FILL ME'!$B$13*(G99-'FILL ME'!$B$14)),'FILL ME'!$B$7)</f>
        <v>46100</v>
      </c>
      <c r="G99" s="8">
        <v>2</v>
      </c>
      <c r="H99" s="2" t="str">
        <v>MCSN05</v>
      </c>
      <c r="I99" s="9" t="str">
        <f t="shared" si="5"/>
        <v>MCSN05_02</v>
      </c>
      <c r="J99" s="10" t="str">
        <f t="shared" si="6"/>
        <v>SSFLAT_MCSN05_20260319_02</v>
      </c>
      <c r="K99" s="10" t="str">
        <f t="shared" si="7"/>
        <v>SSFLAT_MCSN05_20260319_</v>
      </c>
      <c r="L99" t="b">
        <f>IF(ROW()-ROW($L$1)+1 &lt;= 'FILL ME'!$E$3, TRUE, FALSE)</f>
        <v>0</v>
      </c>
      <c r="M99" t="b">
        <f>IF(ROW()-ROW($M$1)+1 &lt;= 'FILL ME'!$E$4, TRUE, FALSE)</f>
        <v>1</v>
      </c>
      <c r="N99" t="b">
        <f>IF(ROW()-ROW($N$1)+1 &lt;= 'FILL ME'!$E$5, TRUE, FALSE)</f>
        <v>1</v>
      </c>
      <c r="O99" t="b">
        <f>IF(ROW()-ROW($O$1)+1 &lt;= 'FILL ME'!$E$6, TRUE, FALSE)</f>
        <v>1</v>
      </c>
      <c r="P99" t="b">
        <f>IF(ROW()-ROW($P$1)+1 &lt;= 'FILL ME'!$E$7, TRUE, FALSE)</f>
        <v>1</v>
      </c>
      <c r="Q99" t="b">
        <f>IF(ROW()-ROW($Q$1)+1 &lt;= 'FILL ME'!$E$8, TRUE, FALSE)</f>
        <v>1</v>
      </c>
      <c r="R99" t="b">
        <f>IF(ROW()-ROW($R$1)+1 &lt;= 'FILL ME'!$E$10, TRUE, FALSE)</f>
        <v>1</v>
      </c>
    </row>
    <row r="100" spans="1:18" x14ac:dyDescent="0.25">
      <c r="A100" s="7" t="str">
        <f>'FILL ME'!$B$8</f>
        <v>Grab</v>
      </c>
      <c r="B100" t="str">
        <f>IF('FILL ME'!$B$3 = "", "", 'FILL ME'!$B$3)</f>
        <v>WWS</v>
      </c>
      <c r="C100" t="str">
        <f>IF('FILL ME'!$B$4 = "", "", 'FILL ME'!$B$4)</f>
        <v>SSFLAT</v>
      </c>
      <c r="D100" s="7" t="str">
        <f>TEXT('FILL ME'!$B$7,"yyyymmdd")</f>
        <v>20260319</v>
      </c>
      <c r="E100" s="8" t="str">
        <f t="shared" si="4"/>
        <v/>
      </c>
      <c r="F100" s="7">
        <f>IF('FILL ME'!$B$8="ISCO",'FILL ME'!$B$7+'FILL ME'!$B$12+('FILL ME'!$B$13*(G100-'FILL ME'!$B$14)),'FILL ME'!$B$7)</f>
        <v>46100</v>
      </c>
      <c r="G100" s="8">
        <v>3</v>
      </c>
      <c r="H100" s="2" t="str">
        <v>MCSN05</v>
      </c>
      <c r="I100" s="9" t="str">
        <f t="shared" si="5"/>
        <v>MCSN05_03</v>
      </c>
      <c r="J100" s="10" t="str">
        <f t="shared" si="6"/>
        <v>SSFLAT_MCSN05_20260319_03</v>
      </c>
      <c r="K100" s="10" t="str">
        <f t="shared" si="7"/>
        <v>SSFLAT_MCSN05_20260319_</v>
      </c>
      <c r="L100" t="b">
        <f>IF(ROW()-ROW($L$1)+1 &lt;= 'FILL ME'!$E$3, TRUE, FALSE)</f>
        <v>0</v>
      </c>
      <c r="M100" t="b">
        <f>IF(ROW()-ROW($M$1)+1 &lt;= 'FILL ME'!$E$4, TRUE, FALSE)</f>
        <v>1</v>
      </c>
      <c r="N100" t="b">
        <f>IF(ROW()-ROW($N$1)+1 &lt;= 'FILL ME'!$E$5, TRUE, FALSE)</f>
        <v>1</v>
      </c>
      <c r="O100" t="b">
        <f>IF(ROW()-ROW($O$1)+1 &lt;= 'FILL ME'!$E$6, TRUE, FALSE)</f>
        <v>1</v>
      </c>
      <c r="P100" t="b">
        <f>IF(ROW()-ROW($P$1)+1 &lt;= 'FILL ME'!$E$7, TRUE, FALSE)</f>
        <v>1</v>
      </c>
      <c r="Q100" t="b">
        <f>IF(ROW()-ROW($Q$1)+1 &lt;= 'FILL ME'!$E$8, TRUE, FALSE)</f>
        <v>1</v>
      </c>
      <c r="R100" t="b">
        <f>IF(ROW()-ROW($R$1)+1 &lt;= 'FILL ME'!$E$10, TRUE, FALSE)</f>
        <v>1</v>
      </c>
    </row>
    <row r="101" spans="1:18" x14ac:dyDescent="0.25">
      <c r="A101" s="7" t="str">
        <f>'FILL ME'!$B$8</f>
        <v>Grab</v>
      </c>
      <c r="B101" t="str">
        <f>IF('FILL ME'!$B$3 = "", "", 'FILL ME'!$B$3)</f>
        <v>WWS</v>
      </c>
      <c r="C101" t="str">
        <f>IF('FILL ME'!$B$4 = "", "", 'FILL ME'!$B$4)</f>
        <v>SSFLAT</v>
      </c>
      <c r="D101" s="7" t="str">
        <f>TEXT('FILL ME'!$B$7,"yyyymmdd")</f>
        <v>20260319</v>
      </c>
      <c r="E101" s="8" t="str">
        <f t="shared" si="4"/>
        <v/>
      </c>
      <c r="F101" s="7">
        <f>IF('FILL ME'!$B$8="ISCO",'FILL ME'!$B$7+'FILL ME'!$B$12+('FILL ME'!$B$13*(G101-'FILL ME'!$B$14)),'FILL ME'!$B$7)</f>
        <v>46100</v>
      </c>
      <c r="G101" s="8">
        <v>4</v>
      </c>
      <c r="H101" s="2" t="str">
        <v>MCSN05</v>
      </c>
      <c r="I101" s="9" t="str">
        <f t="shared" si="5"/>
        <v>MCSN05_04</v>
      </c>
      <c r="J101" s="10" t="str">
        <f t="shared" si="6"/>
        <v>SSFLAT_MCSN05_20260319_04</v>
      </c>
      <c r="K101" s="10" t="str">
        <f t="shared" si="7"/>
        <v>SSFLAT_MCSN05_20260319_</v>
      </c>
      <c r="L101" t="b">
        <f>IF(ROW()-ROW($L$1)+1 &lt;= 'FILL ME'!$E$3, TRUE, FALSE)</f>
        <v>0</v>
      </c>
      <c r="M101" t="b">
        <f>IF(ROW()-ROW($M$1)+1 &lt;= 'FILL ME'!$E$4, TRUE, FALSE)</f>
        <v>1</v>
      </c>
      <c r="N101" t="b">
        <f>IF(ROW()-ROW($N$1)+1 &lt;= 'FILL ME'!$E$5, TRUE, FALSE)</f>
        <v>1</v>
      </c>
      <c r="O101" t="b">
        <f>IF(ROW()-ROW($O$1)+1 &lt;= 'FILL ME'!$E$6, TRUE, FALSE)</f>
        <v>1</v>
      </c>
      <c r="P101" t="b">
        <f>IF(ROW()-ROW($P$1)+1 &lt;= 'FILL ME'!$E$7, TRUE, FALSE)</f>
        <v>1</v>
      </c>
      <c r="Q101" t="b">
        <f>IF(ROW()-ROW($Q$1)+1 &lt;= 'FILL ME'!$E$8, TRUE, FALSE)</f>
        <v>1</v>
      </c>
      <c r="R101" t="b">
        <f>IF(ROW()-ROW($R$1)+1 &lt;= 'FILL ME'!$E$10, TRUE, FALSE)</f>
        <v>1</v>
      </c>
    </row>
    <row r="102" spans="1:18" x14ac:dyDescent="0.25">
      <c r="A102" s="7" t="str">
        <f>'FILL ME'!$B$8</f>
        <v>Grab</v>
      </c>
      <c r="B102" t="str">
        <f>IF('FILL ME'!$B$3 = "", "", 'FILL ME'!$B$3)</f>
        <v>WWS</v>
      </c>
      <c r="C102" t="str">
        <f>IF('FILL ME'!$B$4 = "", "", 'FILL ME'!$B$4)</f>
        <v>SSFLAT</v>
      </c>
      <c r="D102" s="7" t="str">
        <f>TEXT('FILL ME'!$B$7,"yyyymmdd")</f>
        <v>20260319</v>
      </c>
      <c r="E102" s="8" t="str">
        <f t="shared" si="4"/>
        <v/>
      </c>
      <c r="F102" s="7">
        <f>IF('FILL ME'!$B$8="ISCO",'FILL ME'!$B$7+'FILL ME'!$B$12+('FILL ME'!$B$13*(G102-'FILL ME'!$B$14)),'FILL ME'!$B$7)</f>
        <v>46100</v>
      </c>
      <c r="G102" s="8">
        <v>5</v>
      </c>
      <c r="H102" s="2" t="str">
        <v>MCSN05</v>
      </c>
      <c r="I102" s="9" t="str">
        <f t="shared" si="5"/>
        <v>MCSN05_05</v>
      </c>
      <c r="J102" s="10" t="str">
        <f t="shared" si="6"/>
        <v>SSFLAT_MCSN05_20260319_05</v>
      </c>
      <c r="K102" s="10" t="str">
        <f t="shared" si="7"/>
        <v>SSFLAT_MCSN05_20260319_</v>
      </c>
      <c r="L102" t="b">
        <f>IF(ROW()-ROW($L$1)+1 &lt;= 'FILL ME'!$E$3, TRUE, FALSE)</f>
        <v>0</v>
      </c>
      <c r="M102" t="b">
        <f>IF(ROW()-ROW($M$1)+1 &lt;= 'FILL ME'!$E$4, TRUE, FALSE)</f>
        <v>1</v>
      </c>
      <c r="N102" t="b">
        <f>IF(ROW()-ROW($N$1)+1 &lt;= 'FILL ME'!$E$5, TRUE, FALSE)</f>
        <v>1</v>
      </c>
      <c r="O102" t="b">
        <f>IF(ROW()-ROW($O$1)+1 &lt;= 'FILL ME'!$E$6, TRUE, FALSE)</f>
        <v>1</v>
      </c>
      <c r="P102" t="b">
        <f>IF(ROW()-ROW($P$1)+1 &lt;= 'FILL ME'!$E$7, TRUE, FALSE)</f>
        <v>1</v>
      </c>
      <c r="Q102" t="b">
        <f>IF(ROW()-ROW($Q$1)+1 &lt;= 'FILL ME'!$E$8, TRUE, FALSE)</f>
        <v>1</v>
      </c>
      <c r="R102" t="b">
        <f>IF(ROW()-ROW($R$1)+1 &lt;= 'FILL ME'!$E$10, TRUE, FALSE)</f>
        <v>1</v>
      </c>
    </row>
    <row r="103" spans="1:18" x14ac:dyDescent="0.25">
      <c r="A103" s="7" t="str">
        <f>'FILL ME'!$B$8</f>
        <v>Grab</v>
      </c>
      <c r="B103" t="str">
        <f>IF('FILL ME'!$B$3 = "", "", 'FILL ME'!$B$3)</f>
        <v>WWS</v>
      </c>
      <c r="C103" t="str">
        <f>IF('FILL ME'!$B$4 = "", "", 'FILL ME'!$B$4)</f>
        <v>SSFLAT</v>
      </c>
      <c r="D103" s="7" t="str">
        <f>TEXT('FILL ME'!$B$7,"yyyymmdd")</f>
        <v>20260319</v>
      </c>
      <c r="E103" s="8" t="str">
        <f t="shared" si="4"/>
        <v/>
      </c>
      <c r="F103" s="7">
        <f>IF('FILL ME'!$B$8="ISCO",'FILL ME'!$B$7+'FILL ME'!$B$12+('FILL ME'!$B$13*(G103-'FILL ME'!$B$14)),'FILL ME'!$B$7)</f>
        <v>46100</v>
      </c>
      <c r="G103" s="8">
        <v>6</v>
      </c>
      <c r="H103" s="2" t="str">
        <v>MCSN05</v>
      </c>
      <c r="I103" s="9" t="str">
        <f t="shared" si="5"/>
        <v>MCSN05_06</v>
      </c>
      <c r="J103" s="10" t="str">
        <f t="shared" si="6"/>
        <v>SSFLAT_MCSN05_20260319_06</v>
      </c>
      <c r="K103" s="10" t="str">
        <f t="shared" si="7"/>
        <v>SSFLAT_MCSN05_20260319_</v>
      </c>
      <c r="L103" t="b">
        <f>IF(ROW()-ROW($L$1)+1 &lt;= 'FILL ME'!$E$3, TRUE, FALSE)</f>
        <v>0</v>
      </c>
      <c r="M103" t="b">
        <f>IF(ROW()-ROW($M$1)+1 &lt;= 'FILL ME'!$E$4, TRUE, FALSE)</f>
        <v>1</v>
      </c>
      <c r="N103" t="b">
        <f>IF(ROW()-ROW($N$1)+1 &lt;= 'FILL ME'!$E$5, TRUE, FALSE)</f>
        <v>1</v>
      </c>
      <c r="O103" t="b">
        <f>IF(ROW()-ROW($O$1)+1 &lt;= 'FILL ME'!$E$6, TRUE, FALSE)</f>
        <v>1</v>
      </c>
      <c r="P103" t="b">
        <f>IF(ROW()-ROW($P$1)+1 &lt;= 'FILL ME'!$E$7, TRUE, FALSE)</f>
        <v>1</v>
      </c>
      <c r="Q103" t="b">
        <f>IF(ROW()-ROW($Q$1)+1 &lt;= 'FILL ME'!$E$8, TRUE, FALSE)</f>
        <v>1</v>
      </c>
      <c r="R103" t="b">
        <f>IF(ROW()-ROW($R$1)+1 &lt;= 'FILL ME'!$E$10, TRUE, FALSE)</f>
        <v>1</v>
      </c>
    </row>
    <row r="104" spans="1:18" x14ac:dyDescent="0.25">
      <c r="A104" s="7" t="str">
        <f>'FILL ME'!$B$8</f>
        <v>Grab</v>
      </c>
      <c r="B104" t="str">
        <f>IF('FILL ME'!$B$3 = "", "", 'FILL ME'!$B$3)</f>
        <v>WWS</v>
      </c>
      <c r="C104" t="str">
        <f>IF('FILL ME'!$B$4 = "", "", 'FILL ME'!$B$4)</f>
        <v>SSFLAT</v>
      </c>
      <c r="D104" s="7" t="str">
        <f>TEXT('FILL ME'!$B$7,"yyyymmdd")</f>
        <v>20260319</v>
      </c>
      <c r="E104" s="8" t="str">
        <f t="shared" si="4"/>
        <v/>
      </c>
      <c r="F104" s="7">
        <f>IF('FILL ME'!$B$8="ISCO",'FILL ME'!$B$7+'FILL ME'!$B$12+('FILL ME'!$B$13*(G104-'FILL ME'!$B$14)),'FILL ME'!$B$7)</f>
        <v>46100</v>
      </c>
      <c r="G104" s="8">
        <v>7</v>
      </c>
      <c r="H104" s="2" t="str">
        <v>MCSN05</v>
      </c>
      <c r="I104" s="9" t="str">
        <f t="shared" si="5"/>
        <v>MCSN05_07</v>
      </c>
      <c r="J104" s="10" t="str">
        <f t="shared" si="6"/>
        <v>SSFLAT_MCSN05_20260319_07</v>
      </c>
      <c r="K104" s="10" t="str">
        <f t="shared" si="7"/>
        <v>SSFLAT_MCSN05_20260319_</v>
      </c>
      <c r="L104" t="b">
        <f>IF(ROW()-ROW($L$1)+1 &lt;= 'FILL ME'!$E$3, TRUE, FALSE)</f>
        <v>0</v>
      </c>
      <c r="M104" t="b">
        <f>IF(ROW()-ROW($M$1)+1 &lt;= 'FILL ME'!$E$4, TRUE, FALSE)</f>
        <v>1</v>
      </c>
      <c r="N104" t="b">
        <f>IF(ROW()-ROW($N$1)+1 &lt;= 'FILL ME'!$E$5, TRUE, FALSE)</f>
        <v>1</v>
      </c>
      <c r="O104" t="b">
        <f>IF(ROW()-ROW($O$1)+1 &lt;= 'FILL ME'!$E$6, TRUE, FALSE)</f>
        <v>1</v>
      </c>
      <c r="P104" t="b">
        <f>IF(ROW()-ROW($P$1)+1 &lt;= 'FILL ME'!$E$7, TRUE, FALSE)</f>
        <v>1</v>
      </c>
      <c r="Q104" t="b">
        <f>IF(ROW()-ROW($Q$1)+1 &lt;= 'FILL ME'!$E$8, TRUE, FALSE)</f>
        <v>1</v>
      </c>
      <c r="R104" t="b">
        <f>IF(ROW()-ROW($R$1)+1 &lt;= 'FILL ME'!$E$10, TRUE, FALSE)</f>
        <v>1</v>
      </c>
    </row>
    <row r="105" spans="1:18" x14ac:dyDescent="0.25">
      <c r="A105" s="7" t="str">
        <f>'FILL ME'!$B$8</f>
        <v>Grab</v>
      </c>
      <c r="B105" t="str">
        <f>IF('FILL ME'!$B$3 = "", "", 'FILL ME'!$B$3)</f>
        <v>WWS</v>
      </c>
      <c r="C105" t="str">
        <f>IF('FILL ME'!$B$4 = "", "", 'FILL ME'!$B$4)</f>
        <v>SSFLAT</v>
      </c>
      <c r="D105" s="7" t="str">
        <f>TEXT('FILL ME'!$B$7,"yyyymmdd")</f>
        <v>20260319</v>
      </c>
      <c r="E105" s="8" t="str">
        <f t="shared" si="4"/>
        <v/>
      </c>
      <c r="F105" s="7">
        <f>IF('FILL ME'!$B$8="ISCO",'FILL ME'!$B$7+'FILL ME'!$B$12+('FILL ME'!$B$13*(G105-'FILL ME'!$B$14)),'FILL ME'!$B$7)</f>
        <v>46100</v>
      </c>
      <c r="G105" s="8">
        <v>8</v>
      </c>
      <c r="H105" s="2" t="str">
        <v>MCSN05</v>
      </c>
      <c r="I105" s="9" t="str">
        <f t="shared" si="5"/>
        <v>MCSN05_08</v>
      </c>
      <c r="J105" s="10" t="str">
        <f t="shared" si="6"/>
        <v>SSFLAT_MCSN05_20260319_08</v>
      </c>
      <c r="K105" s="10" t="str">
        <f t="shared" si="7"/>
        <v>SSFLAT_MCSN05_20260319_</v>
      </c>
      <c r="L105" t="b">
        <f>IF(ROW()-ROW($L$1)+1 &lt;= 'FILL ME'!$E$3, TRUE, FALSE)</f>
        <v>0</v>
      </c>
      <c r="M105" t="b">
        <f>IF(ROW()-ROW($M$1)+1 &lt;= 'FILL ME'!$E$4, TRUE, FALSE)</f>
        <v>1</v>
      </c>
      <c r="N105" t="b">
        <f>IF(ROW()-ROW($N$1)+1 &lt;= 'FILL ME'!$E$5, TRUE, FALSE)</f>
        <v>1</v>
      </c>
      <c r="O105" t="b">
        <f>IF(ROW()-ROW($O$1)+1 &lt;= 'FILL ME'!$E$6, TRUE, FALSE)</f>
        <v>1</v>
      </c>
      <c r="P105" t="b">
        <f>IF(ROW()-ROW($P$1)+1 &lt;= 'FILL ME'!$E$7, TRUE, FALSE)</f>
        <v>1</v>
      </c>
      <c r="Q105" t="b">
        <f>IF(ROW()-ROW($Q$1)+1 &lt;= 'FILL ME'!$E$8, TRUE, FALSE)</f>
        <v>1</v>
      </c>
      <c r="R105" t="b">
        <f>IF(ROW()-ROW($R$1)+1 &lt;= 'FILL ME'!$E$10, TRUE, FALSE)</f>
        <v>1</v>
      </c>
    </row>
    <row r="106" spans="1:18" x14ac:dyDescent="0.25">
      <c r="A106" s="7" t="str">
        <f>'FILL ME'!$B$8</f>
        <v>Grab</v>
      </c>
      <c r="B106" t="str">
        <f>IF('FILL ME'!$B$3 = "", "", 'FILL ME'!$B$3)</f>
        <v>WWS</v>
      </c>
      <c r="C106" t="str">
        <f>IF('FILL ME'!$B$4 = "", "", 'FILL ME'!$B$4)</f>
        <v>SSFLAT</v>
      </c>
      <c r="D106" s="7" t="str">
        <f>TEXT('FILL ME'!$B$7,"yyyymmdd")</f>
        <v>20260319</v>
      </c>
      <c r="E106" s="8" t="str">
        <f t="shared" si="4"/>
        <v/>
      </c>
      <c r="F106" s="7">
        <f>IF('FILL ME'!$B$8="ISCO",'FILL ME'!$B$7+'FILL ME'!$B$12+('FILL ME'!$B$13*(G106-'FILL ME'!$B$14)),'FILL ME'!$B$7)</f>
        <v>46100</v>
      </c>
      <c r="G106" s="8">
        <v>9</v>
      </c>
      <c r="H106" s="2" t="str">
        <v>MCSN05</v>
      </c>
      <c r="I106" s="9" t="str">
        <f t="shared" si="5"/>
        <v>MCSN05_09</v>
      </c>
      <c r="J106" s="10" t="str">
        <f t="shared" si="6"/>
        <v>SSFLAT_MCSN05_20260319_09</v>
      </c>
      <c r="K106" s="10" t="str">
        <f t="shared" si="7"/>
        <v>SSFLAT_MCSN05_20260319_</v>
      </c>
      <c r="L106" t="b">
        <f>IF(ROW()-ROW($L$1)+1 &lt;= 'FILL ME'!$E$3, TRUE, FALSE)</f>
        <v>0</v>
      </c>
      <c r="M106" t="b">
        <f>IF(ROW()-ROW($M$1)+1 &lt;= 'FILL ME'!$E$4, TRUE, FALSE)</f>
        <v>1</v>
      </c>
      <c r="N106" t="b">
        <f>IF(ROW()-ROW($N$1)+1 &lt;= 'FILL ME'!$E$5, TRUE, FALSE)</f>
        <v>1</v>
      </c>
      <c r="O106" t="b">
        <f>IF(ROW()-ROW($O$1)+1 &lt;= 'FILL ME'!$E$6, TRUE, FALSE)</f>
        <v>1</v>
      </c>
      <c r="P106" t="b">
        <f>IF(ROW()-ROW($P$1)+1 &lt;= 'FILL ME'!$E$7, TRUE, FALSE)</f>
        <v>1</v>
      </c>
      <c r="Q106" t="b">
        <f>IF(ROW()-ROW($Q$1)+1 &lt;= 'FILL ME'!$E$8, TRUE, FALSE)</f>
        <v>1</v>
      </c>
      <c r="R106" t="b">
        <f>IF(ROW()-ROW($R$1)+1 &lt;= 'FILL ME'!$E$10, TRUE, FALSE)</f>
        <v>1</v>
      </c>
    </row>
    <row r="107" spans="1:18" x14ac:dyDescent="0.25">
      <c r="A107" s="7" t="str">
        <f>'FILL ME'!$B$8</f>
        <v>Grab</v>
      </c>
      <c r="B107" t="str">
        <f>IF('FILL ME'!$B$3 = "", "", 'FILL ME'!$B$3)</f>
        <v>WWS</v>
      </c>
      <c r="C107" t="str">
        <f>IF('FILL ME'!$B$4 = "", "", 'FILL ME'!$B$4)</f>
        <v>SSFLAT</v>
      </c>
      <c r="D107" s="7" t="str">
        <f>TEXT('FILL ME'!$B$7,"yyyymmdd")</f>
        <v>20260319</v>
      </c>
      <c r="E107" s="8" t="str">
        <f t="shared" si="4"/>
        <v/>
      </c>
      <c r="F107" s="7">
        <f>IF('FILL ME'!$B$8="ISCO",'FILL ME'!$B$7+'FILL ME'!$B$12+('FILL ME'!$B$13*(G107-'FILL ME'!$B$14)),'FILL ME'!$B$7)</f>
        <v>46100</v>
      </c>
      <c r="G107" s="8">
        <v>10</v>
      </c>
      <c r="H107" s="2" t="str">
        <v>MCSN05</v>
      </c>
      <c r="I107" s="9" t="str">
        <f t="shared" si="5"/>
        <v>MCSN05_10</v>
      </c>
      <c r="J107" s="10" t="str">
        <f t="shared" si="6"/>
        <v>SSFLAT_MCSN05_20260319_10</v>
      </c>
      <c r="K107" s="10" t="str">
        <f t="shared" si="7"/>
        <v>SSFLAT_MCSN05_20260319_</v>
      </c>
      <c r="L107" t="b">
        <f>IF(ROW()-ROW($L$1)+1 &lt;= 'FILL ME'!$E$3, TRUE, FALSE)</f>
        <v>0</v>
      </c>
      <c r="M107" t="b">
        <f>IF(ROW()-ROW($M$1)+1 &lt;= 'FILL ME'!$E$4, TRUE, FALSE)</f>
        <v>1</v>
      </c>
      <c r="N107" t="b">
        <f>IF(ROW()-ROW($N$1)+1 &lt;= 'FILL ME'!$E$5, TRUE, FALSE)</f>
        <v>1</v>
      </c>
      <c r="O107" t="b">
        <f>IF(ROW()-ROW($O$1)+1 &lt;= 'FILL ME'!$E$6, TRUE, FALSE)</f>
        <v>1</v>
      </c>
      <c r="P107" t="b">
        <f>IF(ROW()-ROW($P$1)+1 &lt;= 'FILL ME'!$E$7, TRUE, FALSE)</f>
        <v>1</v>
      </c>
      <c r="Q107" t="b">
        <f>IF(ROW()-ROW($Q$1)+1 &lt;= 'FILL ME'!$E$8, TRUE, FALSE)</f>
        <v>1</v>
      </c>
      <c r="R107" t="b">
        <f>IF(ROW()-ROW($R$1)+1 &lt;= 'FILL ME'!$E$10, TRUE, FALSE)</f>
        <v>1</v>
      </c>
    </row>
    <row r="108" spans="1:18" x14ac:dyDescent="0.25">
      <c r="A108" s="7" t="str">
        <f>'FILL ME'!$B$8</f>
        <v>Grab</v>
      </c>
      <c r="B108" t="str">
        <f>IF('FILL ME'!$B$3 = "", "", 'FILL ME'!$B$3)</f>
        <v>WWS</v>
      </c>
      <c r="C108" t="str">
        <f>IF('FILL ME'!$B$4 = "", "", 'FILL ME'!$B$4)</f>
        <v>SSFLAT</v>
      </c>
      <c r="D108" s="7" t="str">
        <f>TEXT('FILL ME'!$B$7,"yyyymmdd")</f>
        <v>20260319</v>
      </c>
      <c r="E108" s="8" t="str">
        <f t="shared" si="4"/>
        <v/>
      </c>
      <c r="F108" s="7">
        <f>IF('FILL ME'!$B$8="ISCO",'FILL ME'!$B$7+'FILL ME'!$B$12+('FILL ME'!$B$13*(G108-'FILL ME'!$B$14)),'FILL ME'!$B$7)</f>
        <v>46100</v>
      </c>
      <c r="G108" s="8">
        <v>11</v>
      </c>
      <c r="H108" s="2" t="str">
        <v>MCSN05</v>
      </c>
      <c r="I108" s="9" t="str">
        <f t="shared" si="5"/>
        <v>MCSN05_11</v>
      </c>
      <c r="J108" s="10" t="str">
        <f t="shared" si="6"/>
        <v>SSFLAT_MCSN05_20260319_11</v>
      </c>
      <c r="K108" s="10" t="str">
        <f t="shared" si="7"/>
        <v>SSFLAT_MCSN05_20260319_</v>
      </c>
      <c r="L108" t="b">
        <f>IF(ROW()-ROW($L$1)+1 &lt;= 'FILL ME'!$E$3, TRUE, FALSE)</f>
        <v>0</v>
      </c>
      <c r="M108" t="b">
        <f>IF(ROW()-ROW($M$1)+1 &lt;= 'FILL ME'!$E$4, TRUE, FALSE)</f>
        <v>1</v>
      </c>
      <c r="N108" t="b">
        <f>IF(ROW()-ROW($N$1)+1 &lt;= 'FILL ME'!$E$5, TRUE, FALSE)</f>
        <v>1</v>
      </c>
      <c r="O108" t="b">
        <f>IF(ROW()-ROW($O$1)+1 &lt;= 'FILL ME'!$E$6, TRUE, FALSE)</f>
        <v>1</v>
      </c>
      <c r="P108" t="b">
        <f>IF(ROW()-ROW($P$1)+1 &lt;= 'FILL ME'!$E$7, TRUE, FALSE)</f>
        <v>1</v>
      </c>
      <c r="Q108" t="b">
        <f>IF(ROW()-ROW($Q$1)+1 &lt;= 'FILL ME'!$E$8, TRUE, FALSE)</f>
        <v>1</v>
      </c>
      <c r="R108" t="b">
        <f>IF(ROW()-ROW($R$1)+1 &lt;= 'FILL ME'!$E$10, TRUE, FALSE)</f>
        <v>1</v>
      </c>
    </row>
    <row r="109" spans="1:18" x14ac:dyDescent="0.25">
      <c r="A109" s="7" t="str">
        <f>'FILL ME'!$B$8</f>
        <v>Grab</v>
      </c>
      <c r="B109" t="str">
        <f>IF('FILL ME'!$B$3 = "", "", 'FILL ME'!$B$3)</f>
        <v>WWS</v>
      </c>
      <c r="C109" t="str">
        <f>IF('FILL ME'!$B$4 = "", "", 'FILL ME'!$B$4)</f>
        <v>SSFLAT</v>
      </c>
      <c r="D109" s="7" t="str">
        <f>TEXT('FILL ME'!$B$7,"yyyymmdd")</f>
        <v>20260319</v>
      </c>
      <c r="E109" s="8" t="str">
        <f t="shared" si="4"/>
        <v/>
      </c>
      <c r="F109" s="7">
        <f>IF('FILL ME'!$B$8="ISCO",'FILL ME'!$B$7+'FILL ME'!$B$12+('FILL ME'!$B$13*(G109-'FILL ME'!$B$14)),'FILL ME'!$B$7)</f>
        <v>46100</v>
      </c>
      <c r="G109" s="8">
        <v>12</v>
      </c>
      <c r="H109" s="2" t="str">
        <v>MCSN05</v>
      </c>
      <c r="I109" s="9" t="str">
        <f t="shared" si="5"/>
        <v>MCSN05_12</v>
      </c>
      <c r="J109" s="10" t="str">
        <f t="shared" si="6"/>
        <v>SSFLAT_MCSN05_20260319_12</v>
      </c>
      <c r="K109" s="10" t="str">
        <f t="shared" si="7"/>
        <v>SSFLAT_MCSN05_20260319_</v>
      </c>
      <c r="L109" t="b">
        <f>IF(ROW()-ROW($L$1)+1 &lt;= 'FILL ME'!$E$3, TRUE, FALSE)</f>
        <v>0</v>
      </c>
      <c r="M109" t="b">
        <f>IF(ROW()-ROW($M$1)+1 &lt;= 'FILL ME'!$E$4, TRUE, FALSE)</f>
        <v>1</v>
      </c>
      <c r="N109" t="b">
        <f>IF(ROW()-ROW($N$1)+1 &lt;= 'FILL ME'!$E$5, TRUE, FALSE)</f>
        <v>1</v>
      </c>
      <c r="O109" t="b">
        <f>IF(ROW()-ROW($O$1)+1 &lt;= 'FILL ME'!$E$6, TRUE, FALSE)</f>
        <v>1</v>
      </c>
      <c r="P109" t="b">
        <f>IF(ROW()-ROW($P$1)+1 &lt;= 'FILL ME'!$E$7, TRUE, FALSE)</f>
        <v>1</v>
      </c>
      <c r="Q109" t="b">
        <f>IF(ROW()-ROW($Q$1)+1 &lt;= 'FILL ME'!$E$8, TRUE, FALSE)</f>
        <v>1</v>
      </c>
      <c r="R109" t="b">
        <f>IF(ROW()-ROW($R$1)+1 &lt;= 'FILL ME'!$E$10, TRUE, FALSE)</f>
        <v>1</v>
      </c>
    </row>
    <row r="110" spans="1:18" x14ac:dyDescent="0.25">
      <c r="A110" s="7" t="str">
        <f>'FILL ME'!$B$8</f>
        <v>Grab</v>
      </c>
      <c r="B110" t="str">
        <f>IF('FILL ME'!$B$3 = "", "", 'FILL ME'!$B$3)</f>
        <v>WWS</v>
      </c>
      <c r="C110" t="str">
        <f>IF('FILL ME'!$B$4 = "", "", 'FILL ME'!$B$4)</f>
        <v>SSFLAT</v>
      </c>
      <c r="D110" s="7" t="str">
        <f>TEXT('FILL ME'!$B$7,"yyyymmdd")</f>
        <v>20260319</v>
      </c>
      <c r="E110" s="8" t="str">
        <f t="shared" si="4"/>
        <v/>
      </c>
      <c r="F110" s="7">
        <f>IF('FILL ME'!$B$8="ISCO",'FILL ME'!$B$7+'FILL ME'!$B$12+('FILL ME'!$B$13*(G110-'FILL ME'!$B$14)),'FILL ME'!$B$7)</f>
        <v>46100</v>
      </c>
      <c r="G110" s="8">
        <v>13</v>
      </c>
      <c r="H110" s="2" t="str">
        <v>MCSN05</v>
      </c>
      <c r="I110" s="9" t="str">
        <f t="shared" si="5"/>
        <v>MCSN05_13</v>
      </c>
      <c r="J110" s="10" t="str">
        <f t="shared" si="6"/>
        <v>SSFLAT_MCSN05_20260319_13</v>
      </c>
      <c r="K110" s="10" t="str">
        <f t="shared" si="7"/>
        <v>SSFLAT_MCSN05_20260319_</v>
      </c>
      <c r="L110" t="b">
        <f>IF(ROW()-ROW($L$1)+1 &lt;= 'FILL ME'!$E$3, TRUE, FALSE)</f>
        <v>0</v>
      </c>
      <c r="M110" t="b">
        <f>IF(ROW()-ROW($M$1)+1 &lt;= 'FILL ME'!$E$4, TRUE, FALSE)</f>
        <v>1</v>
      </c>
      <c r="N110" t="b">
        <f>IF(ROW()-ROW($N$1)+1 &lt;= 'FILL ME'!$E$5, TRUE, FALSE)</f>
        <v>1</v>
      </c>
      <c r="O110" t="b">
        <f>IF(ROW()-ROW($O$1)+1 &lt;= 'FILL ME'!$E$6, TRUE, FALSE)</f>
        <v>1</v>
      </c>
      <c r="P110" t="b">
        <f>IF(ROW()-ROW($P$1)+1 &lt;= 'FILL ME'!$E$7, TRUE, FALSE)</f>
        <v>1</v>
      </c>
      <c r="Q110" t="b">
        <f>IF(ROW()-ROW($Q$1)+1 &lt;= 'FILL ME'!$E$8, TRUE, FALSE)</f>
        <v>1</v>
      </c>
      <c r="R110" t="b">
        <f>IF(ROW()-ROW($R$1)+1 &lt;= 'FILL ME'!$E$10, TRUE, FALSE)</f>
        <v>1</v>
      </c>
    </row>
    <row r="111" spans="1:18" x14ac:dyDescent="0.25">
      <c r="A111" s="7" t="str">
        <f>'FILL ME'!$B$8</f>
        <v>Grab</v>
      </c>
      <c r="B111" t="str">
        <f>IF('FILL ME'!$B$3 = "", "", 'FILL ME'!$B$3)</f>
        <v>WWS</v>
      </c>
      <c r="C111" t="str">
        <f>IF('FILL ME'!$B$4 = "", "", 'FILL ME'!$B$4)</f>
        <v>SSFLAT</v>
      </c>
      <c r="D111" s="7" t="str">
        <f>TEXT('FILL ME'!$B$7,"yyyymmdd")</f>
        <v>20260319</v>
      </c>
      <c r="E111" s="8" t="str">
        <f t="shared" si="4"/>
        <v/>
      </c>
      <c r="F111" s="7">
        <f>IF('FILL ME'!$B$8="ISCO",'FILL ME'!$B$7+'FILL ME'!$B$12+('FILL ME'!$B$13*(G111-'FILL ME'!$B$14)),'FILL ME'!$B$7)</f>
        <v>46100</v>
      </c>
      <c r="G111" s="8">
        <v>14</v>
      </c>
      <c r="H111" s="2" t="str">
        <v>MCSN05</v>
      </c>
      <c r="I111" s="9" t="str">
        <f t="shared" si="5"/>
        <v>MCSN05_14</v>
      </c>
      <c r="J111" s="10" t="str">
        <f t="shared" si="6"/>
        <v>SSFLAT_MCSN05_20260319_14</v>
      </c>
      <c r="K111" s="10" t="str">
        <f t="shared" si="7"/>
        <v>SSFLAT_MCSN05_20260319_</v>
      </c>
      <c r="L111" t="b">
        <f>IF(ROW()-ROW($L$1)+1 &lt;= 'FILL ME'!$E$3, TRUE, FALSE)</f>
        <v>0</v>
      </c>
      <c r="M111" t="b">
        <f>IF(ROW()-ROW($M$1)+1 &lt;= 'FILL ME'!$E$4, TRUE, FALSE)</f>
        <v>1</v>
      </c>
      <c r="N111" t="b">
        <f>IF(ROW()-ROW($N$1)+1 &lt;= 'FILL ME'!$E$5, TRUE, FALSE)</f>
        <v>1</v>
      </c>
      <c r="O111" t="b">
        <f>IF(ROW()-ROW($O$1)+1 &lt;= 'FILL ME'!$E$6, TRUE, FALSE)</f>
        <v>1</v>
      </c>
      <c r="P111" t="b">
        <f>IF(ROW()-ROW($P$1)+1 &lt;= 'FILL ME'!$E$7, TRUE, FALSE)</f>
        <v>1</v>
      </c>
      <c r="Q111" t="b">
        <f>IF(ROW()-ROW($Q$1)+1 &lt;= 'FILL ME'!$E$8, TRUE, FALSE)</f>
        <v>1</v>
      </c>
      <c r="R111" t="b">
        <f>IF(ROW()-ROW($R$1)+1 &lt;= 'FILL ME'!$E$10, TRUE, FALSE)</f>
        <v>1</v>
      </c>
    </row>
    <row r="112" spans="1:18" x14ac:dyDescent="0.25">
      <c r="A112" s="7" t="str">
        <f>'FILL ME'!$B$8</f>
        <v>Grab</v>
      </c>
      <c r="B112" t="str">
        <f>IF('FILL ME'!$B$3 = "", "", 'FILL ME'!$B$3)</f>
        <v>WWS</v>
      </c>
      <c r="C112" t="str">
        <f>IF('FILL ME'!$B$4 = "", "", 'FILL ME'!$B$4)</f>
        <v>SSFLAT</v>
      </c>
      <c r="D112" s="7" t="str">
        <f>TEXT('FILL ME'!$B$7,"yyyymmdd")</f>
        <v>20260319</v>
      </c>
      <c r="E112" s="8" t="str">
        <f t="shared" si="4"/>
        <v/>
      </c>
      <c r="F112" s="7">
        <f>IF('FILL ME'!$B$8="ISCO",'FILL ME'!$B$7+'FILL ME'!$B$12+('FILL ME'!$B$13*(G112-'FILL ME'!$B$14)),'FILL ME'!$B$7)</f>
        <v>46100</v>
      </c>
      <c r="G112" s="8">
        <v>15</v>
      </c>
      <c r="H112" s="2" t="str">
        <v>MCSN05</v>
      </c>
      <c r="I112" s="9" t="str">
        <f t="shared" si="5"/>
        <v>MCSN05_15</v>
      </c>
      <c r="J112" s="10" t="str">
        <f t="shared" si="6"/>
        <v>SSFLAT_MCSN05_20260319_15</v>
      </c>
      <c r="K112" s="10" t="str">
        <f t="shared" si="7"/>
        <v>SSFLAT_MCSN05_20260319_</v>
      </c>
      <c r="L112" t="b">
        <f>IF(ROW()-ROW($L$1)+1 &lt;= 'FILL ME'!$E$3, TRUE, FALSE)</f>
        <v>0</v>
      </c>
      <c r="M112" t="b">
        <f>IF(ROW()-ROW($M$1)+1 &lt;= 'FILL ME'!$E$4, TRUE, FALSE)</f>
        <v>1</v>
      </c>
      <c r="N112" t="b">
        <f>IF(ROW()-ROW($N$1)+1 &lt;= 'FILL ME'!$E$5, TRUE, FALSE)</f>
        <v>1</v>
      </c>
      <c r="O112" t="b">
        <f>IF(ROW()-ROW($O$1)+1 &lt;= 'FILL ME'!$E$6, TRUE, FALSE)</f>
        <v>1</v>
      </c>
      <c r="P112" t="b">
        <f>IF(ROW()-ROW($P$1)+1 &lt;= 'FILL ME'!$E$7, TRUE, FALSE)</f>
        <v>1</v>
      </c>
      <c r="Q112" t="b">
        <f>IF(ROW()-ROW($Q$1)+1 &lt;= 'FILL ME'!$E$8, TRUE, FALSE)</f>
        <v>1</v>
      </c>
      <c r="R112" t="b">
        <f>IF(ROW()-ROW($R$1)+1 &lt;= 'FILL ME'!$E$10, TRUE, FALSE)</f>
        <v>1</v>
      </c>
    </row>
    <row r="113" spans="1:18" x14ac:dyDescent="0.25">
      <c r="A113" s="7" t="str">
        <f>'FILL ME'!$B$8</f>
        <v>Grab</v>
      </c>
      <c r="B113" t="str">
        <f>IF('FILL ME'!$B$3 = "", "", 'FILL ME'!$B$3)</f>
        <v>WWS</v>
      </c>
      <c r="C113" t="str">
        <f>IF('FILL ME'!$B$4 = "", "", 'FILL ME'!$B$4)</f>
        <v>SSFLAT</v>
      </c>
      <c r="D113" s="7" t="str">
        <f>TEXT('FILL ME'!$B$7,"yyyymmdd")</f>
        <v>20260319</v>
      </c>
      <c r="E113" s="8" t="str">
        <f t="shared" si="4"/>
        <v/>
      </c>
      <c r="F113" s="7">
        <f>IF('FILL ME'!$B$8="ISCO",'FILL ME'!$B$7+'FILL ME'!$B$12+('FILL ME'!$B$13*(G113-'FILL ME'!$B$14)),'FILL ME'!$B$7)</f>
        <v>46100</v>
      </c>
      <c r="G113" s="8">
        <v>16</v>
      </c>
      <c r="H113" s="2" t="str">
        <v>MCSN05</v>
      </c>
      <c r="I113" s="9" t="str">
        <f t="shared" si="5"/>
        <v>MCSN05_16</v>
      </c>
      <c r="J113" s="10" t="str">
        <f t="shared" si="6"/>
        <v>SSFLAT_MCSN05_20260319_16</v>
      </c>
      <c r="K113" s="10" t="str">
        <f t="shared" si="7"/>
        <v>SSFLAT_MCSN05_20260319_</v>
      </c>
      <c r="L113" t="b">
        <f>IF(ROW()-ROW($L$1)+1 &lt;= 'FILL ME'!$E$3, TRUE, FALSE)</f>
        <v>0</v>
      </c>
      <c r="M113" t="b">
        <f>IF(ROW()-ROW($M$1)+1 &lt;= 'FILL ME'!$E$4, TRUE, FALSE)</f>
        <v>1</v>
      </c>
      <c r="N113" t="b">
        <f>IF(ROW()-ROW($N$1)+1 &lt;= 'FILL ME'!$E$5, TRUE, FALSE)</f>
        <v>1</v>
      </c>
      <c r="O113" t="b">
        <f>IF(ROW()-ROW($O$1)+1 &lt;= 'FILL ME'!$E$6, TRUE, FALSE)</f>
        <v>1</v>
      </c>
      <c r="P113" t="b">
        <f>IF(ROW()-ROW($P$1)+1 &lt;= 'FILL ME'!$E$7, TRUE, FALSE)</f>
        <v>1</v>
      </c>
      <c r="Q113" t="b">
        <f>IF(ROW()-ROW($Q$1)+1 &lt;= 'FILL ME'!$E$8, TRUE, FALSE)</f>
        <v>1</v>
      </c>
      <c r="R113" t="b">
        <f>IF(ROW()-ROW($R$1)+1 &lt;= 'FILL ME'!$E$10, TRUE, FALSE)</f>
        <v>1</v>
      </c>
    </row>
    <row r="114" spans="1:18" x14ac:dyDescent="0.25">
      <c r="A114" s="7" t="str">
        <f>'FILL ME'!$B$8</f>
        <v>Grab</v>
      </c>
      <c r="B114" t="str">
        <f>IF('FILL ME'!$B$3 = "", "", 'FILL ME'!$B$3)</f>
        <v>WWS</v>
      </c>
      <c r="C114" t="str">
        <f>IF('FILL ME'!$B$4 = "", "", 'FILL ME'!$B$4)</f>
        <v>SSFLAT</v>
      </c>
      <c r="D114" s="7" t="str">
        <f>TEXT('FILL ME'!$B$7,"yyyymmdd")</f>
        <v>20260319</v>
      </c>
      <c r="E114" s="8" t="str">
        <f t="shared" si="4"/>
        <v/>
      </c>
      <c r="F114" s="7">
        <f>IF('FILL ME'!$B$8="ISCO",'FILL ME'!$B$7+'FILL ME'!$B$12+('FILL ME'!$B$13*(G114-'FILL ME'!$B$14)),'FILL ME'!$B$7)</f>
        <v>46100</v>
      </c>
      <c r="G114" s="8">
        <v>17</v>
      </c>
      <c r="H114" s="2" t="str">
        <v>MCSN05</v>
      </c>
      <c r="I114" s="9" t="str">
        <f t="shared" si="5"/>
        <v>MCSN05_17</v>
      </c>
      <c r="J114" s="10" t="str">
        <f t="shared" si="6"/>
        <v>SSFLAT_MCSN05_20260319_17</v>
      </c>
      <c r="K114" s="10" t="str">
        <f t="shared" si="7"/>
        <v>SSFLAT_MCSN05_20260319_</v>
      </c>
      <c r="L114" t="b">
        <f>IF(ROW()-ROW($L$1)+1 &lt;= 'FILL ME'!$E$3, TRUE, FALSE)</f>
        <v>0</v>
      </c>
      <c r="M114" t="b">
        <f>IF(ROW()-ROW($M$1)+1 &lt;= 'FILL ME'!$E$4, TRUE, FALSE)</f>
        <v>1</v>
      </c>
      <c r="N114" t="b">
        <f>IF(ROW()-ROW($N$1)+1 &lt;= 'FILL ME'!$E$5, TRUE, FALSE)</f>
        <v>1</v>
      </c>
      <c r="O114" t="b">
        <f>IF(ROW()-ROW($O$1)+1 &lt;= 'FILL ME'!$E$6, TRUE, FALSE)</f>
        <v>1</v>
      </c>
      <c r="P114" t="b">
        <f>IF(ROW()-ROW($P$1)+1 &lt;= 'FILL ME'!$E$7, TRUE, FALSE)</f>
        <v>1</v>
      </c>
      <c r="Q114" t="b">
        <f>IF(ROW()-ROW($Q$1)+1 &lt;= 'FILL ME'!$E$8, TRUE, FALSE)</f>
        <v>1</v>
      </c>
      <c r="R114" t="b">
        <f>IF(ROW()-ROW($R$1)+1 &lt;= 'FILL ME'!$E$10, TRUE, FALSE)</f>
        <v>1</v>
      </c>
    </row>
    <row r="115" spans="1:18" x14ac:dyDescent="0.25">
      <c r="A115" s="7" t="str">
        <f>'FILL ME'!$B$8</f>
        <v>Grab</v>
      </c>
      <c r="B115" t="str">
        <f>IF('FILL ME'!$B$3 = "", "", 'FILL ME'!$B$3)</f>
        <v>WWS</v>
      </c>
      <c r="C115" t="str">
        <f>IF('FILL ME'!$B$4 = "", "", 'FILL ME'!$B$4)</f>
        <v>SSFLAT</v>
      </c>
      <c r="D115" s="7" t="str">
        <f>TEXT('FILL ME'!$B$7,"yyyymmdd")</f>
        <v>20260319</v>
      </c>
      <c r="E115" s="8" t="str">
        <f t="shared" si="4"/>
        <v/>
      </c>
      <c r="F115" s="7">
        <f>IF('FILL ME'!$B$8="ISCO",'FILL ME'!$B$7+'FILL ME'!$B$12+('FILL ME'!$B$13*(G115-'FILL ME'!$B$14)),'FILL ME'!$B$7)</f>
        <v>46100</v>
      </c>
      <c r="G115" s="8">
        <v>18</v>
      </c>
      <c r="H115" s="2" t="str">
        <v>MCSN05</v>
      </c>
      <c r="I115" s="9" t="str">
        <f t="shared" si="5"/>
        <v>MCSN05_18</v>
      </c>
      <c r="J115" s="10" t="str">
        <f t="shared" si="6"/>
        <v>SSFLAT_MCSN05_20260319_18</v>
      </c>
      <c r="K115" s="10" t="str">
        <f t="shared" si="7"/>
        <v>SSFLAT_MCSN05_20260319_</v>
      </c>
      <c r="L115" t="b">
        <f>IF(ROW()-ROW($L$1)+1 &lt;= 'FILL ME'!$E$3, TRUE, FALSE)</f>
        <v>0</v>
      </c>
      <c r="M115" t="b">
        <f>IF(ROW()-ROW($M$1)+1 &lt;= 'FILL ME'!$E$4, TRUE, FALSE)</f>
        <v>1</v>
      </c>
      <c r="N115" t="b">
        <f>IF(ROW()-ROW($N$1)+1 &lt;= 'FILL ME'!$E$5, TRUE, FALSE)</f>
        <v>1</v>
      </c>
      <c r="O115" t="b">
        <f>IF(ROW()-ROW($O$1)+1 &lt;= 'FILL ME'!$E$6, TRUE, FALSE)</f>
        <v>1</v>
      </c>
      <c r="P115" t="b">
        <f>IF(ROW()-ROW($P$1)+1 &lt;= 'FILL ME'!$E$7, TRUE, FALSE)</f>
        <v>1</v>
      </c>
      <c r="Q115" t="b">
        <f>IF(ROW()-ROW($Q$1)+1 &lt;= 'FILL ME'!$E$8, TRUE, FALSE)</f>
        <v>1</v>
      </c>
      <c r="R115" t="b">
        <f>IF(ROW()-ROW($R$1)+1 &lt;= 'FILL ME'!$E$10, TRUE, FALSE)</f>
        <v>1</v>
      </c>
    </row>
    <row r="116" spans="1:18" x14ac:dyDescent="0.25">
      <c r="A116" s="7" t="str">
        <f>'FILL ME'!$B$8</f>
        <v>Grab</v>
      </c>
      <c r="B116" t="str">
        <f>IF('FILL ME'!$B$3 = "", "", 'FILL ME'!$B$3)</f>
        <v>WWS</v>
      </c>
      <c r="C116" t="str">
        <f>IF('FILL ME'!$B$4 = "", "", 'FILL ME'!$B$4)</f>
        <v>SSFLAT</v>
      </c>
      <c r="D116" s="7" t="str">
        <f>TEXT('FILL ME'!$B$7,"yyyymmdd")</f>
        <v>20260319</v>
      </c>
      <c r="E116" s="8" t="str">
        <f t="shared" si="4"/>
        <v/>
      </c>
      <c r="F116" s="7">
        <f>IF('FILL ME'!$B$8="ISCO",'FILL ME'!$B$7+'FILL ME'!$B$12+('FILL ME'!$B$13*(G116-'FILL ME'!$B$14)),'FILL ME'!$B$7)</f>
        <v>46100</v>
      </c>
      <c r="G116" s="8">
        <v>19</v>
      </c>
      <c r="H116" s="2" t="str">
        <v>MCSN05</v>
      </c>
      <c r="I116" s="9" t="str">
        <f t="shared" si="5"/>
        <v>MCSN05_19</v>
      </c>
      <c r="J116" s="10" t="str">
        <f t="shared" si="6"/>
        <v>SSFLAT_MCSN05_20260319_19</v>
      </c>
      <c r="K116" s="10" t="str">
        <f t="shared" si="7"/>
        <v>SSFLAT_MCSN05_20260319_</v>
      </c>
      <c r="L116" t="b">
        <f>IF(ROW()-ROW($L$1)+1 &lt;= 'FILL ME'!$E$3, TRUE, FALSE)</f>
        <v>0</v>
      </c>
      <c r="M116" t="b">
        <f>IF(ROW()-ROW($M$1)+1 &lt;= 'FILL ME'!$E$4, TRUE, FALSE)</f>
        <v>1</v>
      </c>
      <c r="N116" t="b">
        <f>IF(ROW()-ROW($N$1)+1 &lt;= 'FILL ME'!$E$5, TRUE, FALSE)</f>
        <v>1</v>
      </c>
      <c r="O116" t="b">
        <f>IF(ROW()-ROW($O$1)+1 &lt;= 'FILL ME'!$E$6, TRUE, FALSE)</f>
        <v>1</v>
      </c>
      <c r="P116" t="b">
        <f>IF(ROW()-ROW($P$1)+1 &lt;= 'FILL ME'!$E$7, TRUE, FALSE)</f>
        <v>1</v>
      </c>
      <c r="Q116" t="b">
        <f>IF(ROW()-ROW($Q$1)+1 &lt;= 'FILL ME'!$E$8, TRUE, FALSE)</f>
        <v>1</v>
      </c>
      <c r="R116" t="b">
        <f>IF(ROW()-ROW($R$1)+1 &lt;= 'FILL ME'!$E$10, TRUE, FALSE)</f>
        <v>1</v>
      </c>
    </row>
    <row r="117" spans="1:18" x14ac:dyDescent="0.25">
      <c r="A117" s="7" t="str">
        <f>'FILL ME'!$B$8</f>
        <v>Grab</v>
      </c>
      <c r="B117" t="str">
        <f>IF('FILL ME'!$B$3 = "", "", 'FILL ME'!$B$3)</f>
        <v>WWS</v>
      </c>
      <c r="C117" t="str">
        <f>IF('FILL ME'!$B$4 = "", "", 'FILL ME'!$B$4)</f>
        <v>SSFLAT</v>
      </c>
      <c r="D117" s="7" t="str">
        <f>TEXT('FILL ME'!$B$7,"yyyymmdd")</f>
        <v>20260319</v>
      </c>
      <c r="E117" s="8" t="str">
        <f t="shared" si="4"/>
        <v/>
      </c>
      <c r="F117" s="7">
        <f>IF('FILL ME'!$B$8="ISCO",'FILL ME'!$B$7+'FILL ME'!$B$12+('FILL ME'!$B$13*(G117-'FILL ME'!$B$14)),'FILL ME'!$B$7)</f>
        <v>46100</v>
      </c>
      <c r="G117" s="8">
        <v>20</v>
      </c>
      <c r="H117" s="2" t="str">
        <v>MCSN05</v>
      </c>
      <c r="I117" s="9" t="str">
        <f t="shared" si="5"/>
        <v>MCSN05_20</v>
      </c>
      <c r="J117" s="10" t="str">
        <f t="shared" si="6"/>
        <v>SSFLAT_MCSN05_20260319_20</v>
      </c>
      <c r="K117" s="10" t="str">
        <f t="shared" si="7"/>
        <v>SSFLAT_MCSN05_20260319_</v>
      </c>
      <c r="L117" t="b">
        <f>IF(ROW()-ROW($L$1)+1 &lt;= 'FILL ME'!$E$3, TRUE, FALSE)</f>
        <v>0</v>
      </c>
      <c r="M117" t="b">
        <f>IF(ROW()-ROW($M$1)+1 &lt;= 'FILL ME'!$E$4, TRUE, FALSE)</f>
        <v>1</v>
      </c>
      <c r="N117" t="b">
        <f>IF(ROW()-ROW($N$1)+1 &lt;= 'FILL ME'!$E$5, TRUE, FALSE)</f>
        <v>1</v>
      </c>
      <c r="O117" t="b">
        <f>IF(ROW()-ROW($O$1)+1 &lt;= 'FILL ME'!$E$6, TRUE, FALSE)</f>
        <v>1</v>
      </c>
      <c r="P117" t="b">
        <f>IF(ROW()-ROW($P$1)+1 &lt;= 'FILL ME'!$E$7, TRUE, FALSE)</f>
        <v>1</v>
      </c>
      <c r="Q117" t="b">
        <f>IF(ROW()-ROW($Q$1)+1 &lt;= 'FILL ME'!$E$8, TRUE, FALSE)</f>
        <v>1</v>
      </c>
      <c r="R117" t="b">
        <f>IF(ROW()-ROW($R$1)+1 &lt;= 'FILL ME'!$E$10, TRUE, FALSE)</f>
        <v>1</v>
      </c>
    </row>
    <row r="118" spans="1:18" x14ac:dyDescent="0.25">
      <c r="A118" s="7" t="str">
        <f>'FILL ME'!$B$8</f>
        <v>Grab</v>
      </c>
      <c r="B118" t="str">
        <f>IF('FILL ME'!$B$3 = "", "", 'FILL ME'!$B$3)</f>
        <v>WWS</v>
      </c>
      <c r="C118" t="str">
        <f>IF('FILL ME'!$B$4 = "", "", 'FILL ME'!$B$4)</f>
        <v>SSFLAT</v>
      </c>
      <c r="D118" s="7" t="str">
        <f>TEXT('FILL ME'!$B$7,"yyyymmdd")</f>
        <v>20260319</v>
      </c>
      <c r="E118" s="8" t="str">
        <f t="shared" si="4"/>
        <v/>
      </c>
      <c r="F118" s="7">
        <f>IF('FILL ME'!$B$8="ISCO",'FILL ME'!$B$7+'FILL ME'!$B$12+('FILL ME'!$B$13*(G118-'FILL ME'!$B$14)),'FILL ME'!$B$7)</f>
        <v>46100</v>
      </c>
      <c r="G118" s="8">
        <v>21</v>
      </c>
      <c r="H118" s="2" t="str">
        <v>MCSN05</v>
      </c>
      <c r="I118" s="9" t="str">
        <f t="shared" si="5"/>
        <v>MCSN05_21</v>
      </c>
      <c r="J118" s="10" t="str">
        <f t="shared" si="6"/>
        <v>SSFLAT_MCSN05_20260319_21</v>
      </c>
      <c r="K118" s="10" t="str">
        <f t="shared" si="7"/>
        <v>SSFLAT_MCSN05_20260319_</v>
      </c>
      <c r="L118" t="b">
        <f>IF(ROW()-ROW($L$1)+1 &lt;= 'FILL ME'!$E$3, TRUE, FALSE)</f>
        <v>0</v>
      </c>
      <c r="M118" t="b">
        <f>IF(ROW()-ROW($M$1)+1 &lt;= 'FILL ME'!$E$4, TRUE, FALSE)</f>
        <v>1</v>
      </c>
      <c r="N118" t="b">
        <f>IF(ROW()-ROW($N$1)+1 &lt;= 'FILL ME'!$E$5, TRUE, FALSE)</f>
        <v>1</v>
      </c>
      <c r="O118" t="b">
        <f>IF(ROW()-ROW($O$1)+1 &lt;= 'FILL ME'!$E$6, TRUE, FALSE)</f>
        <v>1</v>
      </c>
      <c r="P118" t="b">
        <f>IF(ROW()-ROW($P$1)+1 &lt;= 'FILL ME'!$E$7, TRUE, FALSE)</f>
        <v>1</v>
      </c>
      <c r="Q118" t="b">
        <f>IF(ROW()-ROW($Q$1)+1 &lt;= 'FILL ME'!$E$8, TRUE, FALSE)</f>
        <v>1</v>
      </c>
      <c r="R118" t="b">
        <f>IF(ROW()-ROW($R$1)+1 &lt;= 'FILL ME'!$E$10, TRUE, FALSE)</f>
        <v>1</v>
      </c>
    </row>
    <row r="119" spans="1:18" x14ac:dyDescent="0.25">
      <c r="A119" s="7" t="str">
        <f>'FILL ME'!$B$8</f>
        <v>Grab</v>
      </c>
      <c r="B119" t="str">
        <f>IF('FILL ME'!$B$3 = "", "", 'FILL ME'!$B$3)</f>
        <v>WWS</v>
      </c>
      <c r="C119" t="str">
        <f>IF('FILL ME'!$B$4 = "", "", 'FILL ME'!$B$4)</f>
        <v>SSFLAT</v>
      </c>
      <c r="D119" s="7" t="str">
        <f>TEXT('FILL ME'!$B$7,"yyyymmdd")</f>
        <v>20260319</v>
      </c>
      <c r="E119" s="8" t="str">
        <f t="shared" si="4"/>
        <v/>
      </c>
      <c r="F119" s="7">
        <f>IF('FILL ME'!$B$8="ISCO",'FILL ME'!$B$7+'FILL ME'!$B$12+('FILL ME'!$B$13*(G119-'FILL ME'!$B$14)),'FILL ME'!$B$7)</f>
        <v>46100</v>
      </c>
      <c r="G119" s="8">
        <v>22</v>
      </c>
      <c r="H119" s="2" t="str">
        <v>MCSN05</v>
      </c>
      <c r="I119" s="9" t="str">
        <f t="shared" si="5"/>
        <v>MCSN05_22</v>
      </c>
      <c r="J119" s="10" t="str">
        <f t="shared" si="6"/>
        <v>SSFLAT_MCSN05_20260319_22</v>
      </c>
      <c r="K119" s="10" t="str">
        <f t="shared" si="7"/>
        <v>SSFLAT_MCSN05_20260319_</v>
      </c>
      <c r="L119" t="b">
        <f>IF(ROW()-ROW($L$1)+1 &lt;= 'FILL ME'!$E$3, TRUE, FALSE)</f>
        <v>0</v>
      </c>
      <c r="M119" t="b">
        <f>IF(ROW()-ROW($M$1)+1 &lt;= 'FILL ME'!$E$4, TRUE, FALSE)</f>
        <v>1</v>
      </c>
      <c r="N119" t="b">
        <f>IF(ROW()-ROW($N$1)+1 &lt;= 'FILL ME'!$E$5, TRUE, FALSE)</f>
        <v>1</v>
      </c>
      <c r="O119" t="b">
        <f>IF(ROW()-ROW($O$1)+1 &lt;= 'FILL ME'!$E$6, TRUE, FALSE)</f>
        <v>1</v>
      </c>
      <c r="P119" t="b">
        <f>IF(ROW()-ROW($P$1)+1 &lt;= 'FILL ME'!$E$7, TRUE, FALSE)</f>
        <v>1</v>
      </c>
      <c r="Q119" t="b">
        <f>IF(ROW()-ROW($Q$1)+1 &lt;= 'FILL ME'!$E$8, TRUE, FALSE)</f>
        <v>1</v>
      </c>
      <c r="R119" t="b">
        <f>IF(ROW()-ROW($R$1)+1 &lt;= 'FILL ME'!$E$10, TRUE, FALSE)</f>
        <v>1</v>
      </c>
    </row>
    <row r="120" spans="1:18" x14ac:dyDescent="0.25">
      <c r="A120" s="7" t="str">
        <f>'FILL ME'!$B$8</f>
        <v>Grab</v>
      </c>
      <c r="B120" t="str">
        <f>IF('FILL ME'!$B$3 = "", "", 'FILL ME'!$B$3)</f>
        <v>WWS</v>
      </c>
      <c r="C120" t="str">
        <f>IF('FILL ME'!$B$4 = "", "", 'FILL ME'!$B$4)</f>
        <v>SSFLAT</v>
      </c>
      <c r="D120" s="7" t="str">
        <f>TEXT('FILL ME'!$B$7,"yyyymmdd")</f>
        <v>20260319</v>
      </c>
      <c r="E120" s="8" t="str">
        <f t="shared" si="4"/>
        <v/>
      </c>
      <c r="F120" s="7">
        <f>IF('FILL ME'!$B$8="ISCO",'FILL ME'!$B$7+'FILL ME'!$B$12+('FILL ME'!$B$13*(G120-'FILL ME'!$B$14)),'FILL ME'!$B$7)</f>
        <v>46100</v>
      </c>
      <c r="G120" s="8">
        <v>23</v>
      </c>
      <c r="H120" s="2" t="str">
        <v>MCSN05</v>
      </c>
      <c r="I120" s="9" t="str">
        <f t="shared" si="5"/>
        <v>MCSN05_23</v>
      </c>
      <c r="J120" s="10" t="str">
        <f t="shared" si="6"/>
        <v>SSFLAT_MCSN05_20260319_23</v>
      </c>
      <c r="K120" s="10" t="str">
        <f t="shared" si="7"/>
        <v>SSFLAT_MCSN05_20260319_</v>
      </c>
      <c r="L120" t="b">
        <f>IF(ROW()-ROW($L$1)+1 &lt;= 'FILL ME'!$E$3, TRUE, FALSE)</f>
        <v>0</v>
      </c>
      <c r="M120" t="b">
        <f>IF(ROW()-ROW($M$1)+1 &lt;= 'FILL ME'!$E$4, TRUE, FALSE)</f>
        <v>1</v>
      </c>
      <c r="N120" t="b">
        <f>IF(ROW()-ROW($N$1)+1 &lt;= 'FILL ME'!$E$5, TRUE, FALSE)</f>
        <v>1</v>
      </c>
      <c r="O120" t="b">
        <f>IF(ROW()-ROW($O$1)+1 &lt;= 'FILL ME'!$E$6, TRUE, FALSE)</f>
        <v>1</v>
      </c>
      <c r="P120" t="b">
        <f>IF(ROW()-ROW($P$1)+1 &lt;= 'FILL ME'!$E$7, TRUE, FALSE)</f>
        <v>1</v>
      </c>
      <c r="Q120" t="b">
        <f>IF(ROW()-ROW($Q$1)+1 &lt;= 'FILL ME'!$E$8, TRUE, FALSE)</f>
        <v>1</v>
      </c>
      <c r="R120" t="b">
        <f>IF(ROW()-ROW($R$1)+1 &lt;= 'FILL ME'!$E$10, TRUE, FALSE)</f>
        <v>1</v>
      </c>
    </row>
    <row r="121" spans="1:18" x14ac:dyDescent="0.25">
      <c r="A121" s="7" t="str">
        <f>'FILL ME'!$B$8</f>
        <v>Grab</v>
      </c>
      <c r="B121" t="str">
        <f>IF('FILL ME'!$B$3 = "", "", 'FILL ME'!$B$3)</f>
        <v>WWS</v>
      </c>
      <c r="C121" t="str">
        <f>IF('FILL ME'!$B$4 = "", "", 'FILL ME'!$B$4)</f>
        <v>SSFLAT</v>
      </c>
      <c r="D121" s="7" t="str">
        <f>TEXT('FILL ME'!$B$7,"yyyymmdd")</f>
        <v>20260319</v>
      </c>
      <c r="E121" s="8" t="str">
        <f t="shared" si="4"/>
        <v/>
      </c>
      <c r="F121" s="7">
        <f>IF('FILL ME'!$B$8="ISCO",'FILL ME'!$B$7+'FILL ME'!$B$12+('FILL ME'!$B$13*(G121-'FILL ME'!$B$14)),'FILL ME'!$B$7)</f>
        <v>46100</v>
      </c>
      <c r="G121" s="8">
        <v>24</v>
      </c>
      <c r="H121" s="2" t="str">
        <v>MCSN05</v>
      </c>
      <c r="I121" s="9" t="str">
        <f t="shared" si="5"/>
        <v>MCSN05_24</v>
      </c>
      <c r="J121" s="10" t="str">
        <f t="shared" si="6"/>
        <v>SSFLAT_MCSN05_20260319_24</v>
      </c>
      <c r="K121" s="10" t="str">
        <f t="shared" si="7"/>
        <v>SSFLAT_MCSN05_20260319_</v>
      </c>
      <c r="L121" t="b">
        <f>IF(ROW()-ROW($L$1)+1 &lt;= 'FILL ME'!$E$3, TRUE, FALSE)</f>
        <v>0</v>
      </c>
      <c r="M121" t="b">
        <f>IF(ROW()-ROW($M$1)+1 &lt;= 'FILL ME'!$E$4, TRUE, FALSE)</f>
        <v>1</v>
      </c>
      <c r="N121" t="b">
        <f>IF(ROW()-ROW($N$1)+1 &lt;= 'FILL ME'!$E$5, TRUE, FALSE)</f>
        <v>1</v>
      </c>
      <c r="O121" t="b">
        <f>IF(ROW()-ROW($O$1)+1 &lt;= 'FILL ME'!$E$6, TRUE, FALSE)</f>
        <v>1</v>
      </c>
      <c r="P121" t="b">
        <f>IF(ROW()-ROW($P$1)+1 &lt;= 'FILL ME'!$E$7, TRUE, FALSE)</f>
        <v>1</v>
      </c>
      <c r="Q121" t="b">
        <f>IF(ROW()-ROW($Q$1)+1 &lt;= 'FILL ME'!$E$8, TRUE, FALSE)</f>
        <v>1</v>
      </c>
      <c r="R121" t="b">
        <f>IF(ROW()-ROW($R$1)+1 &lt;= 'FILL ME'!$E$10, TRUE, FALSE)</f>
        <v>1</v>
      </c>
    </row>
    <row r="122" spans="1:18" x14ac:dyDescent="0.25">
      <c r="A122" s="7" t="str">
        <f>'FILL ME'!$B$8</f>
        <v>Grab</v>
      </c>
      <c r="B122" t="str">
        <f>IF('FILL ME'!$B$3 = "", "", 'FILL ME'!$B$3)</f>
        <v>WWS</v>
      </c>
      <c r="C122" t="str">
        <f>IF('FILL ME'!$B$4 = "", "", 'FILL ME'!$B$4)</f>
        <v>SSFLAT</v>
      </c>
      <c r="D122" s="7" t="str">
        <f>TEXT('FILL ME'!$B$7,"yyyymmdd")</f>
        <v>20260319</v>
      </c>
      <c r="E122" s="8" t="str">
        <f t="shared" si="4"/>
        <v/>
      </c>
      <c r="F122" s="7">
        <f>IF('FILL ME'!$B$8="ISCO",'FILL ME'!$B$7+'FILL ME'!$B$12+('FILL ME'!$B$13*(G122-'FILL ME'!$B$14)),'FILL ME'!$B$7)</f>
        <v>46100</v>
      </c>
      <c r="G122" s="8">
        <v>1</v>
      </c>
      <c r="H122" s="2" t="str">
        <v>MCSN06</v>
      </c>
      <c r="I122" s="9" t="str">
        <f t="shared" si="5"/>
        <v>MCSN06_01</v>
      </c>
      <c r="J122" s="10" t="str">
        <f t="shared" si="6"/>
        <v>SSFLAT_MCSN06_20260319_01</v>
      </c>
      <c r="K122" s="10" t="str">
        <f t="shared" si="7"/>
        <v>SSFLAT_MCSN06_20260319_</v>
      </c>
      <c r="L122" t="b">
        <f>IF(ROW()-ROW($L$1)+1 &lt;= 'FILL ME'!$E$3, TRUE, FALSE)</f>
        <v>0</v>
      </c>
      <c r="M122" t="b">
        <f>IF(ROW()-ROW($M$1)+1 &lt;= 'FILL ME'!$E$4, TRUE, FALSE)</f>
        <v>1</v>
      </c>
      <c r="N122" t="b">
        <f>IF(ROW()-ROW($N$1)+1 &lt;= 'FILL ME'!$E$5, TRUE, FALSE)</f>
        <v>1</v>
      </c>
      <c r="O122" t="b">
        <f>IF(ROW()-ROW($O$1)+1 &lt;= 'FILL ME'!$E$6, TRUE, FALSE)</f>
        <v>1</v>
      </c>
      <c r="P122" t="b">
        <f>IF(ROW()-ROW($P$1)+1 &lt;= 'FILL ME'!$E$7, TRUE, FALSE)</f>
        <v>1</v>
      </c>
      <c r="Q122" t="b">
        <f>IF(ROW()-ROW($Q$1)+1 &lt;= 'FILL ME'!$E$8, TRUE, FALSE)</f>
        <v>1</v>
      </c>
      <c r="R122" t="b">
        <f>IF(ROW()-ROW($R$1)+1 &lt;= 'FILL ME'!$E$10, TRUE, FALSE)</f>
        <v>1</v>
      </c>
    </row>
    <row r="123" spans="1:18" x14ac:dyDescent="0.25">
      <c r="A123" s="7" t="str">
        <f>'FILL ME'!$B$8</f>
        <v>Grab</v>
      </c>
      <c r="B123" t="str">
        <f>IF('FILL ME'!$B$3 = "", "", 'FILL ME'!$B$3)</f>
        <v>WWS</v>
      </c>
      <c r="C123" t="str">
        <f>IF('FILL ME'!$B$4 = "", "", 'FILL ME'!$B$4)</f>
        <v>SSFLAT</v>
      </c>
      <c r="D123" s="7" t="str">
        <f>TEXT('FILL ME'!$B$7,"yyyymmdd")</f>
        <v>20260319</v>
      </c>
      <c r="E123" s="8" t="str">
        <f t="shared" si="4"/>
        <v/>
      </c>
      <c r="F123" s="7">
        <f>IF('FILL ME'!$B$8="ISCO",'FILL ME'!$B$7+'FILL ME'!$B$12+('FILL ME'!$B$13*(G123-'FILL ME'!$B$14)),'FILL ME'!$B$7)</f>
        <v>46100</v>
      </c>
      <c r="G123" s="8">
        <v>2</v>
      </c>
      <c r="H123" s="2" t="str">
        <v>MCSN06</v>
      </c>
      <c r="I123" s="9" t="str">
        <f t="shared" si="5"/>
        <v>MCSN06_02</v>
      </c>
      <c r="J123" s="10" t="str">
        <f t="shared" si="6"/>
        <v>SSFLAT_MCSN06_20260319_02</v>
      </c>
      <c r="K123" s="10" t="str">
        <f t="shared" si="7"/>
        <v>SSFLAT_MCSN06_20260319_</v>
      </c>
      <c r="L123" t="b">
        <f>IF(ROW()-ROW($L$1)+1 &lt;= 'FILL ME'!$E$3, TRUE, FALSE)</f>
        <v>0</v>
      </c>
      <c r="M123" t="b">
        <f>IF(ROW()-ROW($M$1)+1 &lt;= 'FILL ME'!$E$4, TRUE, FALSE)</f>
        <v>1</v>
      </c>
      <c r="N123" t="b">
        <f>IF(ROW()-ROW($N$1)+1 &lt;= 'FILL ME'!$E$5, TRUE, FALSE)</f>
        <v>1</v>
      </c>
      <c r="O123" t="b">
        <f>IF(ROW()-ROW($O$1)+1 &lt;= 'FILL ME'!$E$6, TRUE, FALSE)</f>
        <v>1</v>
      </c>
      <c r="P123" t="b">
        <f>IF(ROW()-ROW($P$1)+1 &lt;= 'FILL ME'!$E$7, TRUE, FALSE)</f>
        <v>1</v>
      </c>
      <c r="Q123" t="b">
        <f>IF(ROW()-ROW($Q$1)+1 &lt;= 'FILL ME'!$E$8, TRUE, FALSE)</f>
        <v>1</v>
      </c>
      <c r="R123" t="b">
        <f>IF(ROW()-ROW($R$1)+1 &lt;= 'FILL ME'!$E$10, TRUE, FALSE)</f>
        <v>1</v>
      </c>
    </row>
    <row r="124" spans="1:18" x14ac:dyDescent="0.25">
      <c r="A124" s="7" t="str">
        <f>'FILL ME'!$B$8</f>
        <v>Grab</v>
      </c>
      <c r="B124" t="str">
        <f>IF('FILL ME'!$B$3 = "", "", 'FILL ME'!$B$3)</f>
        <v>WWS</v>
      </c>
      <c r="C124" t="str">
        <f>IF('FILL ME'!$B$4 = "", "", 'FILL ME'!$B$4)</f>
        <v>SSFLAT</v>
      </c>
      <c r="D124" s="7" t="str">
        <f>TEXT('FILL ME'!$B$7,"yyyymmdd")</f>
        <v>20260319</v>
      </c>
      <c r="E124" s="8" t="str">
        <f t="shared" si="4"/>
        <v/>
      </c>
      <c r="F124" s="7">
        <f>IF('FILL ME'!$B$8="ISCO",'FILL ME'!$B$7+'FILL ME'!$B$12+('FILL ME'!$B$13*(G124-'FILL ME'!$B$14)),'FILL ME'!$B$7)</f>
        <v>46100</v>
      </c>
      <c r="G124" s="8">
        <v>3</v>
      </c>
      <c r="H124" s="2" t="str">
        <v>MCSN06</v>
      </c>
      <c r="I124" s="9" t="str">
        <f t="shared" si="5"/>
        <v>MCSN06_03</v>
      </c>
      <c r="J124" s="10" t="str">
        <f t="shared" si="6"/>
        <v>SSFLAT_MCSN06_20260319_03</v>
      </c>
      <c r="K124" s="10" t="str">
        <f t="shared" si="7"/>
        <v>SSFLAT_MCSN06_20260319_</v>
      </c>
      <c r="L124" t="b">
        <f>IF(ROW()-ROW($L$1)+1 &lt;= 'FILL ME'!$E$3, TRUE, FALSE)</f>
        <v>0</v>
      </c>
      <c r="M124" t="b">
        <f>IF(ROW()-ROW($M$1)+1 &lt;= 'FILL ME'!$E$4, TRUE, FALSE)</f>
        <v>1</v>
      </c>
      <c r="N124" t="b">
        <f>IF(ROW()-ROW($N$1)+1 &lt;= 'FILL ME'!$E$5, TRUE, FALSE)</f>
        <v>1</v>
      </c>
      <c r="O124" t="b">
        <f>IF(ROW()-ROW($O$1)+1 &lt;= 'FILL ME'!$E$6, TRUE, FALSE)</f>
        <v>1</v>
      </c>
      <c r="P124" t="b">
        <f>IF(ROW()-ROW($P$1)+1 &lt;= 'FILL ME'!$E$7, TRUE, FALSE)</f>
        <v>1</v>
      </c>
      <c r="Q124" t="b">
        <f>IF(ROW()-ROW($Q$1)+1 &lt;= 'FILL ME'!$E$8, TRUE, FALSE)</f>
        <v>1</v>
      </c>
      <c r="R124" t="b">
        <f>IF(ROW()-ROW($R$1)+1 &lt;= 'FILL ME'!$E$10, TRUE, FALSE)</f>
        <v>1</v>
      </c>
    </row>
    <row r="125" spans="1:18" x14ac:dyDescent="0.25">
      <c r="A125" s="7" t="str">
        <f>'FILL ME'!$B$8</f>
        <v>Grab</v>
      </c>
      <c r="B125" t="str">
        <f>IF('FILL ME'!$B$3 = "", "", 'FILL ME'!$B$3)</f>
        <v>WWS</v>
      </c>
      <c r="C125" t="str">
        <f>IF('FILL ME'!$B$4 = "", "", 'FILL ME'!$B$4)</f>
        <v>SSFLAT</v>
      </c>
      <c r="D125" s="7" t="str">
        <f>TEXT('FILL ME'!$B$7,"yyyymmdd")</f>
        <v>20260319</v>
      </c>
      <c r="E125" s="8" t="str">
        <f t="shared" si="4"/>
        <v/>
      </c>
      <c r="F125" s="7">
        <f>IF('FILL ME'!$B$8="ISCO",'FILL ME'!$B$7+'FILL ME'!$B$12+('FILL ME'!$B$13*(G125-'FILL ME'!$B$14)),'FILL ME'!$B$7)</f>
        <v>46100</v>
      </c>
      <c r="G125" s="8">
        <v>4</v>
      </c>
      <c r="H125" s="2" t="str">
        <v>MCSN06</v>
      </c>
      <c r="I125" s="9" t="str">
        <f t="shared" si="5"/>
        <v>MCSN06_04</v>
      </c>
      <c r="J125" s="10" t="str">
        <f t="shared" si="6"/>
        <v>SSFLAT_MCSN06_20260319_04</v>
      </c>
      <c r="K125" s="10" t="str">
        <f t="shared" si="7"/>
        <v>SSFLAT_MCSN06_20260319_</v>
      </c>
      <c r="L125" t="b">
        <f>IF(ROW()-ROW($L$1)+1 &lt;= 'FILL ME'!$E$3, TRUE, FALSE)</f>
        <v>0</v>
      </c>
      <c r="M125" t="b">
        <f>IF(ROW()-ROW($M$1)+1 &lt;= 'FILL ME'!$E$4, TRUE, FALSE)</f>
        <v>1</v>
      </c>
      <c r="N125" t="b">
        <f>IF(ROW()-ROW($N$1)+1 &lt;= 'FILL ME'!$E$5, TRUE, FALSE)</f>
        <v>1</v>
      </c>
      <c r="O125" t="b">
        <f>IF(ROW()-ROW($O$1)+1 &lt;= 'FILL ME'!$E$6, TRUE, FALSE)</f>
        <v>1</v>
      </c>
      <c r="P125" t="b">
        <f>IF(ROW()-ROW($P$1)+1 &lt;= 'FILL ME'!$E$7, TRUE, FALSE)</f>
        <v>1</v>
      </c>
      <c r="Q125" t="b">
        <f>IF(ROW()-ROW($Q$1)+1 &lt;= 'FILL ME'!$E$8, TRUE, FALSE)</f>
        <v>1</v>
      </c>
      <c r="R125" t="b">
        <f>IF(ROW()-ROW($R$1)+1 &lt;= 'FILL ME'!$E$10, TRUE, FALSE)</f>
        <v>1</v>
      </c>
    </row>
    <row r="126" spans="1:18" x14ac:dyDescent="0.25">
      <c r="A126" s="7" t="str">
        <f>'FILL ME'!$B$8</f>
        <v>Grab</v>
      </c>
      <c r="B126" t="str">
        <f>IF('FILL ME'!$B$3 = "", "", 'FILL ME'!$B$3)</f>
        <v>WWS</v>
      </c>
      <c r="C126" t="str">
        <f>IF('FILL ME'!$B$4 = "", "", 'FILL ME'!$B$4)</f>
        <v>SSFLAT</v>
      </c>
      <c r="D126" s="7" t="str">
        <f>TEXT('FILL ME'!$B$7,"yyyymmdd")</f>
        <v>20260319</v>
      </c>
      <c r="E126" s="8" t="str">
        <f t="shared" si="4"/>
        <v/>
      </c>
      <c r="F126" s="7">
        <f>IF('FILL ME'!$B$8="ISCO",'FILL ME'!$B$7+'FILL ME'!$B$12+('FILL ME'!$B$13*(G126-'FILL ME'!$B$14)),'FILL ME'!$B$7)</f>
        <v>46100</v>
      </c>
      <c r="G126" s="8">
        <v>5</v>
      </c>
      <c r="H126" s="2" t="str">
        <v>MCSN06</v>
      </c>
      <c r="I126" s="9" t="str">
        <f t="shared" si="5"/>
        <v>MCSN06_05</v>
      </c>
      <c r="J126" s="10" t="str">
        <f t="shared" si="6"/>
        <v>SSFLAT_MCSN06_20260319_05</v>
      </c>
      <c r="K126" s="10" t="str">
        <f t="shared" si="7"/>
        <v>SSFLAT_MCSN06_20260319_</v>
      </c>
      <c r="L126" t="b">
        <f>IF(ROW()-ROW($L$1)+1 &lt;= 'FILL ME'!$E$3, TRUE, FALSE)</f>
        <v>0</v>
      </c>
      <c r="M126" t="b">
        <f>IF(ROW()-ROW($M$1)+1 &lt;= 'FILL ME'!$E$4, TRUE, FALSE)</f>
        <v>1</v>
      </c>
      <c r="N126" t="b">
        <f>IF(ROW()-ROW($N$1)+1 &lt;= 'FILL ME'!$E$5, TRUE, FALSE)</f>
        <v>1</v>
      </c>
      <c r="O126" t="b">
        <f>IF(ROW()-ROW($O$1)+1 &lt;= 'FILL ME'!$E$6, TRUE, FALSE)</f>
        <v>1</v>
      </c>
      <c r="P126" t="b">
        <f>IF(ROW()-ROW($P$1)+1 &lt;= 'FILL ME'!$E$7, TRUE, FALSE)</f>
        <v>1</v>
      </c>
      <c r="Q126" t="b">
        <f>IF(ROW()-ROW($Q$1)+1 &lt;= 'FILL ME'!$E$8, TRUE, FALSE)</f>
        <v>1</v>
      </c>
      <c r="R126" t="b">
        <f>IF(ROW()-ROW($R$1)+1 &lt;= 'FILL ME'!$E$10, TRUE, FALSE)</f>
        <v>1</v>
      </c>
    </row>
    <row r="127" spans="1:18" x14ac:dyDescent="0.25">
      <c r="A127" s="7" t="str">
        <f>'FILL ME'!$B$8</f>
        <v>Grab</v>
      </c>
      <c r="B127" t="str">
        <f>IF('FILL ME'!$B$3 = "", "", 'FILL ME'!$B$3)</f>
        <v>WWS</v>
      </c>
      <c r="C127" t="str">
        <f>IF('FILL ME'!$B$4 = "", "", 'FILL ME'!$B$4)</f>
        <v>SSFLAT</v>
      </c>
      <c r="D127" s="7" t="str">
        <f>TEXT('FILL ME'!$B$7,"yyyymmdd")</f>
        <v>20260319</v>
      </c>
      <c r="E127" s="8" t="str">
        <f t="shared" si="4"/>
        <v/>
      </c>
      <c r="F127" s="7">
        <f>IF('FILL ME'!$B$8="ISCO",'FILL ME'!$B$7+'FILL ME'!$B$12+('FILL ME'!$B$13*(G127-'FILL ME'!$B$14)),'FILL ME'!$B$7)</f>
        <v>46100</v>
      </c>
      <c r="G127" s="8">
        <v>6</v>
      </c>
      <c r="H127" s="2" t="str">
        <v>MCSN06</v>
      </c>
      <c r="I127" s="9" t="str">
        <f t="shared" si="5"/>
        <v>MCSN06_06</v>
      </c>
      <c r="J127" s="10" t="str">
        <f t="shared" si="6"/>
        <v>SSFLAT_MCSN06_20260319_06</v>
      </c>
      <c r="K127" s="10" t="str">
        <f t="shared" si="7"/>
        <v>SSFLAT_MCSN06_20260319_</v>
      </c>
      <c r="L127" t="b">
        <f>IF(ROW()-ROW($L$1)+1 &lt;= 'FILL ME'!$E$3, TRUE, FALSE)</f>
        <v>0</v>
      </c>
      <c r="M127" t="b">
        <f>IF(ROW()-ROW($M$1)+1 &lt;= 'FILL ME'!$E$4, TRUE, FALSE)</f>
        <v>1</v>
      </c>
      <c r="N127" t="b">
        <f>IF(ROW()-ROW($N$1)+1 &lt;= 'FILL ME'!$E$5, TRUE, FALSE)</f>
        <v>1</v>
      </c>
      <c r="O127" t="b">
        <f>IF(ROW()-ROW($O$1)+1 &lt;= 'FILL ME'!$E$6, TRUE, FALSE)</f>
        <v>1</v>
      </c>
      <c r="P127" t="b">
        <f>IF(ROW()-ROW($P$1)+1 &lt;= 'FILL ME'!$E$7, TRUE, FALSE)</f>
        <v>1</v>
      </c>
      <c r="Q127" t="b">
        <f>IF(ROW()-ROW($Q$1)+1 &lt;= 'FILL ME'!$E$8, TRUE, FALSE)</f>
        <v>1</v>
      </c>
      <c r="R127" t="b">
        <f>IF(ROW()-ROW($R$1)+1 &lt;= 'FILL ME'!$E$10, TRUE, FALSE)</f>
        <v>1</v>
      </c>
    </row>
    <row r="128" spans="1:18" x14ac:dyDescent="0.25">
      <c r="A128" s="7" t="str">
        <f>'FILL ME'!$B$8</f>
        <v>Grab</v>
      </c>
      <c r="B128" t="str">
        <f>IF('FILL ME'!$B$3 = "", "", 'FILL ME'!$B$3)</f>
        <v>WWS</v>
      </c>
      <c r="C128" t="str">
        <f>IF('FILL ME'!$B$4 = "", "", 'FILL ME'!$B$4)</f>
        <v>SSFLAT</v>
      </c>
      <c r="D128" s="7" t="str">
        <f>TEXT('FILL ME'!$B$7,"yyyymmdd")</f>
        <v>20260319</v>
      </c>
      <c r="E128" s="8" t="str">
        <f t="shared" si="4"/>
        <v/>
      </c>
      <c r="F128" s="7">
        <f>IF('FILL ME'!$B$8="ISCO",'FILL ME'!$B$7+'FILL ME'!$B$12+('FILL ME'!$B$13*(G128-'FILL ME'!$B$14)),'FILL ME'!$B$7)</f>
        <v>46100</v>
      </c>
      <c r="G128" s="8">
        <v>7</v>
      </c>
      <c r="H128" s="2" t="str">
        <v>MCSN06</v>
      </c>
      <c r="I128" s="9" t="str">
        <f t="shared" si="5"/>
        <v>MCSN06_07</v>
      </c>
      <c r="J128" s="10" t="str">
        <f t="shared" si="6"/>
        <v>SSFLAT_MCSN06_20260319_07</v>
      </c>
      <c r="K128" s="10" t="str">
        <f t="shared" si="7"/>
        <v>SSFLAT_MCSN06_20260319_</v>
      </c>
      <c r="L128" t="b">
        <f>IF(ROW()-ROW($L$1)+1 &lt;= 'FILL ME'!$E$3, TRUE, FALSE)</f>
        <v>0</v>
      </c>
      <c r="M128" t="b">
        <f>IF(ROW()-ROW($M$1)+1 &lt;= 'FILL ME'!$E$4, TRUE, FALSE)</f>
        <v>1</v>
      </c>
      <c r="N128" t="b">
        <f>IF(ROW()-ROW($N$1)+1 &lt;= 'FILL ME'!$E$5, TRUE, FALSE)</f>
        <v>1</v>
      </c>
      <c r="O128" t="b">
        <f>IF(ROW()-ROW($O$1)+1 &lt;= 'FILL ME'!$E$6, TRUE, FALSE)</f>
        <v>1</v>
      </c>
      <c r="P128" t="b">
        <f>IF(ROW()-ROW($P$1)+1 &lt;= 'FILL ME'!$E$7, TRUE, FALSE)</f>
        <v>1</v>
      </c>
      <c r="Q128" t="b">
        <f>IF(ROW()-ROW($Q$1)+1 &lt;= 'FILL ME'!$E$8, TRUE, FALSE)</f>
        <v>1</v>
      </c>
      <c r="R128" t="b">
        <f>IF(ROW()-ROW($R$1)+1 &lt;= 'FILL ME'!$E$10, TRUE, FALSE)</f>
        <v>1</v>
      </c>
    </row>
    <row r="129" spans="1:18" x14ac:dyDescent="0.25">
      <c r="A129" s="7" t="str">
        <f>'FILL ME'!$B$8</f>
        <v>Grab</v>
      </c>
      <c r="B129" t="str">
        <f>IF('FILL ME'!$B$3 = "", "", 'FILL ME'!$B$3)</f>
        <v>WWS</v>
      </c>
      <c r="C129" t="str">
        <f>IF('FILL ME'!$B$4 = "", "", 'FILL ME'!$B$4)</f>
        <v>SSFLAT</v>
      </c>
      <c r="D129" s="7" t="str">
        <f>TEXT('FILL ME'!$B$7,"yyyymmdd")</f>
        <v>20260319</v>
      </c>
      <c r="E129" s="8" t="str">
        <f t="shared" si="4"/>
        <v/>
      </c>
      <c r="F129" s="7">
        <f>IF('FILL ME'!$B$8="ISCO",'FILL ME'!$B$7+'FILL ME'!$B$12+('FILL ME'!$B$13*(G129-'FILL ME'!$B$14)),'FILL ME'!$B$7)</f>
        <v>46100</v>
      </c>
      <c r="G129" s="8">
        <v>8</v>
      </c>
      <c r="H129" s="2" t="str">
        <v>MCSN06</v>
      </c>
      <c r="I129" s="9" t="str">
        <f t="shared" si="5"/>
        <v>MCSN06_08</v>
      </c>
      <c r="J129" s="10" t="str">
        <f t="shared" si="6"/>
        <v>SSFLAT_MCSN06_20260319_08</v>
      </c>
      <c r="K129" s="10" t="str">
        <f t="shared" si="7"/>
        <v>SSFLAT_MCSN06_20260319_</v>
      </c>
      <c r="L129" t="b">
        <f>IF(ROW()-ROW($L$1)+1 &lt;= 'FILL ME'!$E$3, TRUE, FALSE)</f>
        <v>0</v>
      </c>
      <c r="M129" t="b">
        <f>IF(ROW()-ROW($M$1)+1 &lt;= 'FILL ME'!$E$4, TRUE, FALSE)</f>
        <v>1</v>
      </c>
      <c r="N129" t="b">
        <f>IF(ROW()-ROW($N$1)+1 &lt;= 'FILL ME'!$E$5, TRUE, FALSE)</f>
        <v>1</v>
      </c>
      <c r="O129" t="b">
        <f>IF(ROW()-ROW($O$1)+1 &lt;= 'FILL ME'!$E$6, TRUE, FALSE)</f>
        <v>1</v>
      </c>
      <c r="P129" t="b">
        <f>IF(ROW()-ROW($P$1)+1 &lt;= 'FILL ME'!$E$7, TRUE, FALSE)</f>
        <v>1</v>
      </c>
      <c r="Q129" t="b">
        <f>IF(ROW()-ROW($Q$1)+1 &lt;= 'FILL ME'!$E$8, TRUE, FALSE)</f>
        <v>1</v>
      </c>
      <c r="R129" t="b">
        <f>IF(ROW()-ROW($R$1)+1 &lt;= 'FILL ME'!$E$10, TRUE, FALSE)</f>
        <v>1</v>
      </c>
    </row>
    <row r="130" spans="1:18" x14ac:dyDescent="0.25">
      <c r="A130" s="7" t="str">
        <f>'FILL ME'!$B$8</f>
        <v>Grab</v>
      </c>
      <c r="B130" t="str">
        <f>IF('FILL ME'!$B$3 = "", "", 'FILL ME'!$B$3)</f>
        <v>WWS</v>
      </c>
      <c r="C130" t="str">
        <f>IF('FILL ME'!$B$4 = "", "", 'FILL ME'!$B$4)</f>
        <v>SSFLAT</v>
      </c>
      <c r="D130" s="7" t="str">
        <f>TEXT('FILL ME'!$B$7,"yyyymmdd")</f>
        <v>20260319</v>
      </c>
      <c r="E130" s="8" t="str">
        <f t="shared" ref="E130:E193" si="8">IF(A130="Grab","",TEXT(F130,"hh:mm"))</f>
        <v/>
      </c>
      <c r="F130" s="7">
        <f>IF('FILL ME'!$B$8="ISCO",'FILL ME'!$B$7+'FILL ME'!$B$12+('FILL ME'!$B$13*(G130-'FILL ME'!$B$14)),'FILL ME'!$B$7)</f>
        <v>46100</v>
      </c>
      <c r="G130" s="8">
        <v>9</v>
      </c>
      <c r="H130" s="2" t="str">
        <v>MCSN06</v>
      </c>
      <c r="I130" s="9" t="str">
        <f t="shared" si="5"/>
        <v>MCSN06_09</v>
      </c>
      <c r="J130" s="10" t="str">
        <f t="shared" si="6"/>
        <v>SSFLAT_MCSN06_20260319_09</v>
      </c>
      <c r="K130" s="10" t="str">
        <f t="shared" si="7"/>
        <v>SSFLAT_MCSN06_20260319_</v>
      </c>
      <c r="L130" t="b">
        <f>IF(ROW()-ROW($L$1)+1 &lt;= 'FILL ME'!$E$3, TRUE, FALSE)</f>
        <v>0</v>
      </c>
      <c r="M130" t="b">
        <f>IF(ROW()-ROW($M$1)+1 &lt;= 'FILL ME'!$E$4, TRUE, FALSE)</f>
        <v>1</v>
      </c>
      <c r="N130" t="b">
        <f>IF(ROW()-ROW($N$1)+1 &lt;= 'FILL ME'!$E$5, TRUE, FALSE)</f>
        <v>1</v>
      </c>
      <c r="O130" t="b">
        <f>IF(ROW()-ROW($O$1)+1 &lt;= 'FILL ME'!$E$6, TRUE, FALSE)</f>
        <v>1</v>
      </c>
      <c r="P130" t="b">
        <f>IF(ROW()-ROW($P$1)+1 &lt;= 'FILL ME'!$E$7, TRUE, FALSE)</f>
        <v>1</v>
      </c>
      <c r="Q130" t="b">
        <f>IF(ROW()-ROW($Q$1)+1 &lt;= 'FILL ME'!$E$8, TRUE, FALSE)</f>
        <v>1</v>
      </c>
      <c r="R130" t="b">
        <f>IF(ROW()-ROW($R$1)+1 &lt;= 'FILL ME'!$E$10, TRUE, FALSE)</f>
        <v>1</v>
      </c>
    </row>
    <row r="131" spans="1:18" x14ac:dyDescent="0.25">
      <c r="A131" s="7" t="str">
        <f>'FILL ME'!$B$8</f>
        <v>Grab</v>
      </c>
      <c r="B131" t="str">
        <f>IF('FILL ME'!$B$3 = "", "", 'FILL ME'!$B$3)</f>
        <v>WWS</v>
      </c>
      <c r="C131" t="str">
        <f>IF('FILL ME'!$B$4 = "", "", 'FILL ME'!$B$4)</f>
        <v>SSFLAT</v>
      </c>
      <c r="D131" s="7" t="str">
        <f>TEXT('FILL ME'!$B$7,"yyyymmdd")</f>
        <v>20260319</v>
      </c>
      <c r="E131" s="8" t="str">
        <f t="shared" si="8"/>
        <v/>
      </c>
      <c r="F131" s="7">
        <f>IF('FILL ME'!$B$8="ISCO",'FILL ME'!$B$7+'FILL ME'!$B$12+('FILL ME'!$B$13*(G131-'FILL ME'!$B$14)),'FILL ME'!$B$7)</f>
        <v>46100</v>
      </c>
      <c r="G131" s="8">
        <v>10</v>
      </c>
      <c r="H131" s="2" t="str">
        <v>MCSN06</v>
      </c>
      <c r="I131" s="9" t="str">
        <f t="shared" ref="I131:I194" si="9">CONCATENATE(H131,"_",TEXT(G131,"00"))</f>
        <v>MCSN06_10</v>
      </c>
      <c r="J131" s="10" t="str">
        <f t="shared" ref="J131:J194" si="10">CONCATENATE(C131,"_", H131,"_",D131,"_",TEXT(G131,"00"))</f>
        <v>SSFLAT_MCSN06_20260319_10</v>
      </c>
      <c r="K131" s="10" t="str">
        <f t="shared" ref="K131:K194" si="11">CONCATENATE(C131,"_", H131,"_",TEXT(F131, "yyyymmdd"),"_",TEXT(E131, "hhmm"))</f>
        <v>SSFLAT_MCSN06_20260319_</v>
      </c>
      <c r="L131" t="b">
        <f>IF(ROW()-ROW($L$1)+1 &lt;= 'FILL ME'!$E$3, TRUE, FALSE)</f>
        <v>0</v>
      </c>
      <c r="M131" t="b">
        <f>IF(ROW()-ROW($M$1)+1 &lt;= 'FILL ME'!$E$4, TRUE, FALSE)</f>
        <v>1</v>
      </c>
      <c r="N131" t="b">
        <f>IF(ROW()-ROW($N$1)+1 &lt;= 'FILL ME'!$E$5, TRUE, FALSE)</f>
        <v>1</v>
      </c>
      <c r="O131" t="b">
        <f>IF(ROW()-ROW($O$1)+1 &lt;= 'FILL ME'!$E$6, TRUE, FALSE)</f>
        <v>1</v>
      </c>
      <c r="P131" t="b">
        <f>IF(ROW()-ROW($P$1)+1 &lt;= 'FILL ME'!$E$7, TRUE, FALSE)</f>
        <v>1</v>
      </c>
      <c r="Q131" t="b">
        <f>IF(ROW()-ROW($Q$1)+1 &lt;= 'FILL ME'!$E$8, TRUE, FALSE)</f>
        <v>1</v>
      </c>
      <c r="R131" t="b">
        <f>IF(ROW()-ROW($R$1)+1 &lt;= 'FILL ME'!$E$10, TRUE, FALSE)</f>
        <v>1</v>
      </c>
    </row>
    <row r="132" spans="1:18" x14ac:dyDescent="0.25">
      <c r="A132" s="7" t="str">
        <f>'FILL ME'!$B$8</f>
        <v>Grab</v>
      </c>
      <c r="B132" t="str">
        <f>IF('FILL ME'!$B$3 = "", "", 'FILL ME'!$B$3)</f>
        <v>WWS</v>
      </c>
      <c r="C132" t="str">
        <f>IF('FILL ME'!$B$4 = "", "", 'FILL ME'!$B$4)</f>
        <v>SSFLAT</v>
      </c>
      <c r="D132" s="7" t="str">
        <f>TEXT('FILL ME'!$B$7,"yyyymmdd")</f>
        <v>20260319</v>
      </c>
      <c r="E132" s="8" t="str">
        <f t="shared" si="8"/>
        <v/>
      </c>
      <c r="F132" s="7">
        <f>IF('FILL ME'!$B$8="ISCO",'FILL ME'!$B$7+'FILL ME'!$B$12+('FILL ME'!$B$13*(G132-'FILL ME'!$B$14)),'FILL ME'!$B$7)</f>
        <v>46100</v>
      </c>
      <c r="G132" s="8">
        <v>11</v>
      </c>
      <c r="H132" s="2" t="str">
        <v>MCSN06</v>
      </c>
      <c r="I132" s="9" t="str">
        <f t="shared" si="9"/>
        <v>MCSN06_11</v>
      </c>
      <c r="J132" s="10" t="str">
        <f t="shared" si="10"/>
        <v>SSFLAT_MCSN06_20260319_11</v>
      </c>
      <c r="K132" s="10" t="str">
        <f t="shared" si="11"/>
        <v>SSFLAT_MCSN06_20260319_</v>
      </c>
      <c r="L132" t="b">
        <f>IF(ROW()-ROW($L$1)+1 &lt;= 'FILL ME'!$E$3, TRUE, FALSE)</f>
        <v>0</v>
      </c>
      <c r="M132" t="b">
        <f>IF(ROW()-ROW($M$1)+1 &lt;= 'FILL ME'!$E$4, TRUE, FALSE)</f>
        <v>1</v>
      </c>
      <c r="N132" t="b">
        <f>IF(ROW()-ROW($N$1)+1 &lt;= 'FILL ME'!$E$5, TRUE, FALSE)</f>
        <v>1</v>
      </c>
      <c r="O132" t="b">
        <f>IF(ROW()-ROW($O$1)+1 &lt;= 'FILL ME'!$E$6, TRUE, FALSE)</f>
        <v>1</v>
      </c>
      <c r="P132" t="b">
        <f>IF(ROW()-ROW($P$1)+1 &lt;= 'FILL ME'!$E$7, TRUE, FALSE)</f>
        <v>1</v>
      </c>
      <c r="Q132" t="b">
        <f>IF(ROW()-ROW($Q$1)+1 &lt;= 'FILL ME'!$E$8, TRUE, FALSE)</f>
        <v>1</v>
      </c>
      <c r="R132" t="b">
        <f>IF(ROW()-ROW($R$1)+1 &lt;= 'FILL ME'!$E$10, TRUE, FALSE)</f>
        <v>1</v>
      </c>
    </row>
    <row r="133" spans="1:18" x14ac:dyDescent="0.25">
      <c r="A133" s="7" t="str">
        <f>'FILL ME'!$B$8</f>
        <v>Grab</v>
      </c>
      <c r="B133" t="str">
        <f>IF('FILL ME'!$B$3 = "", "", 'FILL ME'!$B$3)</f>
        <v>WWS</v>
      </c>
      <c r="C133" t="str">
        <f>IF('FILL ME'!$B$4 = "", "", 'FILL ME'!$B$4)</f>
        <v>SSFLAT</v>
      </c>
      <c r="D133" s="7" t="str">
        <f>TEXT('FILL ME'!$B$7,"yyyymmdd")</f>
        <v>20260319</v>
      </c>
      <c r="E133" s="8" t="str">
        <f t="shared" si="8"/>
        <v/>
      </c>
      <c r="F133" s="7">
        <f>IF('FILL ME'!$B$8="ISCO",'FILL ME'!$B$7+'FILL ME'!$B$12+('FILL ME'!$B$13*(G133-'FILL ME'!$B$14)),'FILL ME'!$B$7)</f>
        <v>46100</v>
      </c>
      <c r="G133" s="8">
        <v>12</v>
      </c>
      <c r="H133" s="2" t="str">
        <v>MCSN06</v>
      </c>
      <c r="I133" s="9" t="str">
        <f t="shared" si="9"/>
        <v>MCSN06_12</v>
      </c>
      <c r="J133" s="10" t="str">
        <f t="shared" si="10"/>
        <v>SSFLAT_MCSN06_20260319_12</v>
      </c>
      <c r="K133" s="10" t="str">
        <f t="shared" si="11"/>
        <v>SSFLAT_MCSN06_20260319_</v>
      </c>
      <c r="L133" t="b">
        <f>IF(ROW()-ROW($L$1)+1 &lt;= 'FILL ME'!$E$3, TRUE, FALSE)</f>
        <v>0</v>
      </c>
      <c r="M133" t="b">
        <f>IF(ROW()-ROW($M$1)+1 &lt;= 'FILL ME'!$E$4, TRUE, FALSE)</f>
        <v>1</v>
      </c>
      <c r="N133" t="b">
        <f>IF(ROW()-ROW($N$1)+1 &lt;= 'FILL ME'!$E$5, TRUE, FALSE)</f>
        <v>1</v>
      </c>
      <c r="O133" t="b">
        <f>IF(ROW()-ROW($O$1)+1 &lt;= 'FILL ME'!$E$6, TRUE, FALSE)</f>
        <v>1</v>
      </c>
      <c r="P133" t="b">
        <f>IF(ROW()-ROW($P$1)+1 &lt;= 'FILL ME'!$E$7, TRUE, FALSE)</f>
        <v>1</v>
      </c>
      <c r="Q133" t="b">
        <f>IF(ROW()-ROW($Q$1)+1 &lt;= 'FILL ME'!$E$8, TRUE, FALSE)</f>
        <v>1</v>
      </c>
      <c r="R133" t="b">
        <f>IF(ROW()-ROW($R$1)+1 &lt;= 'FILL ME'!$E$10, TRUE, FALSE)</f>
        <v>1</v>
      </c>
    </row>
    <row r="134" spans="1:18" x14ac:dyDescent="0.25">
      <c r="A134" s="7" t="str">
        <f>'FILL ME'!$B$8</f>
        <v>Grab</v>
      </c>
      <c r="B134" t="str">
        <f>IF('FILL ME'!$B$3 = "", "", 'FILL ME'!$B$3)</f>
        <v>WWS</v>
      </c>
      <c r="C134" t="str">
        <f>IF('FILL ME'!$B$4 = "", "", 'FILL ME'!$B$4)</f>
        <v>SSFLAT</v>
      </c>
      <c r="D134" s="7" t="str">
        <f>TEXT('FILL ME'!$B$7,"yyyymmdd")</f>
        <v>20260319</v>
      </c>
      <c r="E134" s="8" t="str">
        <f t="shared" si="8"/>
        <v/>
      </c>
      <c r="F134" s="7">
        <f>IF('FILL ME'!$B$8="ISCO",'FILL ME'!$B$7+'FILL ME'!$B$12+('FILL ME'!$B$13*(G134-'FILL ME'!$B$14)),'FILL ME'!$B$7)</f>
        <v>46100</v>
      </c>
      <c r="G134" s="8">
        <v>13</v>
      </c>
      <c r="H134" s="2" t="str">
        <v>MCSN06</v>
      </c>
      <c r="I134" s="9" t="str">
        <f t="shared" si="9"/>
        <v>MCSN06_13</v>
      </c>
      <c r="J134" s="10" t="str">
        <f t="shared" si="10"/>
        <v>SSFLAT_MCSN06_20260319_13</v>
      </c>
      <c r="K134" s="10" t="str">
        <f t="shared" si="11"/>
        <v>SSFLAT_MCSN06_20260319_</v>
      </c>
      <c r="L134" t="b">
        <f>IF(ROW()-ROW($L$1)+1 &lt;= 'FILL ME'!$E$3, TRUE, FALSE)</f>
        <v>0</v>
      </c>
      <c r="M134" t="b">
        <f>IF(ROW()-ROW($M$1)+1 &lt;= 'FILL ME'!$E$4, TRUE, FALSE)</f>
        <v>1</v>
      </c>
      <c r="N134" t="b">
        <f>IF(ROW()-ROW($N$1)+1 &lt;= 'FILL ME'!$E$5, TRUE, FALSE)</f>
        <v>1</v>
      </c>
      <c r="O134" t="b">
        <f>IF(ROW()-ROW($O$1)+1 &lt;= 'FILL ME'!$E$6, TRUE, FALSE)</f>
        <v>1</v>
      </c>
      <c r="P134" t="b">
        <f>IF(ROW()-ROW($P$1)+1 &lt;= 'FILL ME'!$E$7, TRUE, FALSE)</f>
        <v>1</v>
      </c>
      <c r="Q134" t="b">
        <f>IF(ROW()-ROW($Q$1)+1 &lt;= 'FILL ME'!$E$8, TRUE, FALSE)</f>
        <v>1</v>
      </c>
      <c r="R134" t="b">
        <f>IF(ROW()-ROW($R$1)+1 &lt;= 'FILL ME'!$E$10, TRUE, FALSE)</f>
        <v>1</v>
      </c>
    </row>
    <row r="135" spans="1:18" x14ac:dyDescent="0.25">
      <c r="A135" s="7" t="str">
        <f>'FILL ME'!$B$8</f>
        <v>Grab</v>
      </c>
      <c r="B135" t="str">
        <f>IF('FILL ME'!$B$3 = "", "", 'FILL ME'!$B$3)</f>
        <v>WWS</v>
      </c>
      <c r="C135" t="str">
        <f>IF('FILL ME'!$B$4 = "", "", 'FILL ME'!$B$4)</f>
        <v>SSFLAT</v>
      </c>
      <c r="D135" s="7" t="str">
        <f>TEXT('FILL ME'!$B$7,"yyyymmdd")</f>
        <v>20260319</v>
      </c>
      <c r="E135" s="8" t="str">
        <f t="shared" si="8"/>
        <v/>
      </c>
      <c r="F135" s="7">
        <f>IF('FILL ME'!$B$8="ISCO",'FILL ME'!$B$7+'FILL ME'!$B$12+('FILL ME'!$B$13*(G135-'FILL ME'!$B$14)),'FILL ME'!$B$7)</f>
        <v>46100</v>
      </c>
      <c r="G135" s="8">
        <v>14</v>
      </c>
      <c r="H135" s="2" t="str">
        <v>MCSN06</v>
      </c>
      <c r="I135" s="9" t="str">
        <f t="shared" si="9"/>
        <v>MCSN06_14</v>
      </c>
      <c r="J135" s="10" t="str">
        <f t="shared" si="10"/>
        <v>SSFLAT_MCSN06_20260319_14</v>
      </c>
      <c r="K135" s="10" t="str">
        <f t="shared" si="11"/>
        <v>SSFLAT_MCSN06_20260319_</v>
      </c>
      <c r="L135" t="b">
        <f>IF(ROW()-ROW($L$1)+1 &lt;= 'FILL ME'!$E$3, TRUE, FALSE)</f>
        <v>0</v>
      </c>
      <c r="M135" t="b">
        <f>IF(ROW()-ROW($M$1)+1 &lt;= 'FILL ME'!$E$4, TRUE, FALSE)</f>
        <v>1</v>
      </c>
      <c r="N135" t="b">
        <f>IF(ROW()-ROW($N$1)+1 &lt;= 'FILL ME'!$E$5, TRUE, FALSE)</f>
        <v>1</v>
      </c>
      <c r="O135" t="b">
        <f>IF(ROW()-ROW($O$1)+1 &lt;= 'FILL ME'!$E$6, TRUE, FALSE)</f>
        <v>1</v>
      </c>
      <c r="P135" t="b">
        <f>IF(ROW()-ROW($P$1)+1 &lt;= 'FILL ME'!$E$7, TRUE, FALSE)</f>
        <v>1</v>
      </c>
      <c r="Q135" t="b">
        <f>IF(ROW()-ROW($Q$1)+1 &lt;= 'FILL ME'!$E$8, TRUE, FALSE)</f>
        <v>1</v>
      </c>
      <c r="R135" t="b">
        <f>IF(ROW()-ROW($R$1)+1 &lt;= 'FILL ME'!$E$10, TRUE, FALSE)</f>
        <v>1</v>
      </c>
    </row>
    <row r="136" spans="1:18" x14ac:dyDescent="0.25">
      <c r="A136" s="7" t="str">
        <f>'FILL ME'!$B$8</f>
        <v>Grab</v>
      </c>
      <c r="B136" t="str">
        <f>IF('FILL ME'!$B$3 = "", "", 'FILL ME'!$B$3)</f>
        <v>WWS</v>
      </c>
      <c r="C136" t="str">
        <f>IF('FILL ME'!$B$4 = "", "", 'FILL ME'!$B$4)</f>
        <v>SSFLAT</v>
      </c>
      <c r="D136" s="7" t="str">
        <f>TEXT('FILL ME'!$B$7,"yyyymmdd")</f>
        <v>20260319</v>
      </c>
      <c r="E136" s="8" t="str">
        <f t="shared" si="8"/>
        <v/>
      </c>
      <c r="F136" s="7">
        <f>IF('FILL ME'!$B$8="ISCO",'FILL ME'!$B$7+'FILL ME'!$B$12+('FILL ME'!$B$13*(G136-'FILL ME'!$B$14)),'FILL ME'!$B$7)</f>
        <v>46100</v>
      </c>
      <c r="G136" s="8">
        <v>15</v>
      </c>
      <c r="H136" s="2" t="str">
        <v>MCSN06</v>
      </c>
      <c r="I136" s="9" t="str">
        <f t="shared" si="9"/>
        <v>MCSN06_15</v>
      </c>
      <c r="J136" s="10" t="str">
        <f t="shared" si="10"/>
        <v>SSFLAT_MCSN06_20260319_15</v>
      </c>
      <c r="K136" s="10" t="str">
        <f t="shared" si="11"/>
        <v>SSFLAT_MCSN06_20260319_</v>
      </c>
      <c r="L136" t="b">
        <f>IF(ROW()-ROW($L$1)+1 &lt;= 'FILL ME'!$E$3, TRUE, FALSE)</f>
        <v>0</v>
      </c>
      <c r="M136" t="b">
        <f>IF(ROW()-ROW($M$1)+1 &lt;= 'FILL ME'!$E$4, TRUE, FALSE)</f>
        <v>1</v>
      </c>
      <c r="N136" t="b">
        <f>IF(ROW()-ROW($N$1)+1 &lt;= 'FILL ME'!$E$5, TRUE, FALSE)</f>
        <v>1</v>
      </c>
      <c r="O136" t="b">
        <f>IF(ROW()-ROW($O$1)+1 &lt;= 'FILL ME'!$E$6, TRUE, FALSE)</f>
        <v>1</v>
      </c>
      <c r="P136" t="b">
        <f>IF(ROW()-ROW($P$1)+1 &lt;= 'FILL ME'!$E$7, TRUE, FALSE)</f>
        <v>1</v>
      </c>
      <c r="Q136" t="b">
        <f>IF(ROW()-ROW($Q$1)+1 &lt;= 'FILL ME'!$E$8, TRUE, FALSE)</f>
        <v>1</v>
      </c>
      <c r="R136" t="b">
        <f>IF(ROW()-ROW($R$1)+1 &lt;= 'FILL ME'!$E$10, TRUE, FALSE)</f>
        <v>1</v>
      </c>
    </row>
    <row r="137" spans="1:18" x14ac:dyDescent="0.25">
      <c r="A137" s="7" t="str">
        <f>'FILL ME'!$B$8</f>
        <v>Grab</v>
      </c>
      <c r="B137" t="str">
        <f>IF('FILL ME'!$B$3 = "", "", 'FILL ME'!$B$3)</f>
        <v>WWS</v>
      </c>
      <c r="C137" t="str">
        <f>IF('FILL ME'!$B$4 = "", "", 'FILL ME'!$B$4)</f>
        <v>SSFLAT</v>
      </c>
      <c r="D137" s="7" t="str">
        <f>TEXT('FILL ME'!$B$7,"yyyymmdd")</f>
        <v>20260319</v>
      </c>
      <c r="E137" s="8" t="str">
        <f t="shared" si="8"/>
        <v/>
      </c>
      <c r="F137" s="7">
        <f>IF('FILL ME'!$B$8="ISCO",'FILL ME'!$B$7+'FILL ME'!$B$12+('FILL ME'!$B$13*(G137-'FILL ME'!$B$14)),'FILL ME'!$B$7)</f>
        <v>46100</v>
      </c>
      <c r="G137" s="8">
        <v>16</v>
      </c>
      <c r="H137" s="2" t="str">
        <v>MCSN06</v>
      </c>
      <c r="I137" s="9" t="str">
        <f t="shared" si="9"/>
        <v>MCSN06_16</v>
      </c>
      <c r="J137" s="10" t="str">
        <f t="shared" si="10"/>
        <v>SSFLAT_MCSN06_20260319_16</v>
      </c>
      <c r="K137" s="10" t="str">
        <f t="shared" si="11"/>
        <v>SSFLAT_MCSN06_20260319_</v>
      </c>
      <c r="L137" t="b">
        <f>IF(ROW()-ROW($L$1)+1 &lt;= 'FILL ME'!$E$3, TRUE, FALSE)</f>
        <v>0</v>
      </c>
      <c r="M137" t="b">
        <f>IF(ROW()-ROW($M$1)+1 &lt;= 'FILL ME'!$E$4, TRUE, FALSE)</f>
        <v>1</v>
      </c>
      <c r="N137" t="b">
        <f>IF(ROW()-ROW($N$1)+1 &lt;= 'FILL ME'!$E$5, TRUE, FALSE)</f>
        <v>1</v>
      </c>
      <c r="O137" t="b">
        <f>IF(ROW()-ROW($O$1)+1 &lt;= 'FILL ME'!$E$6, TRUE, FALSE)</f>
        <v>1</v>
      </c>
      <c r="P137" t="b">
        <f>IF(ROW()-ROW($P$1)+1 &lt;= 'FILL ME'!$E$7, TRUE, FALSE)</f>
        <v>1</v>
      </c>
      <c r="Q137" t="b">
        <f>IF(ROW()-ROW($Q$1)+1 &lt;= 'FILL ME'!$E$8, TRUE, FALSE)</f>
        <v>1</v>
      </c>
      <c r="R137" t="b">
        <f>IF(ROW()-ROW($R$1)+1 &lt;= 'FILL ME'!$E$10, TRUE, FALSE)</f>
        <v>1</v>
      </c>
    </row>
    <row r="138" spans="1:18" x14ac:dyDescent="0.25">
      <c r="A138" s="7" t="str">
        <f>'FILL ME'!$B$8</f>
        <v>Grab</v>
      </c>
      <c r="B138" t="str">
        <f>IF('FILL ME'!$B$3 = "", "", 'FILL ME'!$B$3)</f>
        <v>WWS</v>
      </c>
      <c r="C138" t="str">
        <f>IF('FILL ME'!$B$4 = "", "", 'FILL ME'!$B$4)</f>
        <v>SSFLAT</v>
      </c>
      <c r="D138" s="7" t="str">
        <f>TEXT('FILL ME'!$B$7,"yyyymmdd")</f>
        <v>20260319</v>
      </c>
      <c r="E138" s="8" t="str">
        <f t="shared" si="8"/>
        <v/>
      </c>
      <c r="F138" s="7">
        <f>IF('FILL ME'!$B$8="ISCO",'FILL ME'!$B$7+'FILL ME'!$B$12+('FILL ME'!$B$13*(G138-'FILL ME'!$B$14)),'FILL ME'!$B$7)</f>
        <v>46100</v>
      </c>
      <c r="G138" s="8">
        <v>17</v>
      </c>
      <c r="H138" s="2" t="str">
        <v>MCSN06</v>
      </c>
      <c r="I138" s="9" t="str">
        <f t="shared" si="9"/>
        <v>MCSN06_17</v>
      </c>
      <c r="J138" s="10" t="str">
        <f t="shared" si="10"/>
        <v>SSFLAT_MCSN06_20260319_17</v>
      </c>
      <c r="K138" s="10" t="str">
        <f t="shared" si="11"/>
        <v>SSFLAT_MCSN06_20260319_</v>
      </c>
      <c r="L138" t="b">
        <f>IF(ROW()-ROW($L$1)+1 &lt;= 'FILL ME'!$E$3, TRUE, FALSE)</f>
        <v>0</v>
      </c>
      <c r="M138" t="b">
        <f>IF(ROW()-ROW($M$1)+1 &lt;= 'FILL ME'!$E$4, TRUE, FALSE)</f>
        <v>1</v>
      </c>
      <c r="N138" t="b">
        <f>IF(ROW()-ROW($N$1)+1 &lt;= 'FILL ME'!$E$5, TRUE, FALSE)</f>
        <v>1</v>
      </c>
      <c r="O138" t="b">
        <f>IF(ROW()-ROW($O$1)+1 &lt;= 'FILL ME'!$E$6, TRUE, FALSE)</f>
        <v>1</v>
      </c>
      <c r="P138" t="b">
        <f>IF(ROW()-ROW($P$1)+1 &lt;= 'FILL ME'!$E$7, TRUE, FALSE)</f>
        <v>1</v>
      </c>
      <c r="Q138" t="b">
        <f>IF(ROW()-ROW($Q$1)+1 &lt;= 'FILL ME'!$E$8, TRUE, FALSE)</f>
        <v>1</v>
      </c>
      <c r="R138" t="b">
        <f>IF(ROW()-ROW($R$1)+1 &lt;= 'FILL ME'!$E$10, TRUE, FALSE)</f>
        <v>1</v>
      </c>
    </row>
    <row r="139" spans="1:18" x14ac:dyDescent="0.25">
      <c r="A139" s="7" t="str">
        <f>'FILL ME'!$B$8</f>
        <v>Grab</v>
      </c>
      <c r="B139" t="str">
        <f>IF('FILL ME'!$B$3 = "", "", 'FILL ME'!$B$3)</f>
        <v>WWS</v>
      </c>
      <c r="C139" t="str">
        <f>IF('FILL ME'!$B$4 = "", "", 'FILL ME'!$B$4)</f>
        <v>SSFLAT</v>
      </c>
      <c r="D139" s="7" t="str">
        <f>TEXT('FILL ME'!$B$7,"yyyymmdd")</f>
        <v>20260319</v>
      </c>
      <c r="E139" s="8" t="str">
        <f t="shared" si="8"/>
        <v/>
      </c>
      <c r="F139" s="7">
        <f>IF('FILL ME'!$B$8="ISCO",'FILL ME'!$B$7+'FILL ME'!$B$12+('FILL ME'!$B$13*(G139-'FILL ME'!$B$14)),'FILL ME'!$B$7)</f>
        <v>46100</v>
      </c>
      <c r="G139" s="8">
        <v>18</v>
      </c>
      <c r="H139" s="2" t="str">
        <v>MCSN06</v>
      </c>
      <c r="I139" s="9" t="str">
        <f t="shared" si="9"/>
        <v>MCSN06_18</v>
      </c>
      <c r="J139" s="10" t="str">
        <f t="shared" si="10"/>
        <v>SSFLAT_MCSN06_20260319_18</v>
      </c>
      <c r="K139" s="10" t="str">
        <f t="shared" si="11"/>
        <v>SSFLAT_MCSN06_20260319_</v>
      </c>
      <c r="L139" t="b">
        <f>IF(ROW()-ROW($L$1)+1 &lt;= 'FILL ME'!$E$3, TRUE, FALSE)</f>
        <v>0</v>
      </c>
      <c r="M139" t="b">
        <f>IF(ROW()-ROW($M$1)+1 &lt;= 'FILL ME'!$E$4, TRUE, FALSE)</f>
        <v>1</v>
      </c>
      <c r="N139" t="b">
        <f>IF(ROW()-ROW($N$1)+1 &lt;= 'FILL ME'!$E$5, TRUE, FALSE)</f>
        <v>1</v>
      </c>
      <c r="O139" t="b">
        <f>IF(ROW()-ROW($O$1)+1 &lt;= 'FILL ME'!$E$6, TRUE, FALSE)</f>
        <v>1</v>
      </c>
      <c r="P139" t="b">
        <f>IF(ROW()-ROW($P$1)+1 &lt;= 'FILL ME'!$E$7, TRUE, FALSE)</f>
        <v>1</v>
      </c>
      <c r="Q139" t="b">
        <f>IF(ROW()-ROW($Q$1)+1 &lt;= 'FILL ME'!$E$8, TRUE, FALSE)</f>
        <v>1</v>
      </c>
      <c r="R139" t="b">
        <f>IF(ROW()-ROW($R$1)+1 &lt;= 'FILL ME'!$E$10, TRUE, FALSE)</f>
        <v>1</v>
      </c>
    </row>
    <row r="140" spans="1:18" x14ac:dyDescent="0.25">
      <c r="A140" s="7" t="str">
        <f>'FILL ME'!$B$8</f>
        <v>Grab</v>
      </c>
      <c r="B140" t="str">
        <f>IF('FILL ME'!$B$3 = "", "", 'FILL ME'!$B$3)</f>
        <v>WWS</v>
      </c>
      <c r="C140" t="str">
        <f>IF('FILL ME'!$B$4 = "", "", 'FILL ME'!$B$4)</f>
        <v>SSFLAT</v>
      </c>
      <c r="D140" s="7" t="str">
        <f>TEXT('FILL ME'!$B$7,"yyyymmdd")</f>
        <v>20260319</v>
      </c>
      <c r="E140" s="8" t="str">
        <f t="shared" si="8"/>
        <v/>
      </c>
      <c r="F140" s="7">
        <f>IF('FILL ME'!$B$8="ISCO",'FILL ME'!$B$7+'FILL ME'!$B$12+('FILL ME'!$B$13*(G140-'FILL ME'!$B$14)),'FILL ME'!$B$7)</f>
        <v>46100</v>
      </c>
      <c r="G140" s="8">
        <v>19</v>
      </c>
      <c r="H140" s="2" t="str">
        <v>MCSN06</v>
      </c>
      <c r="I140" s="9" t="str">
        <f t="shared" si="9"/>
        <v>MCSN06_19</v>
      </c>
      <c r="J140" s="10" t="str">
        <f t="shared" si="10"/>
        <v>SSFLAT_MCSN06_20260319_19</v>
      </c>
      <c r="K140" s="10" t="str">
        <f t="shared" si="11"/>
        <v>SSFLAT_MCSN06_20260319_</v>
      </c>
      <c r="L140" t="b">
        <f>IF(ROW()-ROW($L$1)+1 &lt;= 'FILL ME'!$E$3, TRUE, FALSE)</f>
        <v>0</v>
      </c>
      <c r="M140" t="b">
        <f>IF(ROW()-ROW($M$1)+1 &lt;= 'FILL ME'!$E$4, TRUE, FALSE)</f>
        <v>1</v>
      </c>
      <c r="N140" t="b">
        <f>IF(ROW()-ROW($N$1)+1 &lt;= 'FILL ME'!$E$5, TRUE, FALSE)</f>
        <v>1</v>
      </c>
      <c r="O140" t="b">
        <f>IF(ROW()-ROW($O$1)+1 &lt;= 'FILL ME'!$E$6, TRUE, FALSE)</f>
        <v>1</v>
      </c>
      <c r="P140" t="b">
        <f>IF(ROW()-ROW($P$1)+1 &lt;= 'FILL ME'!$E$7, TRUE, FALSE)</f>
        <v>1</v>
      </c>
      <c r="Q140" t="b">
        <f>IF(ROW()-ROW($Q$1)+1 &lt;= 'FILL ME'!$E$8, TRUE, FALSE)</f>
        <v>1</v>
      </c>
      <c r="R140" t="b">
        <f>IF(ROW()-ROW($R$1)+1 &lt;= 'FILL ME'!$E$10, TRUE, FALSE)</f>
        <v>1</v>
      </c>
    </row>
    <row r="141" spans="1:18" x14ac:dyDescent="0.25">
      <c r="A141" s="7" t="str">
        <f>'FILL ME'!$B$8</f>
        <v>Grab</v>
      </c>
      <c r="B141" t="str">
        <f>IF('FILL ME'!$B$3 = "", "", 'FILL ME'!$B$3)</f>
        <v>WWS</v>
      </c>
      <c r="C141" t="str">
        <f>IF('FILL ME'!$B$4 = "", "", 'FILL ME'!$B$4)</f>
        <v>SSFLAT</v>
      </c>
      <c r="D141" s="7" t="str">
        <f>TEXT('FILL ME'!$B$7,"yyyymmdd")</f>
        <v>20260319</v>
      </c>
      <c r="E141" s="8" t="str">
        <f t="shared" si="8"/>
        <v/>
      </c>
      <c r="F141" s="7">
        <f>IF('FILL ME'!$B$8="ISCO",'FILL ME'!$B$7+'FILL ME'!$B$12+('FILL ME'!$B$13*(G141-'FILL ME'!$B$14)),'FILL ME'!$B$7)</f>
        <v>46100</v>
      </c>
      <c r="G141" s="8">
        <v>20</v>
      </c>
      <c r="H141" s="2" t="str">
        <v>MCSN06</v>
      </c>
      <c r="I141" s="9" t="str">
        <f t="shared" si="9"/>
        <v>MCSN06_20</v>
      </c>
      <c r="J141" s="10" t="str">
        <f t="shared" si="10"/>
        <v>SSFLAT_MCSN06_20260319_20</v>
      </c>
      <c r="K141" s="10" t="str">
        <f t="shared" si="11"/>
        <v>SSFLAT_MCSN06_20260319_</v>
      </c>
      <c r="L141" t="b">
        <f>IF(ROW()-ROW($L$1)+1 &lt;= 'FILL ME'!$E$3, TRUE, FALSE)</f>
        <v>0</v>
      </c>
      <c r="M141" t="b">
        <f>IF(ROW()-ROW($M$1)+1 &lt;= 'FILL ME'!$E$4, TRUE, FALSE)</f>
        <v>1</v>
      </c>
      <c r="N141" t="b">
        <f>IF(ROW()-ROW($N$1)+1 &lt;= 'FILL ME'!$E$5, TRUE, FALSE)</f>
        <v>1</v>
      </c>
      <c r="O141" t="b">
        <f>IF(ROW()-ROW($O$1)+1 &lt;= 'FILL ME'!$E$6, TRUE, FALSE)</f>
        <v>1</v>
      </c>
      <c r="P141" t="b">
        <f>IF(ROW()-ROW($P$1)+1 &lt;= 'FILL ME'!$E$7, TRUE, FALSE)</f>
        <v>1</v>
      </c>
      <c r="Q141" t="b">
        <f>IF(ROW()-ROW($Q$1)+1 &lt;= 'FILL ME'!$E$8, TRUE, FALSE)</f>
        <v>1</v>
      </c>
      <c r="R141" t="b">
        <f>IF(ROW()-ROW($R$1)+1 &lt;= 'FILL ME'!$E$10, TRUE, FALSE)</f>
        <v>1</v>
      </c>
    </row>
    <row r="142" spans="1:18" x14ac:dyDescent="0.25">
      <c r="A142" s="7" t="str">
        <f>'FILL ME'!$B$8</f>
        <v>Grab</v>
      </c>
      <c r="B142" t="str">
        <f>IF('FILL ME'!$B$3 = "", "", 'FILL ME'!$B$3)</f>
        <v>WWS</v>
      </c>
      <c r="C142" t="str">
        <f>IF('FILL ME'!$B$4 = "", "", 'FILL ME'!$B$4)</f>
        <v>SSFLAT</v>
      </c>
      <c r="D142" s="7" t="str">
        <f>TEXT('FILL ME'!$B$7,"yyyymmdd")</f>
        <v>20260319</v>
      </c>
      <c r="E142" s="8" t="str">
        <f t="shared" si="8"/>
        <v/>
      </c>
      <c r="F142" s="7">
        <f>IF('FILL ME'!$B$8="ISCO",'FILL ME'!$B$7+'FILL ME'!$B$12+('FILL ME'!$B$13*(G142-'FILL ME'!$B$14)),'FILL ME'!$B$7)</f>
        <v>46100</v>
      </c>
      <c r="G142" s="8">
        <v>21</v>
      </c>
      <c r="H142" s="2" t="str">
        <v>MCSN06</v>
      </c>
      <c r="I142" s="9" t="str">
        <f t="shared" si="9"/>
        <v>MCSN06_21</v>
      </c>
      <c r="J142" s="10" t="str">
        <f t="shared" si="10"/>
        <v>SSFLAT_MCSN06_20260319_21</v>
      </c>
      <c r="K142" s="10" t="str">
        <f t="shared" si="11"/>
        <v>SSFLAT_MCSN06_20260319_</v>
      </c>
      <c r="L142" t="b">
        <f>IF(ROW()-ROW($L$1)+1 &lt;= 'FILL ME'!$E$3, TRUE, FALSE)</f>
        <v>0</v>
      </c>
      <c r="M142" t="b">
        <f>IF(ROW()-ROW($M$1)+1 &lt;= 'FILL ME'!$E$4, TRUE, FALSE)</f>
        <v>1</v>
      </c>
      <c r="N142" t="b">
        <f>IF(ROW()-ROW($N$1)+1 &lt;= 'FILL ME'!$E$5, TRUE, FALSE)</f>
        <v>1</v>
      </c>
      <c r="O142" t="b">
        <f>IF(ROW()-ROW($O$1)+1 &lt;= 'FILL ME'!$E$6, TRUE, FALSE)</f>
        <v>1</v>
      </c>
      <c r="P142" t="b">
        <f>IF(ROW()-ROW($P$1)+1 &lt;= 'FILL ME'!$E$7, TRUE, FALSE)</f>
        <v>1</v>
      </c>
      <c r="Q142" t="b">
        <f>IF(ROW()-ROW($Q$1)+1 &lt;= 'FILL ME'!$E$8, TRUE, FALSE)</f>
        <v>1</v>
      </c>
      <c r="R142" t="b">
        <f>IF(ROW()-ROW($R$1)+1 &lt;= 'FILL ME'!$E$10, TRUE, FALSE)</f>
        <v>1</v>
      </c>
    </row>
    <row r="143" spans="1:18" x14ac:dyDescent="0.25">
      <c r="A143" s="7" t="str">
        <f>'FILL ME'!$B$8</f>
        <v>Grab</v>
      </c>
      <c r="B143" t="str">
        <f>IF('FILL ME'!$B$3 = "", "", 'FILL ME'!$B$3)</f>
        <v>WWS</v>
      </c>
      <c r="C143" t="str">
        <f>IF('FILL ME'!$B$4 = "", "", 'FILL ME'!$B$4)</f>
        <v>SSFLAT</v>
      </c>
      <c r="D143" s="7" t="str">
        <f>TEXT('FILL ME'!$B$7,"yyyymmdd")</f>
        <v>20260319</v>
      </c>
      <c r="E143" s="8" t="str">
        <f t="shared" si="8"/>
        <v/>
      </c>
      <c r="F143" s="7">
        <f>IF('FILL ME'!$B$8="ISCO",'FILL ME'!$B$7+'FILL ME'!$B$12+('FILL ME'!$B$13*(G143-'FILL ME'!$B$14)),'FILL ME'!$B$7)</f>
        <v>46100</v>
      </c>
      <c r="G143" s="8">
        <v>22</v>
      </c>
      <c r="H143" s="2" t="str">
        <v>MCSN06</v>
      </c>
      <c r="I143" s="9" t="str">
        <f t="shared" si="9"/>
        <v>MCSN06_22</v>
      </c>
      <c r="J143" s="10" t="str">
        <f t="shared" si="10"/>
        <v>SSFLAT_MCSN06_20260319_22</v>
      </c>
      <c r="K143" s="10" t="str">
        <f t="shared" si="11"/>
        <v>SSFLAT_MCSN06_20260319_</v>
      </c>
      <c r="L143" t="b">
        <f>IF(ROW()-ROW($L$1)+1 &lt;= 'FILL ME'!$E$3, TRUE, FALSE)</f>
        <v>0</v>
      </c>
      <c r="M143" t="b">
        <f>IF(ROW()-ROW($M$1)+1 &lt;= 'FILL ME'!$E$4, TRUE, FALSE)</f>
        <v>1</v>
      </c>
      <c r="N143" t="b">
        <f>IF(ROW()-ROW($N$1)+1 &lt;= 'FILL ME'!$E$5, TRUE, FALSE)</f>
        <v>1</v>
      </c>
      <c r="O143" t="b">
        <f>IF(ROW()-ROW($O$1)+1 &lt;= 'FILL ME'!$E$6, TRUE, FALSE)</f>
        <v>1</v>
      </c>
      <c r="P143" t="b">
        <f>IF(ROW()-ROW($P$1)+1 &lt;= 'FILL ME'!$E$7, TRUE, FALSE)</f>
        <v>1</v>
      </c>
      <c r="Q143" t="b">
        <f>IF(ROW()-ROW($Q$1)+1 &lt;= 'FILL ME'!$E$8, TRUE, FALSE)</f>
        <v>1</v>
      </c>
      <c r="R143" t="b">
        <f>IF(ROW()-ROW($R$1)+1 &lt;= 'FILL ME'!$E$10, TRUE, FALSE)</f>
        <v>1</v>
      </c>
    </row>
    <row r="144" spans="1:18" x14ac:dyDescent="0.25">
      <c r="A144" s="7" t="str">
        <f>'FILL ME'!$B$8</f>
        <v>Grab</v>
      </c>
      <c r="B144" t="str">
        <f>IF('FILL ME'!$B$3 = "", "", 'FILL ME'!$B$3)</f>
        <v>WWS</v>
      </c>
      <c r="C144" t="str">
        <f>IF('FILL ME'!$B$4 = "", "", 'FILL ME'!$B$4)</f>
        <v>SSFLAT</v>
      </c>
      <c r="D144" s="7" t="str">
        <f>TEXT('FILL ME'!$B$7,"yyyymmdd")</f>
        <v>20260319</v>
      </c>
      <c r="E144" s="8" t="str">
        <f t="shared" si="8"/>
        <v/>
      </c>
      <c r="F144" s="7">
        <f>IF('FILL ME'!$B$8="ISCO",'FILL ME'!$B$7+'FILL ME'!$B$12+('FILL ME'!$B$13*(G144-'FILL ME'!$B$14)),'FILL ME'!$B$7)</f>
        <v>46100</v>
      </c>
      <c r="G144" s="8">
        <v>23</v>
      </c>
      <c r="H144" s="2" t="str">
        <v>MCSN06</v>
      </c>
      <c r="I144" s="9" t="str">
        <f t="shared" si="9"/>
        <v>MCSN06_23</v>
      </c>
      <c r="J144" s="10" t="str">
        <f t="shared" si="10"/>
        <v>SSFLAT_MCSN06_20260319_23</v>
      </c>
      <c r="K144" s="10" t="str">
        <f t="shared" si="11"/>
        <v>SSFLAT_MCSN06_20260319_</v>
      </c>
      <c r="L144" t="b">
        <f>IF(ROW()-ROW($L$1)+1 &lt;= 'FILL ME'!$E$3, TRUE, FALSE)</f>
        <v>0</v>
      </c>
      <c r="M144" t="b">
        <f>IF(ROW()-ROW($M$1)+1 &lt;= 'FILL ME'!$E$4, TRUE, FALSE)</f>
        <v>1</v>
      </c>
      <c r="N144" t="b">
        <f>IF(ROW()-ROW($N$1)+1 &lt;= 'FILL ME'!$E$5, TRUE, FALSE)</f>
        <v>1</v>
      </c>
      <c r="O144" t="b">
        <f>IF(ROW()-ROW($O$1)+1 &lt;= 'FILL ME'!$E$6, TRUE, FALSE)</f>
        <v>1</v>
      </c>
      <c r="P144" t="b">
        <f>IF(ROW()-ROW($P$1)+1 &lt;= 'FILL ME'!$E$7, TRUE, FALSE)</f>
        <v>1</v>
      </c>
      <c r="Q144" t="b">
        <f>IF(ROW()-ROW($Q$1)+1 &lt;= 'FILL ME'!$E$8, TRUE, FALSE)</f>
        <v>1</v>
      </c>
      <c r="R144" t="b">
        <f>IF(ROW()-ROW($R$1)+1 &lt;= 'FILL ME'!$E$10, TRUE, FALSE)</f>
        <v>1</v>
      </c>
    </row>
    <row r="145" spans="1:18" x14ac:dyDescent="0.25">
      <c r="A145" s="7" t="str">
        <f>'FILL ME'!$B$8</f>
        <v>Grab</v>
      </c>
      <c r="B145" t="str">
        <f>IF('FILL ME'!$B$3 = "", "", 'FILL ME'!$B$3)</f>
        <v>WWS</v>
      </c>
      <c r="C145" t="str">
        <f>IF('FILL ME'!$B$4 = "", "", 'FILL ME'!$B$4)</f>
        <v>SSFLAT</v>
      </c>
      <c r="D145" s="7" t="str">
        <f>TEXT('FILL ME'!$B$7,"yyyymmdd")</f>
        <v>20260319</v>
      </c>
      <c r="E145" s="8" t="str">
        <f t="shared" si="8"/>
        <v/>
      </c>
      <c r="F145" s="7">
        <f>IF('FILL ME'!$B$8="ISCO",'FILL ME'!$B$7+'FILL ME'!$B$12+('FILL ME'!$B$13*(G145-'FILL ME'!$B$14)),'FILL ME'!$B$7)</f>
        <v>46100</v>
      </c>
      <c r="G145" s="8">
        <v>24</v>
      </c>
      <c r="H145" s="2" t="str">
        <v>MCSN06</v>
      </c>
      <c r="I145" s="9" t="str">
        <f t="shared" si="9"/>
        <v>MCSN06_24</v>
      </c>
      <c r="J145" s="10" t="str">
        <f t="shared" si="10"/>
        <v>SSFLAT_MCSN06_20260319_24</v>
      </c>
      <c r="K145" s="10" t="str">
        <f t="shared" si="11"/>
        <v>SSFLAT_MCSN06_20260319_</v>
      </c>
      <c r="L145" t="b">
        <f>IF(ROW()-ROW($L$1)+1 &lt;= 'FILL ME'!$E$3, TRUE, FALSE)</f>
        <v>0</v>
      </c>
      <c r="M145" t="b">
        <f>IF(ROW()-ROW($M$1)+1 &lt;= 'FILL ME'!$E$4, TRUE, FALSE)</f>
        <v>1</v>
      </c>
      <c r="N145" t="b">
        <f>IF(ROW()-ROW($N$1)+1 &lt;= 'FILL ME'!$E$5, TRUE, FALSE)</f>
        <v>1</v>
      </c>
      <c r="O145" t="b">
        <f>IF(ROW()-ROW($O$1)+1 &lt;= 'FILL ME'!$E$6, TRUE, FALSE)</f>
        <v>1</v>
      </c>
      <c r="P145" t="b">
        <f>IF(ROW()-ROW($P$1)+1 &lt;= 'FILL ME'!$E$7, TRUE, FALSE)</f>
        <v>1</v>
      </c>
      <c r="Q145" t="b">
        <f>IF(ROW()-ROW($Q$1)+1 &lt;= 'FILL ME'!$E$8, TRUE, FALSE)</f>
        <v>1</v>
      </c>
      <c r="R145" t="b">
        <f>IF(ROW()-ROW($R$1)+1 &lt;= 'FILL ME'!$E$10, TRUE, FALSE)</f>
        <v>1</v>
      </c>
    </row>
    <row r="146" spans="1:18" x14ac:dyDescent="0.25">
      <c r="A146" s="7" t="str">
        <f>'FILL ME'!$B$8</f>
        <v>Grab</v>
      </c>
      <c r="B146" t="str">
        <f>IF('FILL ME'!$B$3 = "", "", 'FILL ME'!$B$3)</f>
        <v>WWS</v>
      </c>
      <c r="C146" t="str">
        <f>IF('FILL ME'!$B$4 = "", "", 'FILL ME'!$B$4)</f>
        <v>SSFLAT</v>
      </c>
      <c r="D146" s="7" t="str">
        <f>TEXT('FILL ME'!$B$7,"yyyymmdd")</f>
        <v>20260319</v>
      </c>
      <c r="E146" s="8" t="str">
        <f t="shared" si="8"/>
        <v/>
      </c>
      <c r="F146" s="7">
        <f>IF('FILL ME'!$B$8="ISCO",'FILL ME'!$B$7+'FILL ME'!$B$12+('FILL ME'!$B$13*(G146-'FILL ME'!$B$14)),'FILL ME'!$B$7)</f>
        <v>46100</v>
      </c>
      <c r="G146" s="8">
        <v>1</v>
      </c>
      <c r="H146" s="2" t="str">
        <v>MCSN07</v>
      </c>
      <c r="I146" s="9" t="str">
        <f t="shared" si="9"/>
        <v>MCSN07_01</v>
      </c>
      <c r="J146" s="10" t="str">
        <f t="shared" si="10"/>
        <v>SSFLAT_MCSN07_20260319_01</v>
      </c>
      <c r="K146" s="10" t="str">
        <f t="shared" si="11"/>
        <v>SSFLAT_MCSN07_20260319_</v>
      </c>
      <c r="L146" t="b">
        <f>IF(ROW()-ROW($L$1)+1 &lt;= 'FILL ME'!$E$3, TRUE, FALSE)</f>
        <v>0</v>
      </c>
      <c r="M146" t="b">
        <f>IF(ROW()-ROW($M$1)+1 &lt;= 'FILL ME'!$E$4, TRUE, FALSE)</f>
        <v>1</v>
      </c>
      <c r="N146" t="b">
        <f>IF(ROW()-ROW($N$1)+1 &lt;= 'FILL ME'!$E$5, TRUE, FALSE)</f>
        <v>1</v>
      </c>
      <c r="O146" t="b">
        <f>IF(ROW()-ROW($O$1)+1 &lt;= 'FILL ME'!$E$6, TRUE, FALSE)</f>
        <v>1</v>
      </c>
      <c r="P146" t="b">
        <f>IF(ROW()-ROW($P$1)+1 &lt;= 'FILL ME'!$E$7, TRUE, FALSE)</f>
        <v>1</v>
      </c>
      <c r="Q146" t="b">
        <f>IF(ROW()-ROW($Q$1)+1 &lt;= 'FILL ME'!$E$8, TRUE, FALSE)</f>
        <v>1</v>
      </c>
      <c r="R146" t="b">
        <f>IF(ROW()-ROW($R$1)+1 &lt;= 'FILL ME'!$E$10, TRUE, FALSE)</f>
        <v>1</v>
      </c>
    </row>
    <row r="147" spans="1:18" x14ac:dyDescent="0.25">
      <c r="A147" s="7" t="str">
        <f>'FILL ME'!$B$8</f>
        <v>Grab</v>
      </c>
      <c r="B147" t="str">
        <f>IF('FILL ME'!$B$3 = "", "", 'FILL ME'!$B$3)</f>
        <v>WWS</v>
      </c>
      <c r="C147" t="str">
        <f>IF('FILL ME'!$B$4 = "", "", 'FILL ME'!$B$4)</f>
        <v>SSFLAT</v>
      </c>
      <c r="D147" s="7" t="str">
        <f>TEXT('FILL ME'!$B$7,"yyyymmdd")</f>
        <v>20260319</v>
      </c>
      <c r="E147" s="8" t="str">
        <f t="shared" si="8"/>
        <v/>
      </c>
      <c r="F147" s="7">
        <f>IF('FILL ME'!$B$8="ISCO",'FILL ME'!$B$7+'FILL ME'!$B$12+('FILL ME'!$B$13*(G147-'FILL ME'!$B$14)),'FILL ME'!$B$7)</f>
        <v>46100</v>
      </c>
      <c r="G147" s="8">
        <v>2</v>
      </c>
      <c r="H147" s="2" t="str">
        <v>MCSN07</v>
      </c>
      <c r="I147" s="9" t="str">
        <f t="shared" si="9"/>
        <v>MCSN07_02</v>
      </c>
      <c r="J147" s="10" t="str">
        <f t="shared" si="10"/>
        <v>SSFLAT_MCSN07_20260319_02</v>
      </c>
      <c r="K147" s="10" t="str">
        <f t="shared" si="11"/>
        <v>SSFLAT_MCSN07_20260319_</v>
      </c>
      <c r="L147" t="b">
        <f>IF(ROW()-ROW($L$1)+1 &lt;= 'FILL ME'!$E$3, TRUE, FALSE)</f>
        <v>0</v>
      </c>
      <c r="M147" t="b">
        <f>IF(ROW()-ROW($M$1)+1 &lt;= 'FILL ME'!$E$4, TRUE, FALSE)</f>
        <v>1</v>
      </c>
      <c r="N147" t="b">
        <f>IF(ROW()-ROW($N$1)+1 &lt;= 'FILL ME'!$E$5, TRUE, FALSE)</f>
        <v>1</v>
      </c>
      <c r="O147" t="b">
        <f>IF(ROW()-ROW($O$1)+1 &lt;= 'FILL ME'!$E$6, TRUE, FALSE)</f>
        <v>1</v>
      </c>
      <c r="P147" t="b">
        <f>IF(ROW()-ROW($P$1)+1 &lt;= 'FILL ME'!$E$7, TRUE, FALSE)</f>
        <v>1</v>
      </c>
      <c r="Q147" t="b">
        <f>IF(ROW()-ROW($Q$1)+1 &lt;= 'FILL ME'!$E$8, TRUE, FALSE)</f>
        <v>1</v>
      </c>
      <c r="R147" t="b">
        <f>IF(ROW()-ROW($R$1)+1 &lt;= 'FILL ME'!$E$10, TRUE, FALSE)</f>
        <v>1</v>
      </c>
    </row>
    <row r="148" spans="1:18" x14ac:dyDescent="0.25">
      <c r="A148" s="7" t="str">
        <f>'FILL ME'!$B$8</f>
        <v>Grab</v>
      </c>
      <c r="B148" t="str">
        <f>IF('FILL ME'!$B$3 = "", "", 'FILL ME'!$B$3)</f>
        <v>WWS</v>
      </c>
      <c r="C148" t="str">
        <f>IF('FILL ME'!$B$4 = "", "", 'FILL ME'!$B$4)</f>
        <v>SSFLAT</v>
      </c>
      <c r="D148" s="7" t="str">
        <f>TEXT('FILL ME'!$B$7,"yyyymmdd")</f>
        <v>20260319</v>
      </c>
      <c r="E148" s="8" t="str">
        <f t="shared" si="8"/>
        <v/>
      </c>
      <c r="F148" s="7">
        <f>IF('FILL ME'!$B$8="ISCO",'FILL ME'!$B$7+'FILL ME'!$B$12+('FILL ME'!$B$13*(G148-'FILL ME'!$B$14)),'FILL ME'!$B$7)</f>
        <v>46100</v>
      </c>
      <c r="G148" s="8">
        <v>3</v>
      </c>
      <c r="H148" s="2" t="str">
        <v>MCSN07</v>
      </c>
      <c r="I148" s="9" t="str">
        <f t="shared" si="9"/>
        <v>MCSN07_03</v>
      </c>
      <c r="J148" s="10" t="str">
        <f t="shared" si="10"/>
        <v>SSFLAT_MCSN07_20260319_03</v>
      </c>
      <c r="K148" s="10" t="str">
        <f t="shared" si="11"/>
        <v>SSFLAT_MCSN07_20260319_</v>
      </c>
      <c r="L148" t="b">
        <f>IF(ROW()-ROW($L$1)+1 &lt;= 'FILL ME'!$E$3, TRUE, FALSE)</f>
        <v>0</v>
      </c>
      <c r="M148" t="b">
        <f>IF(ROW()-ROW($M$1)+1 &lt;= 'FILL ME'!$E$4, TRUE, FALSE)</f>
        <v>1</v>
      </c>
      <c r="N148" t="b">
        <f>IF(ROW()-ROW($N$1)+1 &lt;= 'FILL ME'!$E$5, TRUE, FALSE)</f>
        <v>1</v>
      </c>
      <c r="O148" t="b">
        <f>IF(ROW()-ROW($O$1)+1 &lt;= 'FILL ME'!$E$6, TRUE, FALSE)</f>
        <v>1</v>
      </c>
      <c r="P148" t="b">
        <f>IF(ROW()-ROW($P$1)+1 &lt;= 'FILL ME'!$E$7, TRUE, FALSE)</f>
        <v>1</v>
      </c>
      <c r="Q148" t="b">
        <f>IF(ROW()-ROW($Q$1)+1 &lt;= 'FILL ME'!$E$8, TRUE, FALSE)</f>
        <v>1</v>
      </c>
      <c r="R148" t="b">
        <f>IF(ROW()-ROW($R$1)+1 &lt;= 'FILL ME'!$E$10, TRUE, FALSE)</f>
        <v>1</v>
      </c>
    </row>
    <row r="149" spans="1:18" x14ac:dyDescent="0.25">
      <c r="A149" s="7" t="str">
        <f>'FILL ME'!$B$8</f>
        <v>Grab</v>
      </c>
      <c r="B149" t="str">
        <f>IF('FILL ME'!$B$3 = "", "", 'FILL ME'!$B$3)</f>
        <v>WWS</v>
      </c>
      <c r="C149" t="str">
        <f>IF('FILL ME'!$B$4 = "", "", 'FILL ME'!$B$4)</f>
        <v>SSFLAT</v>
      </c>
      <c r="D149" s="7" t="str">
        <f>TEXT('FILL ME'!$B$7,"yyyymmdd")</f>
        <v>20260319</v>
      </c>
      <c r="E149" s="8" t="str">
        <f t="shared" si="8"/>
        <v/>
      </c>
      <c r="F149" s="7">
        <f>IF('FILL ME'!$B$8="ISCO",'FILL ME'!$B$7+'FILL ME'!$B$12+('FILL ME'!$B$13*(G149-'FILL ME'!$B$14)),'FILL ME'!$B$7)</f>
        <v>46100</v>
      </c>
      <c r="G149" s="8">
        <v>4</v>
      </c>
      <c r="H149" s="2" t="str">
        <v>MCSN07</v>
      </c>
      <c r="I149" s="9" t="str">
        <f t="shared" si="9"/>
        <v>MCSN07_04</v>
      </c>
      <c r="J149" s="10" t="str">
        <f t="shared" si="10"/>
        <v>SSFLAT_MCSN07_20260319_04</v>
      </c>
      <c r="K149" s="10" t="str">
        <f t="shared" si="11"/>
        <v>SSFLAT_MCSN07_20260319_</v>
      </c>
      <c r="L149" t="b">
        <f>IF(ROW()-ROW($L$1)+1 &lt;= 'FILL ME'!$E$3, TRUE, FALSE)</f>
        <v>0</v>
      </c>
      <c r="M149" t="b">
        <f>IF(ROW()-ROW($M$1)+1 &lt;= 'FILL ME'!$E$4, TRUE, FALSE)</f>
        <v>1</v>
      </c>
      <c r="N149" t="b">
        <f>IF(ROW()-ROW($N$1)+1 &lt;= 'FILL ME'!$E$5, TRUE, FALSE)</f>
        <v>1</v>
      </c>
      <c r="O149" t="b">
        <f>IF(ROW()-ROW($O$1)+1 &lt;= 'FILL ME'!$E$6, TRUE, FALSE)</f>
        <v>1</v>
      </c>
      <c r="P149" t="b">
        <f>IF(ROW()-ROW($P$1)+1 &lt;= 'FILL ME'!$E$7, TRUE, FALSE)</f>
        <v>1</v>
      </c>
      <c r="Q149" t="b">
        <f>IF(ROW()-ROW($Q$1)+1 &lt;= 'FILL ME'!$E$8, TRUE, FALSE)</f>
        <v>1</v>
      </c>
      <c r="R149" t="b">
        <f>IF(ROW()-ROW($R$1)+1 &lt;= 'FILL ME'!$E$10, TRUE, FALSE)</f>
        <v>1</v>
      </c>
    </row>
    <row r="150" spans="1:18" x14ac:dyDescent="0.25">
      <c r="A150" s="7" t="str">
        <f>'FILL ME'!$B$8</f>
        <v>Grab</v>
      </c>
      <c r="B150" t="str">
        <f>IF('FILL ME'!$B$3 = "", "", 'FILL ME'!$B$3)</f>
        <v>WWS</v>
      </c>
      <c r="C150" t="str">
        <f>IF('FILL ME'!$B$4 = "", "", 'FILL ME'!$B$4)</f>
        <v>SSFLAT</v>
      </c>
      <c r="D150" s="7" t="str">
        <f>TEXT('FILL ME'!$B$7,"yyyymmdd")</f>
        <v>20260319</v>
      </c>
      <c r="E150" s="8" t="str">
        <f t="shared" si="8"/>
        <v/>
      </c>
      <c r="F150" s="7">
        <f>IF('FILL ME'!$B$8="ISCO",'FILL ME'!$B$7+'FILL ME'!$B$12+('FILL ME'!$B$13*(G150-'FILL ME'!$B$14)),'FILL ME'!$B$7)</f>
        <v>46100</v>
      </c>
      <c r="G150" s="8">
        <v>5</v>
      </c>
      <c r="H150" s="2" t="str">
        <v>MCSN07</v>
      </c>
      <c r="I150" s="9" t="str">
        <f t="shared" si="9"/>
        <v>MCSN07_05</v>
      </c>
      <c r="J150" s="10" t="str">
        <f t="shared" si="10"/>
        <v>SSFLAT_MCSN07_20260319_05</v>
      </c>
      <c r="K150" s="10" t="str">
        <f t="shared" si="11"/>
        <v>SSFLAT_MCSN07_20260319_</v>
      </c>
      <c r="L150" t="b">
        <f>IF(ROW()-ROW($L$1)+1 &lt;= 'FILL ME'!$E$3, TRUE, FALSE)</f>
        <v>0</v>
      </c>
      <c r="M150" t="b">
        <f>IF(ROW()-ROW($M$1)+1 &lt;= 'FILL ME'!$E$4, TRUE, FALSE)</f>
        <v>1</v>
      </c>
      <c r="N150" t="b">
        <f>IF(ROW()-ROW($N$1)+1 &lt;= 'FILL ME'!$E$5, TRUE, FALSE)</f>
        <v>1</v>
      </c>
      <c r="O150" t="b">
        <f>IF(ROW()-ROW($O$1)+1 &lt;= 'FILL ME'!$E$6, TRUE, FALSE)</f>
        <v>1</v>
      </c>
      <c r="P150" t="b">
        <f>IF(ROW()-ROW($P$1)+1 &lt;= 'FILL ME'!$E$7, TRUE, FALSE)</f>
        <v>1</v>
      </c>
      <c r="Q150" t="b">
        <f>IF(ROW()-ROW($Q$1)+1 &lt;= 'FILL ME'!$E$8, TRUE, FALSE)</f>
        <v>1</v>
      </c>
      <c r="R150" t="b">
        <f>IF(ROW()-ROW($R$1)+1 &lt;= 'FILL ME'!$E$10, TRUE, FALSE)</f>
        <v>1</v>
      </c>
    </row>
    <row r="151" spans="1:18" x14ac:dyDescent="0.25">
      <c r="A151" s="7" t="str">
        <f>'FILL ME'!$B$8</f>
        <v>Grab</v>
      </c>
      <c r="B151" t="str">
        <f>IF('FILL ME'!$B$3 = "", "", 'FILL ME'!$B$3)</f>
        <v>WWS</v>
      </c>
      <c r="C151" t="str">
        <f>IF('FILL ME'!$B$4 = "", "", 'FILL ME'!$B$4)</f>
        <v>SSFLAT</v>
      </c>
      <c r="D151" s="7" t="str">
        <f>TEXT('FILL ME'!$B$7,"yyyymmdd")</f>
        <v>20260319</v>
      </c>
      <c r="E151" s="8" t="str">
        <f t="shared" si="8"/>
        <v/>
      </c>
      <c r="F151" s="7">
        <f>IF('FILL ME'!$B$8="ISCO",'FILL ME'!$B$7+'FILL ME'!$B$12+('FILL ME'!$B$13*(G151-'FILL ME'!$B$14)),'FILL ME'!$B$7)</f>
        <v>46100</v>
      </c>
      <c r="G151" s="8">
        <v>6</v>
      </c>
      <c r="H151" s="2" t="str">
        <v>MCSN07</v>
      </c>
      <c r="I151" s="9" t="str">
        <f t="shared" si="9"/>
        <v>MCSN07_06</v>
      </c>
      <c r="J151" s="10" t="str">
        <f t="shared" si="10"/>
        <v>SSFLAT_MCSN07_20260319_06</v>
      </c>
      <c r="K151" s="10" t="str">
        <f t="shared" si="11"/>
        <v>SSFLAT_MCSN07_20260319_</v>
      </c>
      <c r="L151" t="b">
        <f>IF(ROW()-ROW($L$1)+1 &lt;= 'FILL ME'!$E$3, TRUE, FALSE)</f>
        <v>0</v>
      </c>
      <c r="M151" t="b">
        <f>IF(ROW()-ROW($M$1)+1 &lt;= 'FILL ME'!$E$4, TRUE, FALSE)</f>
        <v>1</v>
      </c>
      <c r="N151" t="b">
        <f>IF(ROW()-ROW($N$1)+1 &lt;= 'FILL ME'!$E$5, TRUE, FALSE)</f>
        <v>1</v>
      </c>
      <c r="O151" t="b">
        <f>IF(ROW()-ROW($O$1)+1 &lt;= 'FILL ME'!$E$6, TRUE, FALSE)</f>
        <v>1</v>
      </c>
      <c r="P151" t="b">
        <f>IF(ROW()-ROW($P$1)+1 &lt;= 'FILL ME'!$E$7, TRUE, FALSE)</f>
        <v>1</v>
      </c>
      <c r="Q151" t="b">
        <f>IF(ROW()-ROW($Q$1)+1 &lt;= 'FILL ME'!$E$8, TRUE, FALSE)</f>
        <v>1</v>
      </c>
      <c r="R151" t="b">
        <f>IF(ROW()-ROW($R$1)+1 &lt;= 'FILL ME'!$E$10, TRUE, FALSE)</f>
        <v>1</v>
      </c>
    </row>
    <row r="152" spans="1:18" x14ac:dyDescent="0.25">
      <c r="A152" s="7" t="str">
        <f>'FILL ME'!$B$8</f>
        <v>Grab</v>
      </c>
      <c r="B152" t="str">
        <f>IF('FILL ME'!$B$3 = "", "", 'FILL ME'!$B$3)</f>
        <v>WWS</v>
      </c>
      <c r="C152" t="str">
        <f>IF('FILL ME'!$B$4 = "", "", 'FILL ME'!$B$4)</f>
        <v>SSFLAT</v>
      </c>
      <c r="D152" s="7" t="str">
        <f>TEXT('FILL ME'!$B$7,"yyyymmdd")</f>
        <v>20260319</v>
      </c>
      <c r="E152" s="8" t="str">
        <f t="shared" si="8"/>
        <v/>
      </c>
      <c r="F152" s="7">
        <f>IF('FILL ME'!$B$8="ISCO",'FILL ME'!$B$7+'FILL ME'!$B$12+('FILL ME'!$B$13*(G152-'FILL ME'!$B$14)),'FILL ME'!$B$7)</f>
        <v>46100</v>
      </c>
      <c r="G152" s="8">
        <v>7</v>
      </c>
      <c r="H152" s="2" t="str">
        <v>MCSN07</v>
      </c>
      <c r="I152" s="9" t="str">
        <f t="shared" si="9"/>
        <v>MCSN07_07</v>
      </c>
      <c r="J152" s="10" t="str">
        <f t="shared" si="10"/>
        <v>SSFLAT_MCSN07_20260319_07</v>
      </c>
      <c r="K152" s="10" t="str">
        <f t="shared" si="11"/>
        <v>SSFLAT_MCSN07_20260319_</v>
      </c>
      <c r="L152" t="b">
        <f>IF(ROW()-ROW($L$1)+1 &lt;= 'FILL ME'!$E$3, TRUE, FALSE)</f>
        <v>0</v>
      </c>
      <c r="M152" t="b">
        <f>IF(ROW()-ROW($M$1)+1 &lt;= 'FILL ME'!$E$4, TRUE, FALSE)</f>
        <v>1</v>
      </c>
      <c r="N152" t="b">
        <f>IF(ROW()-ROW($N$1)+1 &lt;= 'FILL ME'!$E$5, TRUE, FALSE)</f>
        <v>1</v>
      </c>
      <c r="O152" t="b">
        <f>IF(ROW()-ROW($O$1)+1 &lt;= 'FILL ME'!$E$6, TRUE, FALSE)</f>
        <v>1</v>
      </c>
      <c r="P152" t="b">
        <f>IF(ROW()-ROW($P$1)+1 &lt;= 'FILL ME'!$E$7, TRUE, FALSE)</f>
        <v>1</v>
      </c>
      <c r="Q152" t="b">
        <f>IF(ROW()-ROW($Q$1)+1 &lt;= 'FILL ME'!$E$8, TRUE, FALSE)</f>
        <v>1</v>
      </c>
      <c r="R152" t="b">
        <f>IF(ROW()-ROW($R$1)+1 &lt;= 'FILL ME'!$E$10, TRUE, FALSE)</f>
        <v>1</v>
      </c>
    </row>
    <row r="153" spans="1:18" x14ac:dyDescent="0.25">
      <c r="A153" s="7" t="str">
        <f>'FILL ME'!$B$8</f>
        <v>Grab</v>
      </c>
      <c r="B153" t="str">
        <f>IF('FILL ME'!$B$3 = "", "", 'FILL ME'!$B$3)</f>
        <v>WWS</v>
      </c>
      <c r="C153" t="str">
        <f>IF('FILL ME'!$B$4 = "", "", 'FILL ME'!$B$4)</f>
        <v>SSFLAT</v>
      </c>
      <c r="D153" s="7" t="str">
        <f>TEXT('FILL ME'!$B$7,"yyyymmdd")</f>
        <v>20260319</v>
      </c>
      <c r="E153" s="8" t="str">
        <f t="shared" si="8"/>
        <v/>
      </c>
      <c r="F153" s="7">
        <f>IF('FILL ME'!$B$8="ISCO",'FILL ME'!$B$7+'FILL ME'!$B$12+('FILL ME'!$B$13*(G153-'FILL ME'!$B$14)),'FILL ME'!$B$7)</f>
        <v>46100</v>
      </c>
      <c r="G153" s="8">
        <v>8</v>
      </c>
      <c r="H153" s="2" t="str">
        <v>MCSN07</v>
      </c>
      <c r="I153" s="9" t="str">
        <f t="shared" si="9"/>
        <v>MCSN07_08</v>
      </c>
      <c r="J153" s="10" t="str">
        <f t="shared" si="10"/>
        <v>SSFLAT_MCSN07_20260319_08</v>
      </c>
      <c r="K153" s="10" t="str">
        <f t="shared" si="11"/>
        <v>SSFLAT_MCSN07_20260319_</v>
      </c>
      <c r="L153" t="b">
        <f>IF(ROW()-ROW($L$1)+1 &lt;= 'FILL ME'!$E$3, TRUE, FALSE)</f>
        <v>0</v>
      </c>
      <c r="M153" t="b">
        <f>IF(ROW()-ROW($M$1)+1 &lt;= 'FILL ME'!$E$4, TRUE, FALSE)</f>
        <v>1</v>
      </c>
      <c r="N153" t="b">
        <f>IF(ROW()-ROW($N$1)+1 &lt;= 'FILL ME'!$E$5, TRUE, FALSE)</f>
        <v>1</v>
      </c>
      <c r="O153" t="b">
        <f>IF(ROW()-ROW($O$1)+1 &lt;= 'FILL ME'!$E$6, TRUE, FALSE)</f>
        <v>1</v>
      </c>
      <c r="P153" t="b">
        <f>IF(ROW()-ROW($P$1)+1 &lt;= 'FILL ME'!$E$7, TRUE, FALSE)</f>
        <v>1</v>
      </c>
      <c r="Q153" t="b">
        <f>IF(ROW()-ROW($Q$1)+1 &lt;= 'FILL ME'!$E$8, TRUE, FALSE)</f>
        <v>1</v>
      </c>
      <c r="R153" t="b">
        <f>IF(ROW()-ROW($R$1)+1 &lt;= 'FILL ME'!$E$10, TRUE, FALSE)</f>
        <v>1</v>
      </c>
    </row>
    <row r="154" spans="1:18" x14ac:dyDescent="0.25">
      <c r="A154" s="7" t="str">
        <f>'FILL ME'!$B$8</f>
        <v>Grab</v>
      </c>
      <c r="B154" t="str">
        <f>IF('FILL ME'!$B$3 = "", "", 'FILL ME'!$B$3)</f>
        <v>WWS</v>
      </c>
      <c r="C154" t="str">
        <f>IF('FILL ME'!$B$4 = "", "", 'FILL ME'!$B$4)</f>
        <v>SSFLAT</v>
      </c>
      <c r="D154" s="7" t="str">
        <f>TEXT('FILL ME'!$B$7,"yyyymmdd")</f>
        <v>20260319</v>
      </c>
      <c r="E154" s="8" t="str">
        <f t="shared" si="8"/>
        <v/>
      </c>
      <c r="F154" s="7">
        <f>IF('FILL ME'!$B$8="ISCO",'FILL ME'!$B$7+'FILL ME'!$B$12+('FILL ME'!$B$13*(G154-'FILL ME'!$B$14)),'FILL ME'!$B$7)</f>
        <v>46100</v>
      </c>
      <c r="G154" s="8">
        <v>9</v>
      </c>
      <c r="H154" s="2" t="str">
        <v>MCSN07</v>
      </c>
      <c r="I154" s="9" t="str">
        <f t="shared" si="9"/>
        <v>MCSN07_09</v>
      </c>
      <c r="J154" s="10" t="str">
        <f t="shared" si="10"/>
        <v>SSFLAT_MCSN07_20260319_09</v>
      </c>
      <c r="K154" s="10" t="str">
        <f t="shared" si="11"/>
        <v>SSFLAT_MCSN07_20260319_</v>
      </c>
      <c r="L154" t="b">
        <f>IF(ROW()-ROW($L$1)+1 &lt;= 'FILL ME'!$E$3, TRUE, FALSE)</f>
        <v>0</v>
      </c>
      <c r="M154" t="b">
        <f>IF(ROW()-ROW($M$1)+1 &lt;= 'FILL ME'!$E$4, TRUE, FALSE)</f>
        <v>1</v>
      </c>
      <c r="N154" t="b">
        <f>IF(ROW()-ROW($N$1)+1 &lt;= 'FILL ME'!$E$5, TRUE, FALSE)</f>
        <v>1</v>
      </c>
      <c r="O154" t="b">
        <f>IF(ROW()-ROW($O$1)+1 &lt;= 'FILL ME'!$E$6, TRUE, FALSE)</f>
        <v>1</v>
      </c>
      <c r="P154" t="b">
        <f>IF(ROW()-ROW($P$1)+1 &lt;= 'FILL ME'!$E$7, TRUE, FALSE)</f>
        <v>1</v>
      </c>
      <c r="Q154" t="b">
        <f>IF(ROW()-ROW($Q$1)+1 &lt;= 'FILL ME'!$E$8, TRUE, FALSE)</f>
        <v>1</v>
      </c>
      <c r="R154" t="b">
        <f>IF(ROW()-ROW($R$1)+1 &lt;= 'FILL ME'!$E$10, TRUE, FALSE)</f>
        <v>1</v>
      </c>
    </row>
    <row r="155" spans="1:18" x14ac:dyDescent="0.25">
      <c r="A155" s="7" t="str">
        <f>'FILL ME'!$B$8</f>
        <v>Grab</v>
      </c>
      <c r="B155" t="str">
        <f>IF('FILL ME'!$B$3 = "", "", 'FILL ME'!$B$3)</f>
        <v>WWS</v>
      </c>
      <c r="C155" t="str">
        <f>IF('FILL ME'!$B$4 = "", "", 'FILL ME'!$B$4)</f>
        <v>SSFLAT</v>
      </c>
      <c r="D155" s="7" t="str">
        <f>TEXT('FILL ME'!$B$7,"yyyymmdd")</f>
        <v>20260319</v>
      </c>
      <c r="E155" s="8" t="str">
        <f t="shared" si="8"/>
        <v/>
      </c>
      <c r="F155" s="7">
        <f>IF('FILL ME'!$B$8="ISCO",'FILL ME'!$B$7+'FILL ME'!$B$12+('FILL ME'!$B$13*(G155-'FILL ME'!$B$14)),'FILL ME'!$B$7)</f>
        <v>46100</v>
      </c>
      <c r="G155" s="8">
        <v>10</v>
      </c>
      <c r="H155" s="2" t="str">
        <v>MCSN07</v>
      </c>
      <c r="I155" s="9" t="str">
        <f t="shared" si="9"/>
        <v>MCSN07_10</v>
      </c>
      <c r="J155" s="10" t="str">
        <f t="shared" si="10"/>
        <v>SSFLAT_MCSN07_20260319_10</v>
      </c>
      <c r="K155" s="10" t="str">
        <f t="shared" si="11"/>
        <v>SSFLAT_MCSN07_20260319_</v>
      </c>
      <c r="L155" t="b">
        <f>IF(ROW()-ROW($L$1)+1 &lt;= 'FILL ME'!$E$3, TRUE, FALSE)</f>
        <v>0</v>
      </c>
      <c r="M155" t="b">
        <f>IF(ROW()-ROW($M$1)+1 &lt;= 'FILL ME'!$E$4, TRUE, FALSE)</f>
        <v>1</v>
      </c>
      <c r="N155" t="b">
        <f>IF(ROW()-ROW($N$1)+1 &lt;= 'FILL ME'!$E$5, TRUE, FALSE)</f>
        <v>1</v>
      </c>
      <c r="O155" t="b">
        <f>IF(ROW()-ROW($O$1)+1 &lt;= 'FILL ME'!$E$6, TRUE, FALSE)</f>
        <v>1</v>
      </c>
      <c r="P155" t="b">
        <f>IF(ROW()-ROW($P$1)+1 &lt;= 'FILL ME'!$E$7, TRUE, FALSE)</f>
        <v>1</v>
      </c>
      <c r="Q155" t="b">
        <f>IF(ROW()-ROW($Q$1)+1 &lt;= 'FILL ME'!$E$8, TRUE, FALSE)</f>
        <v>1</v>
      </c>
      <c r="R155" t="b">
        <f>IF(ROW()-ROW($R$1)+1 &lt;= 'FILL ME'!$E$10, TRUE, FALSE)</f>
        <v>1</v>
      </c>
    </row>
    <row r="156" spans="1:18" x14ac:dyDescent="0.25">
      <c r="A156" s="7" t="str">
        <f>'FILL ME'!$B$8</f>
        <v>Grab</v>
      </c>
      <c r="B156" t="str">
        <f>IF('FILL ME'!$B$3 = "", "", 'FILL ME'!$B$3)</f>
        <v>WWS</v>
      </c>
      <c r="C156" t="str">
        <f>IF('FILL ME'!$B$4 = "", "", 'FILL ME'!$B$4)</f>
        <v>SSFLAT</v>
      </c>
      <c r="D156" s="7" t="str">
        <f>TEXT('FILL ME'!$B$7,"yyyymmdd")</f>
        <v>20260319</v>
      </c>
      <c r="E156" s="8" t="str">
        <f t="shared" si="8"/>
        <v/>
      </c>
      <c r="F156" s="7">
        <f>IF('FILL ME'!$B$8="ISCO",'FILL ME'!$B$7+'FILL ME'!$B$12+('FILL ME'!$B$13*(G156-'FILL ME'!$B$14)),'FILL ME'!$B$7)</f>
        <v>46100</v>
      </c>
      <c r="G156" s="8">
        <v>11</v>
      </c>
      <c r="H156" s="2" t="str">
        <v>MCSN07</v>
      </c>
      <c r="I156" s="9" t="str">
        <f t="shared" si="9"/>
        <v>MCSN07_11</v>
      </c>
      <c r="J156" s="10" t="str">
        <f t="shared" si="10"/>
        <v>SSFLAT_MCSN07_20260319_11</v>
      </c>
      <c r="K156" s="10" t="str">
        <f t="shared" si="11"/>
        <v>SSFLAT_MCSN07_20260319_</v>
      </c>
      <c r="L156" t="b">
        <f>IF(ROW()-ROW($L$1)+1 &lt;= 'FILL ME'!$E$3, TRUE, FALSE)</f>
        <v>0</v>
      </c>
      <c r="M156" t="b">
        <f>IF(ROW()-ROW($M$1)+1 &lt;= 'FILL ME'!$E$4, TRUE, FALSE)</f>
        <v>1</v>
      </c>
      <c r="N156" t="b">
        <f>IF(ROW()-ROW($N$1)+1 &lt;= 'FILL ME'!$E$5, TRUE, FALSE)</f>
        <v>1</v>
      </c>
      <c r="O156" t="b">
        <f>IF(ROW()-ROW($O$1)+1 &lt;= 'FILL ME'!$E$6, TRUE, FALSE)</f>
        <v>1</v>
      </c>
      <c r="P156" t="b">
        <f>IF(ROW()-ROW($P$1)+1 &lt;= 'FILL ME'!$E$7, TRUE, FALSE)</f>
        <v>1</v>
      </c>
      <c r="Q156" t="b">
        <f>IF(ROW()-ROW($Q$1)+1 &lt;= 'FILL ME'!$E$8, TRUE, FALSE)</f>
        <v>1</v>
      </c>
      <c r="R156" t="b">
        <f>IF(ROW()-ROW($R$1)+1 &lt;= 'FILL ME'!$E$10, TRUE, FALSE)</f>
        <v>1</v>
      </c>
    </row>
    <row r="157" spans="1:18" x14ac:dyDescent="0.25">
      <c r="A157" s="7" t="str">
        <f>'FILL ME'!$B$8</f>
        <v>Grab</v>
      </c>
      <c r="B157" t="str">
        <f>IF('FILL ME'!$B$3 = "", "", 'FILL ME'!$B$3)</f>
        <v>WWS</v>
      </c>
      <c r="C157" t="str">
        <f>IF('FILL ME'!$B$4 = "", "", 'FILL ME'!$B$4)</f>
        <v>SSFLAT</v>
      </c>
      <c r="D157" s="7" t="str">
        <f>TEXT('FILL ME'!$B$7,"yyyymmdd")</f>
        <v>20260319</v>
      </c>
      <c r="E157" s="8" t="str">
        <f t="shared" si="8"/>
        <v/>
      </c>
      <c r="F157" s="7">
        <f>IF('FILL ME'!$B$8="ISCO",'FILL ME'!$B$7+'FILL ME'!$B$12+('FILL ME'!$B$13*(G157-'FILL ME'!$B$14)),'FILL ME'!$B$7)</f>
        <v>46100</v>
      </c>
      <c r="G157" s="8">
        <v>12</v>
      </c>
      <c r="H157" s="2" t="str">
        <v>MCSN07</v>
      </c>
      <c r="I157" s="9" t="str">
        <f t="shared" si="9"/>
        <v>MCSN07_12</v>
      </c>
      <c r="J157" s="10" t="str">
        <f t="shared" si="10"/>
        <v>SSFLAT_MCSN07_20260319_12</v>
      </c>
      <c r="K157" s="10" t="str">
        <f t="shared" si="11"/>
        <v>SSFLAT_MCSN07_20260319_</v>
      </c>
      <c r="L157" t="b">
        <f>IF(ROW()-ROW($L$1)+1 &lt;= 'FILL ME'!$E$3, TRUE, FALSE)</f>
        <v>0</v>
      </c>
      <c r="M157" t="b">
        <f>IF(ROW()-ROW($M$1)+1 &lt;= 'FILL ME'!$E$4, TRUE, FALSE)</f>
        <v>1</v>
      </c>
      <c r="N157" t="b">
        <f>IF(ROW()-ROW($N$1)+1 &lt;= 'FILL ME'!$E$5, TRUE, FALSE)</f>
        <v>1</v>
      </c>
      <c r="O157" t="b">
        <f>IF(ROW()-ROW($O$1)+1 &lt;= 'FILL ME'!$E$6, TRUE, FALSE)</f>
        <v>1</v>
      </c>
      <c r="P157" t="b">
        <f>IF(ROW()-ROW($P$1)+1 &lt;= 'FILL ME'!$E$7, TRUE, FALSE)</f>
        <v>1</v>
      </c>
      <c r="Q157" t="b">
        <f>IF(ROW()-ROW($Q$1)+1 &lt;= 'FILL ME'!$E$8, TRUE, FALSE)</f>
        <v>1</v>
      </c>
      <c r="R157" t="b">
        <f>IF(ROW()-ROW($R$1)+1 &lt;= 'FILL ME'!$E$10, TRUE, FALSE)</f>
        <v>1</v>
      </c>
    </row>
    <row r="158" spans="1:18" x14ac:dyDescent="0.25">
      <c r="A158" s="7" t="str">
        <f>'FILL ME'!$B$8</f>
        <v>Grab</v>
      </c>
      <c r="B158" t="str">
        <f>IF('FILL ME'!$B$3 = "", "", 'FILL ME'!$B$3)</f>
        <v>WWS</v>
      </c>
      <c r="C158" t="str">
        <f>IF('FILL ME'!$B$4 = "", "", 'FILL ME'!$B$4)</f>
        <v>SSFLAT</v>
      </c>
      <c r="D158" s="7" t="str">
        <f>TEXT('FILL ME'!$B$7,"yyyymmdd")</f>
        <v>20260319</v>
      </c>
      <c r="E158" s="8" t="str">
        <f t="shared" si="8"/>
        <v/>
      </c>
      <c r="F158" s="7">
        <f>IF('FILL ME'!$B$8="ISCO",'FILL ME'!$B$7+'FILL ME'!$B$12+('FILL ME'!$B$13*(G158-'FILL ME'!$B$14)),'FILL ME'!$B$7)</f>
        <v>46100</v>
      </c>
      <c r="G158" s="8">
        <v>13</v>
      </c>
      <c r="H158" s="2" t="str">
        <v>MCSN07</v>
      </c>
      <c r="I158" s="9" t="str">
        <f t="shared" si="9"/>
        <v>MCSN07_13</v>
      </c>
      <c r="J158" s="10" t="str">
        <f t="shared" si="10"/>
        <v>SSFLAT_MCSN07_20260319_13</v>
      </c>
      <c r="K158" s="10" t="str">
        <f t="shared" si="11"/>
        <v>SSFLAT_MCSN07_20260319_</v>
      </c>
      <c r="L158" t="b">
        <f>IF(ROW()-ROW($L$1)+1 &lt;= 'FILL ME'!$E$3, TRUE, FALSE)</f>
        <v>0</v>
      </c>
      <c r="M158" t="b">
        <f>IF(ROW()-ROW($M$1)+1 &lt;= 'FILL ME'!$E$4, TRUE, FALSE)</f>
        <v>1</v>
      </c>
      <c r="N158" t="b">
        <f>IF(ROW()-ROW($N$1)+1 &lt;= 'FILL ME'!$E$5, TRUE, FALSE)</f>
        <v>1</v>
      </c>
      <c r="O158" t="b">
        <f>IF(ROW()-ROW($O$1)+1 &lt;= 'FILL ME'!$E$6, TRUE, FALSE)</f>
        <v>1</v>
      </c>
      <c r="P158" t="b">
        <f>IF(ROW()-ROW($P$1)+1 &lt;= 'FILL ME'!$E$7, TRUE, FALSE)</f>
        <v>1</v>
      </c>
      <c r="Q158" t="b">
        <f>IF(ROW()-ROW($Q$1)+1 &lt;= 'FILL ME'!$E$8, TRUE, FALSE)</f>
        <v>1</v>
      </c>
      <c r="R158" t="b">
        <f>IF(ROW()-ROW($R$1)+1 &lt;= 'FILL ME'!$E$10, TRUE, FALSE)</f>
        <v>1</v>
      </c>
    </row>
    <row r="159" spans="1:18" x14ac:dyDescent="0.25">
      <c r="A159" s="7" t="str">
        <f>'FILL ME'!$B$8</f>
        <v>Grab</v>
      </c>
      <c r="B159" t="str">
        <f>IF('FILL ME'!$B$3 = "", "", 'FILL ME'!$B$3)</f>
        <v>WWS</v>
      </c>
      <c r="C159" t="str">
        <f>IF('FILL ME'!$B$4 = "", "", 'FILL ME'!$B$4)</f>
        <v>SSFLAT</v>
      </c>
      <c r="D159" s="7" t="str">
        <f>TEXT('FILL ME'!$B$7,"yyyymmdd")</f>
        <v>20260319</v>
      </c>
      <c r="E159" s="8" t="str">
        <f t="shared" si="8"/>
        <v/>
      </c>
      <c r="F159" s="7">
        <f>IF('FILL ME'!$B$8="ISCO",'FILL ME'!$B$7+'FILL ME'!$B$12+('FILL ME'!$B$13*(G159-'FILL ME'!$B$14)),'FILL ME'!$B$7)</f>
        <v>46100</v>
      </c>
      <c r="G159" s="8">
        <v>14</v>
      </c>
      <c r="H159" s="2" t="str">
        <v>MCSN07</v>
      </c>
      <c r="I159" s="9" t="str">
        <f t="shared" si="9"/>
        <v>MCSN07_14</v>
      </c>
      <c r="J159" s="10" t="str">
        <f t="shared" si="10"/>
        <v>SSFLAT_MCSN07_20260319_14</v>
      </c>
      <c r="K159" s="10" t="str">
        <f t="shared" si="11"/>
        <v>SSFLAT_MCSN07_20260319_</v>
      </c>
      <c r="L159" t="b">
        <f>IF(ROW()-ROW($L$1)+1 &lt;= 'FILL ME'!$E$3, TRUE, FALSE)</f>
        <v>0</v>
      </c>
      <c r="M159" t="b">
        <f>IF(ROW()-ROW($M$1)+1 &lt;= 'FILL ME'!$E$4, TRUE, FALSE)</f>
        <v>1</v>
      </c>
      <c r="N159" t="b">
        <f>IF(ROW()-ROW($N$1)+1 &lt;= 'FILL ME'!$E$5, TRUE, FALSE)</f>
        <v>1</v>
      </c>
      <c r="O159" t="b">
        <f>IF(ROW()-ROW($O$1)+1 &lt;= 'FILL ME'!$E$6, TRUE, FALSE)</f>
        <v>1</v>
      </c>
      <c r="P159" t="b">
        <f>IF(ROW()-ROW($P$1)+1 &lt;= 'FILL ME'!$E$7, TRUE, FALSE)</f>
        <v>1</v>
      </c>
      <c r="Q159" t="b">
        <f>IF(ROW()-ROW($Q$1)+1 &lt;= 'FILL ME'!$E$8, TRUE, FALSE)</f>
        <v>1</v>
      </c>
      <c r="R159" t="b">
        <f>IF(ROW()-ROW($R$1)+1 &lt;= 'FILL ME'!$E$10, TRUE, FALSE)</f>
        <v>1</v>
      </c>
    </row>
    <row r="160" spans="1:18" x14ac:dyDescent="0.25">
      <c r="A160" s="7" t="str">
        <f>'FILL ME'!$B$8</f>
        <v>Grab</v>
      </c>
      <c r="B160" t="str">
        <f>IF('FILL ME'!$B$3 = "", "", 'FILL ME'!$B$3)</f>
        <v>WWS</v>
      </c>
      <c r="C160" t="str">
        <f>IF('FILL ME'!$B$4 = "", "", 'FILL ME'!$B$4)</f>
        <v>SSFLAT</v>
      </c>
      <c r="D160" s="7" t="str">
        <f>TEXT('FILL ME'!$B$7,"yyyymmdd")</f>
        <v>20260319</v>
      </c>
      <c r="E160" s="8" t="str">
        <f t="shared" si="8"/>
        <v/>
      </c>
      <c r="F160" s="7">
        <f>IF('FILL ME'!$B$8="ISCO",'FILL ME'!$B$7+'FILL ME'!$B$12+('FILL ME'!$B$13*(G160-'FILL ME'!$B$14)),'FILL ME'!$B$7)</f>
        <v>46100</v>
      </c>
      <c r="G160" s="8">
        <v>15</v>
      </c>
      <c r="H160" s="2" t="str">
        <v>MCSN07</v>
      </c>
      <c r="I160" s="9" t="str">
        <f t="shared" si="9"/>
        <v>MCSN07_15</v>
      </c>
      <c r="J160" s="10" t="str">
        <f t="shared" si="10"/>
        <v>SSFLAT_MCSN07_20260319_15</v>
      </c>
      <c r="K160" s="10" t="str">
        <f t="shared" si="11"/>
        <v>SSFLAT_MCSN07_20260319_</v>
      </c>
      <c r="L160" t="b">
        <f>IF(ROW()-ROW($L$1)+1 &lt;= 'FILL ME'!$E$3, TRUE, FALSE)</f>
        <v>0</v>
      </c>
      <c r="M160" t="b">
        <f>IF(ROW()-ROW($M$1)+1 &lt;= 'FILL ME'!$E$4, TRUE, FALSE)</f>
        <v>1</v>
      </c>
      <c r="N160" t="b">
        <f>IF(ROW()-ROW($N$1)+1 &lt;= 'FILL ME'!$E$5, TRUE, FALSE)</f>
        <v>1</v>
      </c>
      <c r="O160" t="b">
        <f>IF(ROW()-ROW($O$1)+1 &lt;= 'FILL ME'!$E$6, TRUE, FALSE)</f>
        <v>1</v>
      </c>
      <c r="P160" t="b">
        <f>IF(ROW()-ROW($P$1)+1 &lt;= 'FILL ME'!$E$7, TRUE, FALSE)</f>
        <v>1</v>
      </c>
      <c r="Q160" t="b">
        <f>IF(ROW()-ROW($Q$1)+1 &lt;= 'FILL ME'!$E$8, TRUE, FALSE)</f>
        <v>1</v>
      </c>
      <c r="R160" t="b">
        <f>IF(ROW()-ROW($R$1)+1 &lt;= 'FILL ME'!$E$10, TRUE, FALSE)</f>
        <v>1</v>
      </c>
    </row>
    <row r="161" spans="1:18" x14ac:dyDescent="0.25">
      <c r="A161" s="7" t="str">
        <f>'FILL ME'!$B$8</f>
        <v>Grab</v>
      </c>
      <c r="B161" t="str">
        <f>IF('FILL ME'!$B$3 = "", "", 'FILL ME'!$B$3)</f>
        <v>WWS</v>
      </c>
      <c r="C161" t="str">
        <f>IF('FILL ME'!$B$4 = "", "", 'FILL ME'!$B$4)</f>
        <v>SSFLAT</v>
      </c>
      <c r="D161" s="7" t="str">
        <f>TEXT('FILL ME'!$B$7,"yyyymmdd")</f>
        <v>20260319</v>
      </c>
      <c r="E161" s="8" t="str">
        <f t="shared" si="8"/>
        <v/>
      </c>
      <c r="F161" s="7">
        <f>IF('FILL ME'!$B$8="ISCO",'FILL ME'!$B$7+'FILL ME'!$B$12+('FILL ME'!$B$13*(G161-'FILL ME'!$B$14)),'FILL ME'!$B$7)</f>
        <v>46100</v>
      </c>
      <c r="G161" s="8">
        <v>16</v>
      </c>
      <c r="H161" s="2" t="str">
        <v>MCSN07</v>
      </c>
      <c r="I161" s="9" t="str">
        <f t="shared" si="9"/>
        <v>MCSN07_16</v>
      </c>
      <c r="J161" s="10" t="str">
        <f t="shared" si="10"/>
        <v>SSFLAT_MCSN07_20260319_16</v>
      </c>
      <c r="K161" s="10" t="str">
        <f t="shared" si="11"/>
        <v>SSFLAT_MCSN07_20260319_</v>
      </c>
      <c r="L161" t="b">
        <f>IF(ROW()-ROW($L$1)+1 &lt;= 'FILL ME'!$E$3, TRUE, FALSE)</f>
        <v>0</v>
      </c>
      <c r="M161" t="b">
        <f>IF(ROW()-ROW($M$1)+1 &lt;= 'FILL ME'!$E$4, TRUE, FALSE)</f>
        <v>1</v>
      </c>
      <c r="N161" t="b">
        <f>IF(ROW()-ROW($N$1)+1 &lt;= 'FILL ME'!$E$5, TRUE, FALSE)</f>
        <v>1</v>
      </c>
      <c r="O161" t="b">
        <f>IF(ROW()-ROW($O$1)+1 &lt;= 'FILL ME'!$E$6, TRUE, FALSE)</f>
        <v>1</v>
      </c>
      <c r="P161" t="b">
        <f>IF(ROW()-ROW($P$1)+1 &lt;= 'FILL ME'!$E$7, TRUE, FALSE)</f>
        <v>1</v>
      </c>
      <c r="Q161" t="b">
        <f>IF(ROW()-ROW($Q$1)+1 &lt;= 'FILL ME'!$E$8, TRUE, FALSE)</f>
        <v>1</v>
      </c>
      <c r="R161" t="b">
        <f>IF(ROW()-ROW($R$1)+1 &lt;= 'FILL ME'!$E$10, TRUE, FALSE)</f>
        <v>1</v>
      </c>
    </row>
    <row r="162" spans="1:18" x14ac:dyDescent="0.25">
      <c r="A162" s="7" t="str">
        <f>'FILL ME'!$B$8</f>
        <v>Grab</v>
      </c>
      <c r="B162" t="str">
        <f>IF('FILL ME'!$B$3 = "", "", 'FILL ME'!$B$3)</f>
        <v>WWS</v>
      </c>
      <c r="C162" t="str">
        <f>IF('FILL ME'!$B$4 = "", "", 'FILL ME'!$B$4)</f>
        <v>SSFLAT</v>
      </c>
      <c r="D162" s="7" t="str">
        <f>TEXT('FILL ME'!$B$7,"yyyymmdd")</f>
        <v>20260319</v>
      </c>
      <c r="E162" s="8" t="str">
        <f t="shared" si="8"/>
        <v/>
      </c>
      <c r="F162" s="7">
        <f>IF('FILL ME'!$B$8="ISCO",'FILL ME'!$B$7+'FILL ME'!$B$12+('FILL ME'!$B$13*(G162-'FILL ME'!$B$14)),'FILL ME'!$B$7)</f>
        <v>46100</v>
      </c>
      <c r="G162" s="8">
        <v>17</v>
      </c>
      <c r="H162" s="2" t="str">
        <v>MCSN07</v>
      </c>
      <c r="I162" s="9" t="str">
        <f t="shared" si="9"/>
        <v>MCSN07_17</v>
      </c>
      <c r="J162" s="10" t="str">
        <f t="shared" si="10"/>
        <v>SSFLAT_MCSN07_20260319_17</v>
      </c>
      <c r="K162" s="10" t="str">
        <f t="shared" si="11"/>
        <v>SSFLAT_MCSN07_20260319_</v>
      </c>
      <c r="L162" t="b">
        <f>IF(ROW()-ROW($L$1)+1 &lt;= 'FILL ME'!$E$3, TRUE, FALSE)</f>
        <v>0</v>
      </c>
      <c r="M162" t="b">
        <f>IF(ROW()-ROW($M$1)+1 &lt;= 'FILL ME'!$E$4, TRUE, FALSE)</f>
        <v>1</v>
      </c>
      <c r="N162" t="b">
        <f>IF(ROW()-ROW($N$1)+1 &lt;= 'FILL ME'!$E$5, TRUE, FALSE)</f>
        <v>1</v>
      </c>
      <c r="O162" t="b">
        <f>IF(ROW()-ROW($O$1)+1 &lt;= 'FILL ME'!$E$6, TRUE, FALSE)</f>
        <v>1</v>
      </c>
      <c r="P162" t="b">
        <f>IF(ROW()-ROW($P$1)+1 &lt;= 'FILL ME'!$E$7, TRUE, FALSE)</f>
        <v>1</v>
      </c>
      <c r="Q162" t="b">
        <f>IF(ROW()-ROW($Q$1)+1 &lt;= 'FILL ME'!$E$8, TRUE, FALSE)</f>
        <v>1</v>
      </c>
      <c r="R162" t="b">
        <f>IF(ROW()-ROW($R$1)+1 &lt;= 'FILL ME'!$E$10, TRUE, FALSE)</f>
        <v>1</v>
      </c>
    </row>
    <row r="163" spans="1:18" x14ac:dyDescent="0.25">
      <c r="A163" s="7" t="str">
        <f>'FILL ME'!$B$8</f>
        <v>Grab</v>
      </c>
      <c r="B163" t="str">
        <f>IF('FILL ME'!$B$3 = "", "", 'FILL ME'!$B$3)</f>
        <v>WWS</v>
      </c>
      <c r="C163" t="str">
        <f>IF('FILL ME'!$B$4 = "", "", 'FILL ME'!$B$4)</f>
        <v>SSFLAT</v>
      </c>
      <c r="D163" s="7" t="str">
        <f>TEXT('FILL ME'!$B$7,"yyyymmdd")</f>
        <v>20260319</v>
      </c>
      <c r="E163" s="8" t="str">
        <f t="shared" si="8"/>
        <v/>
      </c>
      <c r="F163" s="7">
        <f>IF('FILL ME'!$B$8="ISCO",'FILL ME'!$B$7+'FILL ME'!$B$12+('FILL ME'!$B$13*(G163-'FILL ME'!$B$14)),'FILL ME'!$B$7)</f>
        <v>46100</v>
      </c>
      <c r="G163" s="8">
        <v>18</v>
      </c>
      <c r="H163" s="2" t="str">
        <v>MCSN07</v>
      </c>
      <c r="I163" s="9" t="str">
        <f t="shared" si="9"/>
        <v>MCSN07_18</v>
      </c>
      <c r="J163" s="10" t="str">
        <f t="shared" si="10"/>
        <v>SSFLAT_MCSN07_20260319_18</v>
      </c>
      <c r="K163" s="10" t="str">
        <f t="shared" si="11"/>
        <v>SSFLAT_MCSN07_20260319_</v>
      </c>
      <c r="L163" t="b">
        <f>IF(ROW()-ROW($L$1)+1 &lt;= 'FILL ME'!$E$3, TRUE, FALSE)</f>
        <v>0</v>
      </c>
      <c r="M163" t="b">
        <f>IF(ROW()-ROW($M$1)+1 &lt;= 'FILL ME'!$E$4, TRUE, FALSE)</f>
        <v>1</v>
      </c>
      <c r="N163" t="b">
        <f>IF(ROW()-ROW($N$1)+1 &lt;= 'FILL ME'!$E$5, TRUE, FALSE)</f>
        <v>1</v>
      </c>
      <c r="O163" t="b">
        <f>IF(ROW()-ROW($O$1)+1 &lt;= 'FILL ME'!$E$6, TRUE, FALSE)</f>
        <v>1</v>
      </c>
      <c r="P163" t="b">
        <f>IF(ROW()-ROW($P$1)+1 &lt;= 'FILL ME'!$E$7, TRUE, FALSE)</f>
        <v>1</v>
      </c>
      <c r="Q163" t="b">
        <f>IF(ROW()-ROW($Q$1)+1 &lt;= 'FILL ME'!$E$8, TRUE, FALSE)</f>
        <v>1</v>
      </c>
      <c r="R163" t="b">
        <f>IF(ROW()-ROW($R$1)+1 &lt;= 'FILL ME'!$E$10, TRUE, FALSE)</f>
        <v>1</v>
      </c>
    </row>
    <row r="164" spans="1:18" x14ac:dyDescent="0.25">
      <c r="A164" s="7" t="str">
        <f>'FILL ME'!$B$8</f>
        <v>Grab</v>
      </c>
      <c r="B164" t="str">
        <f>IF('FILL ME'!$B$3 = "", "", 'FILL ME'!$B$3)</f>
        <v>WWS</v>
      </c>
      <c r="C164" t="str">
        <f>IF('FILL ME'!$B$4 = "", "", 'FILL ME'!$B$4)</f>
        <v>SSFLAT</v>
      </c>
      <c r="D164" s="7" t="str">
        <f>TEXT('FILL ME'!$B$7,"yyyymmdd")</f>
        <v>20260319</v>
      </c>
      <c r="E164" s="8" t="str">
        <f t="shared" si="8"/>
        <v/>
      </c>
      <c r="F164" s="7">
        <f>IF('FILL ME'!$B$8="ISCO",'FILL ME'!$B$7+'FILL ME'!$B$12+('FILL ME'!$B$13*(G164-'FILL ME'!$B$14)),'FILL ME'!$B$7)</f>
        <v>46100</v>
      </c>
      <c r="G164" s="8">
        <v>19</v>
      </c>
      <c r="H164" s="2" t="str">
        <v>MCSN07</v>
      </c>
      <c r="I164" s="9" t="str">
        <f t="shared" si="9"/>
        <v>MCSN07_19</v>
      </c>
      <c r="J164" s="10" t="str">
        <f t="shared" si="10"/>
        <v>SSFLAT_MCSN07_20260319_19</v>
      </c>
      <c r="K164" s="10" t="str">
        <f t="shared" si="11"/>
        <v>SSFLAT_MCSN07_20260319_</v>
      </c>
      <c r="L164" t="b">
        <f>IF(ROW()-ROW($L$1)+1 &lt;= 'FILL ME'!$E$3, TRUE, FALSE)</f>
        <v>0</v>
      </c>
      <c r="M164" t="b">
        <f>IF(ROW()-ROW($M$1)+1 &lt;= 'FILL ME'!$E$4, TRUE, FALSE)</f>
        <v>1</v>
      </c>
      <c r="N164" t="b">
        <f>IF(ROW()-ROW($N$1)+1 &lt;= 'FILL ME'!$E$5, TRUE, FALSE)</f>
        <v>1</v>
      </c>
      <c r="O164" t="b">
        <f>IF(ROW()-ROW($O$1)+1 &lt;= 'FILL ME'!$E$6, TRUE, FALSE)</f>
        <v>1</v>
      </c>
      <c r="P164" t="b">
        <f>IF(ROW()-ROW($P$1)+1 &lt;= 'FILL ME'!$E$7, TRUE, FALSE)</f>
        <v>1</v>
      </c>
      <c r="Q164" t="b">
        <f>IF(ROW()-ROW($Q$1)+1 &lt;= 'FILL ME'!$E$8, TRUE, FALSE)</f>
        <v>1</v>
      </c>
      <c r="R164" t="b">
        <f>IF(ROW()-ROW($R$1)+1 &lt;= 'FILL ME'!$E$10, TRUE, FALSE)</f>
        <v>1</v>
      </c>
    </row>
    <row r="165" spans="1:18" x14ac:dyDescent="0.25">
      <c r="A165" s="7" t="str">
        <f>'FILL ME'!$B$8</f>
        <v>Grab</v>
      </c>
      <c r="B165" t="str">
        <f>IF('FILL ME'!$B$3 = "", "", 'FILL ME'!$B$3)</f>
        <v>WWS</v>
      </c>
      <c r="C165" t="str">
        <f>IF('FILL ME'!$B$4 = "", "", 'FILL ME'!$B$4)</f>
        <v>SSFLAT</v>
      </c>
      <c r="D165" s="7" t="str">
        <f>TEXT('FILL ME'!$B$7,"yyyymmdd")</f>
        <v>20260319</v>
      </c>
      <c r="E165" s="8" t="str">
        <f t="shared" si="8"/>
        <v/>
      </c>
      <c r="F165" s="7">
        <f>IF('FILL ME'!$B$8="ISCO",'FILL ME'!$B$7+'FILL ME'!$B$12+('FILL ME'!$B$13*(G165-'FILL ME'!$B$14)),'FILL ME'!$B$7)</f>
        <v>46100</v>
      </c>
      <c r="G165" s="8">
        <v>20</v>
      </c>
      <c r="H165" s="2" t="str">
        <v>MCSN07</v>
      </c>
      <c r="I165" s="9" t="str">
        <f t="shared" si="9"/>
        <v>MCSN07_20</v>
      </c>
      <c r="J165" s="10" t="str">
        <f t="shared" si="10"/>
        <v>SSFLAT_MCSN07_20260319_20</v>
      </c>
      <c r="K165" s="10" t="str">
        <f t="shared" si="11"/>
        <v>SSFLAT_MCSN07_20260319_</v>
      </c>
      <c r="L165" t="b">
        <f>IF(ROW()-ROW($L$1)+1 &lt;= 'FILL ME'!$E$3, TRUE, FALSE)</f>
        <v>0</v>
      </c>
      <c r="M165" t="b">
        <f>IF(ROW()-ROW($M$1)+1 &lt;= 'FILL ME'!$E$4, TRUE, FALSE)</f>
        <v>1</v>
      </c>
      <c r="N165" t="b">
        <f>IF(ROW()-ROW($N$1)+1 &lt;= 'FILL ME'!$E$5, TRUE, FALSE)</f>
        <v>1</v>
      </c>
      <c r="O165" t="b">
        <f>IF(ROW()-ROW($O$1)+1 &lt;= 'FILL ME'!$E$6, TRUE, FALSE)</f>
        <v>1</v>
      </c>
      <c r="P165" t="b">
        <f>IF(ROW()-ROW($P$1)+1 &lt;= 'FILL ME'!$E$7, TRUE, FALSE)</f>
        <v>1</v>
      </c>
      <c r="Q165" t="b">
        <f>IF(ROW()-ROW($Q$1)+1 &lt;= 'FILL ME'!$E$8, TRUE, FALSE)</f>
        <v>1</v>
      </c>
      <c r="R165" t="b">
        <f>IF(ROW()-ROW($R$1)+1 &lt;= 'FILL ME'!$E$10, TRUE, FALSE)</f>
        <v>1</v>
      </c>
    </row>
    <row r="166" spans="1:18" x14ac:dyDescent="0.25">
      <c r="A166" s="7" t="str">
        <f>'FILL ME'!$B$8</f>
        <v>Grab</v>
      </c>
      <c r="B166" t="str">
        <f>IF('FILL ME'!$B$3 = "", "", 'FILL ME'!$B$3)</f>
        <v>WWS</v>
      </c>
      <c r="C166" t="str">
        <f>IF('FILL ME'!$B$4 = "", "", 'FILL ME'!$B$4)</f>
        <v>SSFLAT</v>
      </c>
      <c r="D166" s="7" t="str">
        <f>TEXT('FILL ME'!$B$7,"yyyymmdd")</f>
        <v>20260319</v>
      </c>
      <c r="E166" s="8" t="str">
        <f t="shared" si="8"/>
        <v/>
      </c>
      <c r="F166" s="7">
        <f>IF('FILL ME'!$B$8="ISCO",'FILL ME'!$B$7+'FILL ME'!$B$12+('FILL ME'!$B$13*(G166-'FILL ME'!$B$14)),'FILL ME'!$B$7)</f>
        <v>46100</v>
      </c>
      <c r="G166" s="8">
        <v>21</v>
      </c>
      <c r="H166" s="2" t="str">
        <v>MCSN07</v>
      </c>
      <c r="I166" s="9" t="str">
        <f t="shared" si="9"/>
        <v>MCSN07_21</v>
      </c>
      <c r="J166" s="10" t="str">
        <f t="shared" si="10"/>
        <v>SSFLAT_MCSN07_20260319_21</v>
      </c>
      <c r="K166" s="10" t="str">
        <f t="shared" si="11"/>
        <v>SSFLAT_MCSN07_20260319_</v>
      </c>
      <c r="L166" t="b">
        <f>IF(ROW()-ROW($L$1)+1 &lt;= 'FILL ME'!$E$3, TRUE, FALSE)</f>
        <v>0</v>
      </c>
      <c r="M166" t="b">
        <f>IF(ROW()-ROW($M$1)+1 &lt;= 'FILL ME'!$E$4, TRUE, FALSE)</f>
        <v>1</v>
      </c>
      <c r="N166" t="b">
        <f>IF(ROW()-ROW($N$1)+1 &lt;= 'FILL ME'!$E$5, TRUE, FALSE)</f>
        <v>1</v>
      </c>
      <c r="O166" t="b">
        <f>IF(ROW()-ROW($O$1)+1 &lt;= 'FILL ME'!$E$6, TRUE, FALSE)</f>
        <v>1</v>
      </c>
      <c r="P166" t="b">
        <f>IF(ROW()-ROW($P$1)+1 &lt;= 'FILL ME'!$E$7, TRUE, FALSE)</f>
        <v>1</v>
      </c>
      <c r="Q166" t="b">
        <f>IF(ROW()-ROW($Q$1)+1 &lt;= 'FILL ME'!$E$8, TRUE, FALSE)</f>
        <v>1</v>
      </c>
      <c r="R166" t="b">
        <f>IF(ROW()-ROW($R$1)+1 &lt;= 'FILL ME'!$E$10, TRUE, FALSE)</f>
        <v>1</v>
      </c>
    </row>
    <row r="167" spans="1:18" x14ac:dyDescent="0.25">
      <c r="A167" s="7" t="str">
        <f>'FILL ME'!$B$8</f>
        <v>Grab</v>
      </c>
      <c r="B167" t="str">
        <f>IF('FILL ME'!$B$3 = "", "", 'FILL ME'!$B$3)</f>
        <v>WWS</v>
      </c>
      <c r="C167" t="str">
        <f>IF('FILL ME'!$B$4 = "", "", 'FILL ME'!$B$4)</f>
        <v>SSFLAT</v>
      </c>
      <c r="D167" s="7" t="str">
        <f>TEXT('FILL ME'!$B$7,"yyyymmdd")</f>
        <v>20260319</v>
      </c>
      <c r="E167" s="8" t="str">
        <f t="shared" si="8"/>
        <v/>
      </c>
      <c r="F167" s="7">
        <f>IF('FILL ME'!$B$8="ISCO",'FILL ME'!$B$7+'FILL ME'!$B$12+('FILL ME'!$B$13*(G167-'FILL ME'!$B$14)),'FILL ME'!$B$7)</f>
        <v>46100</v>
      </c>
      <c r="G167" s="8">
        <v>22</v>
      </c>
      <c r="H167" s="2" t="str">
        <v>MCSN07</v>
      </c>
      <c r="I167" s="9" t="str">
        <f t="shared" si="9"/>
        <v>MCSN07_22</v>
      </c>
      <c r="J167" s="10" t="str">
        <f t="shared" si="10"/>
        <v>SSFLAT_MCSN07_20260319_22</v>
      </c>
      <c r="K167" s="10" t="str">
        <f t="shared" si="11"/>
        <v>SSFLAT_MCSN07_20260319_</v>
      </c>
      <c r="L167" t="b">
        <f>IF(ROW()-ROW($L$1)+1 &lt;= 'FILL ME'!$E$3, TRUE, FALSE)</f>
        <v>0</v>
      </c>
      <c r="M167" t="b">
        <f>IF(ROW()-ROW($M$1)+1 &lt;= 'FILL ME'!$E$4, TRUE, FALSE)</f>
        <v>1</v>
      </c>
      <c r="N167" t="b">
        <f>IF(ROW()-ROW($N$1)+1 &lt;= 'FILL ME'!$E$5, TRUE, FALSE)</f>
        <v>1</v>
      </c>
      <c r="O167" t="b">
        <f>IF(ROW()-ROW($O$1)+1 &lt;= 'FILL ME'!$E$6, TRUE, FALSE)</f>
        <v>1</v>
      </c>
      <c r="P167" t="b">
        <f>IF(ROW()-ROW($P$1)+1 &lt;= 'FILL ME'!$E$7, TRUE, FALSE)</f>
        <v>1</v>
      </c>
      <c r="Q167" t="b">
        <f>IF(ROW()-ROW($Q$1)+1 &lt;= 'FILL ME'!$E$8, TRUE, FALSE)</f>
        <v>1</v>
      </c>
      <c r="R167" t="b">
        <f>IF(ROW()-ROW($R$1)+1 &lt;= 'FILL ME'!$E$10, TRUE, FALSE)</f>
        <v>1</v>
      </c>
    </row>
    <row r="168" spans="1:18" x14ac:dyDescent="0.25">
      <c r="A168" s="7" t="str">
        <f>'FILL ME'!$B$8</f>
        <v>Grab</v>
      </c>
      <c r="B168" t="str">
        <f>IF('FILL ME'!$B$3 = "", "", 'FILL ME'!$B$3)</f>
        <v>WWS</v>
      </c>
      <c r="C168" t="str">
        <f>IF('FILL ME'!$B$4 = "", "", 'FILL ME'!$B$4)</f>
        <v>SSFLAT</v>
      </c>
      <c r="D168" s="7" t="str">
        <f>TEXT('FILL ME'!$B$7,"yyyymmdd")</f>
        <v>20260319</v>
      </c>
      <c r="E168" s="8" t="str">
        <f t="shared" si="8"/>
        <v/>
      </c>
      <c r="F168" s="7">
        <f>IF('FILL ME'!$B$8="ISCO",'FILL ME'!$B$7+'FILL ME'!$B$12+('FILL ME'!$B$13*(G168-'FILL ME'!$B$14)),'FILL ME'!$B$7)</f>
        <v>46100</v>
      </c>
      <c r="G168" s="8">
        <v>23</v>
      </c>
      <c r="H168" s="2" t="str">
        <v>MCSN07</v>
      </c>
      <c r="I168" s="9" t="str">
        <f t="shared" si="9"/>
        <v>MCSN07_23</v>
      </c>
      <c r="J168" s="10" t="str">
        <f t="shared" si="10"/>
        <v>SSFLAT_MCSN07_20260319_23</v>
      </c>
      <c r="K168" s="10" t="str">
        <f t="shared" si="11"/>
        <v>SSFLAT_MCSN07_20260319_</v>
      </c>
      <c r="L168" t="b">
        <f>IF(ROW()-ROW($L$1)+1 &lt;= 'FILL ME'!$E$3, TRUE, FALSE)</f>
        <v>0</v>
      </c>
      <c r="M168" t="b">
        <f>IF(ROW()-ROW($M$1)+1 &lt;= 'FILL ME'!$E$4, TRUE, FALSE)</f>
        <v>1</v>
      </c>
      <c r="N168" t="b">
        <f>IF(ROW()-ROW($N$1)+1 &lt;= 'FILL ME'!$E$5, TRUE, FALSE)</f>
        <v>1</v>
      </c>
      <c r="O168" t="b">
        <f>IF(ROW()-ROW($O$1)+1 &lt;= 'FILL ME'!$E$6, TRUE, FALSE)</f>
        <v>1</v>
      </c>
      <c r="P168" t="b">
        <f>IF(ROW()-ROW($P$1)+1 &lt;= 'FILL ME'!$E$7, TRUE, FALSE)</f>
        <v>1</v>
      </c>
      <c r="Q168" t="b">
        <f>IF(ROW()-ROW($Q$1)+1 &lt;= 'FILL ME'!$E$8, TRUE, FALSE)</f>
        <v>1</v>
      </c>
      <c r="R168" t="b">
        <f>IF(ROW()-ROW($R$1)+1 &lt;= 'FILL ME'!$E$10, TRUE, FALSE)</f>
        <v>1</v>
      </c>
    </row>
    <row r="169" spans="1:18" x14ac:dyDescent="0.25">
      <c r="A169" s="7" t="str">
        <f>'FILL ME'!$B$8</f>
        <v>Grab</v>
      </c>
      <c r="B169" t="str">
        <f>IF('FILL ME'!$B$3 = "", "", 'FILL ME'!$B$3)</f>
        <v>WWS</v>
      </c>
      <c r="C169" t="str">
        <f>IF('FILL ME'!$B$4 = "", "", 'FILL ME'!$B$4)</f>
        <v>SSFLAT</v>
      </c>
      <c r="D169" s="7" t="str">
        <f>TEXT('FILL ME'!$B$7,"yyyymmdd")</f>
        <v>20260319</v>
      </c>
      <c r="E169" s="8" t="str">
        <f t="shared" si="8"/>
        <v/>
      </c>
      <c r="F169" s="7">
        <f>IF('FILL ME'!$B$8="ISCO",'FILL ME'!$B$7+'FILL ME'!$B$12+('FILL ME'!$B$13*(G169-'FILL ME'!$B$14)),'FILL ME'!$B$7)</f>
        <v>46100</v>
      </c>
      <c r="G169" s="8">
        <v>24</v>
      </c>
      <c r="H169" s="2" t="str">
        <v>MCSN07</v>
      </c>
      <c r="I169" s="9" t="str">
        <f t="shared" si="9"/>
        <v>MCSN07_24</v>
      </c>
      <c r="J169" s="10" t="str">
        <f t="shared" si="10"/>
        <v>SSFLAT_MCSN07_20260319_24</v>
      </c>
      <c r="K169" s="10" t="str">
        <f t="shared" si="11"/>
        <v>SSFLAT_MCSN07_20260319_</v>
      </c>
      <c r="L169" t="b">
        <f>IF(ROW()-ROW($L$1)+1 &lt;= 'FILL ME'!$E$3, TRUE, FALSE)</f>
        <v>0</v>
      </c>
      <c r="M169" t="b">
        <f>IF(ROW()-ROW($M$1)+1 &lt;= 'FILL ME'!$E$4, TRUE, FALSE)</f>
        <v>1</v>
      </c>
      <c r="N169" t="b">
        <f>IF(ROW()-ROW($N$1)+1 &lt;= 'FILL ME'!$E$5, TRUE, FALSE)</f>
        <v>1</v>
      </c>
      <c r="O169" t="b">
        <f>IF(ROW()-ROW($O$1)+1 &lt;= 'FILL ME'!$E$6, TRUE, FALSE)</f>
        <v>1</v>
      </c>
      <c r="P169" t="b">
        <f>IF(ROW()-ROW($P$1)+1 &lt;= 'FILL ME'!$E$7, TRUE, FALSE)</f>
        <v>1</v>
      </c>
      <c r="Q169" t="b">
        <f>IF(ROW()-ROW($Q$1)+1 &lt;= 'FILL ME'!$E$8, TRUE, FALSE)</f>
        <v>1</v>
      </c>
      <c r="R169" t="b">
        <f>IF(ROW()-ROW($R$1)+1 &lt;= 'FILL ME'!$E$10, TRUE, FALSE)</f>
        <v>1</v>
      </c>
    </row>
    <row r="170" spans="1:18" x14ac:dyDescent="0.25">
      <c r="A170" s="7" t="str">
        <f>'FILL ME'!$B$8</f>
        <v>Grab</v>
      </c>
      <c r="B170" t="str">
        <f>IF('FILL ME'!$B$3 = "", "", 'FILL ME'!$B$3)</f>
        <v>WWS</v>
      </c>
      <c r="C170" t="str">
        <f>IF('FILL ME'!$B$4 = "", "", 'FILL ME'!$B$4)</f>
        <v>SSFLAT</v>
      </c>
      <c r="D170" s="7" t="str">
        <f>TEXT('FILL ME'!$B$7,"yyyymmdd")</f>
        <v>20260319</v>
      </c>
      <c r="E170" s="8" t="str">
        <f t="shared" si="8"/>
        <v/>
      </c>
      <c r="F170" s="7">
        <f>IF('FILL ME'!$B$8="ISCO",'FILL ME'!$B$7+'FILL ME'!$B$12+('FILL ME'!$B$13*(G170-'FILL ME'!$B$14)),'FILL ME'!$B$7)</f>
        <v>46100</v>
      </c>
      <c r="G170" s="8">
        <v>1</v>
      </c>
      <c r="H170" s="2" t="str">
        <v>MCSN08</v>
      </c>
      <c r="I170" s="9" t="str">
        <f t="shared" si="9"/>
        <v>MCSN08_01</v>
      </c>
      <c r="J170" s="10" t="str">
        <f t="shared" si="10"/>
        <v>SSFLAT_MCSN08_20260319_01</v>
      </c>
      <c r="K170" s="10" t="str">
        <f t="shared" si="11"/>
        <v>SSFLAT_MCSN08_20260319_</v>
      </c>
      <c r="L170" t="b">
        <f>IF(ROW()-ROW($L$1)+1 &lt;= 'FILL ME'!$E$3, TRUE, FALSE)</f>
        <v>0</v>
      </c>
      <c r="M170" t="b">
        <f>IF(ROW()-ROW($M$1)+1 &lt;= 'FILL ME'!$E$4, TRUE, FALSE)</f>
        <v>1</v>
      </c>
      <c r="N170" t="b">
        <f>IF(ROW()-ROW($N$1)+1 &lt;= 'FILL ME'!$E$5, TRUE, FALSE)</f>
        <v>1</v>
      </c>
      <c r="O170" t="b">
        <f>IF(ROW()-ROW($O$1)+1 &lt;= 'FILL ME'!$E$6, TRUE, FALSE)</f>
        <v>1</v>
      </c>
      <c r="P170" t="b">
        <f>IF(ROW()-ROW($P$1)+1 &lt;= 'FILL ME'!$E$7, TRUE, FALSE)</f>
        <v>1</v>
      </c>
      <c r="Q170" t="b">
        <f>IF(ROW()-ROW($Q$1)+1 &lt;= 'FILL ME'!$E$8, TRUE, FALSE)</f>
        <v>1</v>
      </c>
      <c r="R170" t="b">
        <f>IF(ROW()-ROW($R$1)+1 &lt;= 'FILL ME'!$E$10, TRUE, FALSE)</f>
        <v>1</v>
      </c>
    </row>
    <row r="171" spans="1:18" x14ac:dyDescent="0.25">
      <c r="A171" s="7" t="str">
        <f>'FILL ME'!$B$8</f>
        <v>Grab</v>
      </c>
      <c r="B171" t="str">
        <f>IF('FILL ME'!$B$3 = "", "", 'FILL ME'!$B$3)</f>
        <v>WWS</v>
      </c>
      <c r="C171" t="str">
        <f>IF('FILL ME'!$B$4 = "", "", 'FILL ME'!$B$4)</f>
        <v>SSFLAT</v>
      </c>
      <c r="D171" s="7" t="str">
        <f>TEXT('FILL ME'!$B$7,"yyyymmdd")</f>
        <v>20260319</v>
      </c>
      <c r="E171" s="8" t="str">
        <f t="shared" si="8"/>
        <v/>
      </c>
      <c r="F171" s="7">
        <f>IF('FILL ME'!$B$8="ISCO",'FILL ME'!$B$7+'FILL ME'!$B$12+('FILL ME'!$B$13*(G171-'FILL ME'!$B$14)),'FILL ME'!$B$7)</f>
        <v>46100</v>
      </c>
      <c r="G171" s="8">
        <v>2</v>
      </c>
      <c r="H171" s="2" t="str">
        <v>MCSN08</v>
      </c>
      <c r="I171" s="9" t="str">
        <f t="shared" si="9"/>
        <v>MCSN08_02</v>
      </c>
      <c r="J171" s="10" t="str">
        <f t="shared" si="10"/>
        <v>SSFLAT_MCSN08_20260319_02</v>
      </c>
      <c r="K171" s="10" t="str">
        <f t="shared" si="11"/>
        <v>SSFLAT_MCSN08_20260319_</v>
      </c>
      <c r="L171" t="b">
        <f>IF(ROW()-ROW($L$1)+1 &lt;= 'FILL ME'!$E$3, TRUE, FALSE)</f>
        <v>0</v>
      </c>
      <c r="M171" t="b">
        <f>IF(ROW()-ROW($M$1)+1 &lt;= 'FILL ME'!$E$4, TRUE, FALSE)</f>
        <v>1</v>
      </c>
      <c r="N171" t="b">
        <f>IF(ROW()-ROW($N$1)+1 &lt;= 'FILL ME'!$E$5, TRUE, FALSE)</f>
        <v>1</v>
      </c>
      <c r="O171" t="b">
        <f>IF(ROW()-ROW($O$1)+1 &lt;= 'FILL ME'!$E$6, TRUE, FALSE)</f>
        <v>1</v>
      </c>
      <c r="P171" t="b">
        <f>IF(ROW()-ROW($P$1)+1 &lt;= 'FILL ME'!$E$7, TRUE, FALSE)</f>
        <v>1</v>
      </c>
      <c r="Q171" t="b">
        <f>IF(ROW()-ROW($Q$1)+1 &lt;= 'FILL ME'!$E$8, TRUE, FALSE)</f>
        <v>1</v>
      </c>
      <c r="R171" t="b">
        <f>IF(ROW()-ROW($R$1)+1 &lt;= 'FILL ME'!$E$10, TRUE, FALSE)</f>
        <v>1</v>
      </c>
    </row>
    <row r="172" spans="1:18" x14ac:dyDescent="0.25">
      <c r="A172" s="7" t="str">
        <f>'FILL ME'!$B$8</f>
        <v>Grab</v>
      </c>
      <c r="B172" t="str">
        <f>IF('FILL ME'!$B$3 = "", "", 'FILL ME'!$B$3)</f>
        <v>WWS</v>
      </c>
      <c r="C172" t="str">
        <f>IF('FILL ME'!$B$4 = "", "", 'FILL ME'!$B$4)</f>
        <v>SSFLAT</v>
      </c>
      <c r="D172" s="7" t="str">
        <f>TEXT('FILL ME'!$B$7,"yyyymmdd")</f>
        <v>20260319</v>
      </c>
      <c r="E172" s="8" t="str">
        <f t="shared" si="8"/>
        <v/>
      </c>
      <c r="F172" s="7">
        <f>IF('FILL ME'!$B$8="ISCO",'FILL ME'!$B$7+'FILL ME'!$B$12+('FILL ME'!$B$13*(G172-'FILL ME'!$B$14)),'FILL ME'!$B$7)</f>
        <v>46100</v>
      </c>
      <c r="G172" s="8">
        <v>3</v>
      </c>
      <c r="H172" s="2" t="str">
        <v>MCSN08</v>
      </c>
      <c r="I172" s="9" t="str">
        <f t="shared" si="9"/>
        <v>MCSN08_03</v>
      </c>
      <c r="J172" s="10" t="str">
        <f t="shared" si="10"/>
        <v>SSFLAT_MCSN08_20260319_03</v>
      </c>
      <c r="K172" s="10" t="str">
        <f t="shared" si="11"/>
        <v>SSFLAT_MCSN08_20260319_</v>
      </c>
      <c r="L172" t="b">
        <f>IF(ROW()-ROW($L$1)+1 &lt;= 'FILL ME'!$E$3, TRUE, FALSE)</f>
        <v>0</v>
      </c>
      <c r="M172" t="b">
        <f>IF(ROW()-ROW($M$1)+1 &lt;= 'FILL ME'!$E$4, TRUE, FALSE)</f>
        <v>1</v>
      </c>
      <c r="N172" t="b">
        <f>IF(ROW()-ROW($N$1)+1 &lt;= 'FILL ME'!$E$5, TRUE, FALSE)</f>
        <v>1</v>
      </c>
      <c r="O172" t="b">
        <f>IF(ROW()-ROW($O$1)+1 &lt;= 'FILL ME'!$E$6, TRUE, FALSE)</f>
        <v>1</v>
      </c>
      <c r="P172" t="b">
        <f>IF(ROW()-ROW($P$1)+1 &lt;= 'FILL ME'!$E$7, TRUE, FALSE)</f>
        <v>1</v>
      </c>
      <c r="Q172" t="b">
        <f>IF(ROW()-ROW($Q$1)+1 &lt;= 'FILL ME'!$E$8, TRUE, FALSE)</f>
        <v>1</v>
      </c>
      <c r="R172" t="b">
        <f>IF(ROW()-ROW($R$1)+1 &lt;= 'FILL ME'!$E$10, TRUE, FALSE)</f>
        <v>1</v>
      </c>
    </row>
    <row r="173" spans="1:18" x14ac:dyDescent="0.25">
      <c r="A173" s="7" t="str">
        <f>'FILL ME'!$B$8</f>
        <v>Grab</v>
      </c>
      <c r="B173" t="str">
        <f>IF('FILL ME'!$B$3 = "", "", 'FILL ME'!$B$3)</f>
        <v>WWS</v>
      </c>
      <c r="C173" t="str">
        <f>IF('FILL ME'!$B$4 = "", "", 'FILL ME'!$B$4)</f>
        <v>SSFLAT</v>
      </c>
      <c r="D173" s="7" t="str">
        <f>TEXT('FILL ME'!$B$7,"yyyymmdd")</f>
        <v>20260319</v>
      </c>
      <c r="E173" s="8" t="str">
        <f t="shared" si="8"/>
        <v/>
      </c>
      <c r="F173" s="7">
        <f>IF('FILL ME'!$B$8="ISCO",'FILL ME'!$B$7+'FILL ME'!$B$12+('FILL ME'!$B$13*(G173-'FILL ME'!$B$14)),'FILL ME'!$B$7)</f>
        <v>46100</v>
      </c>
      <c r="G173" s="8">
        <v>4</v>
      </c>
      <c r="H173" s="2" t="str">
        <v>MCSN08</v>
      </c>
      <c r="I173" s="9" t="str">
        <f t="shared" si="9"/>
        <v>MCSN08_04</v>
      </c>
      <c r="J173" s="10" t="str">
        <f t="shared" si="10"/>
        <v>SSFLAT_MCSN08_20260319_04</v>
      </c>
      <c r="K173" s="10" t="str">
        <f t="shared" si="11"/>
        <v>SSFLAT_MCSN08_20260319_</v>
      </c>
      <c r="L173" t="b">
        <f>IF(ROW()-ROW($L$1)+1 &lt;= 'FILL ME'!$E$3, TRUE, FALSE)</f>
        <v>0</v>
      </c>
      <c r="M173" t="b">
        <f>IF(ROW()-ROW($M$1)+1 &lt;= 'FILL ME'!$E$4, TRUE, FALSE)</f>
        <v>1</v>
      </c>
      <c r="N173" t="b">
        <f>IF(ROW()-ROW($N$1)+1 &lt;= 'FILL ME'!$E$5, TRUE, FALSE)</f>
        <v>1</v>
      </c>
      <c r="O173" t="b">
        <f>IF(ROW()-ROW($O$1)+1 &lt;= 'FILL ME'!$E$6, TRUE, FALSE)</f>
        <v>1</v>
      </c>
      <c r="P173" t="b">
        <f>IF(ROW()-ROW($P$1)+1 &lt;= 'FILL ME'!$E$7, TRUE, FALSE)</f>
        <v>1</v>
      </c>
      <c r="Q173" t="b">
        <f>IF(ROW()-ROW($Q$1)+1 &lt;= 'FILL ME'!$E$8, TRUE, FALSE)</f>
        <v>1</v>
      </c>
      <c r="R173" t="b">
        <f>IF(ROW()-ROW($R$1)+1 &lt;= 'FILL ME'!$E$10, TRUE, FALSE)</f>
        <v>1</v>
      </c>
    </row>
    <row r="174" spans="1:18" x14ac:dyDescent="0.25">
      <c r="A174" s="7" t="str">
        <f>'FILL ME'!$B$8</f>
        <v>Grab</v>
      </c>
      <c r="B174" t="str">
        <f>IF('FILL ME'!$B$3 = "", "", 'FILL ME'!$B$3)</f>
        <v>WWS</v>
      </c>
      <c r="C174" t="str">
        <f>IF('FILL ME'!$B$4 = "", "", 'FILL ME'!$B$4)</f>
        <v>SSFLAT</v>
      </c>
      <c r="D174" s="7" t="str">
        <f>TEXT('FILL ME'!$B$7,"yyyymmdd")</f>
        <v>20260319</v>
      </c>
      <c r="E174" s="8" t="str">
        <f t="shared" si="8"/>
        <v/>
      </c>
      <c r="F174" s="7">
        <f>IF('FILL ME'!$B$8="ISCO",'FILL ME'!$B$7+'FILL ME'!$B$12+('FILL ME'!$B$13*(G174-'FILL ME'!$B$14)),'FILL ME'!$B$7)</f>
        <v>46100</v>
      </c>
      <c r="G174" s="8">
        <v>5</v>
      </c>
      <c r="H174" s="2" t="str">
        <v>MCSN08</v>
      </c>
      <c r="I174" s="9" t="str">
        <f t="shared" si="9"/>
        <v>MCSN08_05</v>
      </c>
      <c r="J174" s="10" t="str">
        <f t="shared" si="10"/>
        <v>SSFLAT_MCSN08_20260319_05</v>
      </c>
      <c r="K174" s="10" t="str">
        <f t="shared" si="11"/>
        <v>SSFLAT_MCSN08_20260319_</v>
      </c>
      <c r="L174" t="b">
        <f>IF(ROW()-ROW($L$1)+1 &lt;= 'FILL ME'!$E$3, TRUE, FALSE)</f>
        <v>0</v>
      </c>
      <c r="M174" t="b">
        <f>IF(ROW()-ROW($M$1)+1 &lt;= 'FILL ME'!$E$4, TRUE, FALSE)</f>
        <v>1</v>
      </c>
      <c r="N174" t="b">
        <f>IF(ROW()-ROW($N$1)+1 &lt;= 'FILL ME'!$E$5, TRUE, FALSE)</f>
        <v>1</v>
      </c>
      <c r="O174" t="b">
        <f>IF(ROW()-ROW($O$1)+1 &lt;= 'FILL ME'!$E$6, TRUE, FALSE)</f>
        <v>1</v>
      </c>
      <c r="P174" t="b">
        <f>IF(ROW()-ROW($P$1)+1 &lt;= 'FILL ME'!$E$7, TRUE, FALSE)</f>
        <v>1</v>
      </c>
      <c r="Q174" t="b">
        <f>IF(ROW()-ROW($Q$1)+1 &lt;= 'FILL ME'!$E$8, TRUE, FALSE)</f>
        <v>1</v>
      </c>
      <c r="R174" t="b">
        <f>IF(ROW()-ROW($R$1)+1 &lt;= 'FILL ME'!$E$10, TRUE, FALSE)</f>
        <v>1</v>
      </c>
    </row>
    <row r="175" spans="1:18" x14ac:dyDescent="0.25">
      <c r="A175" s="7" t="str">
        <f>'FILL ME'!$B$8</f>
        <v>Grab</v>
      </c>
      <c r="B175" t="str">
        <f>IF('FILL ME'!$B$3 = "", "", 'FILL ME'!$B$3)</f>
        <v>WWS</v>
      </c>
      <c r="C175" t="str">
        <f>IF('FILL ME'!$B$4 = "", "", 'FILL ME'!$B$4)</f>
        <v>SSFLAT</v>
      </c>
      <c r="D175" s="7" t="str">
        <f>TEXT('FILL ME'!$B$7,"yyyymmdd")</f>
        <v>20260319</v>
      </c>
      <c r="E175" s="8" t="str">
        <f t="shared" si="8"/>
        <v/>
      </c>
      <c r="F175" s="7">
        <f>IF('FILL ME'!$B$8="ISCO",'FILL ME'!$B$7+'FILL ME'!$B$12+('FILL ME'!$B$13*(G175-'FILL ME'!$B$14)),'FILL ME'!$B$7)</f>
        <v>46100</v>
      </c>
      <c r="G175" s="8">
        <v>6</v>
      </c>
      <c r="H175" s="2" t="str">
        <v>MCSN08</v>
      </c>
      <c r="I175" s="9" t="str">
        <f t="shared" si="9"/>
        <v>MCSN08_06</v>
      </c>
      <c r="J175" s="10" t="str">
        <f t="shared" si="10"/>
        <v>SSFLAT_MCSN08_20260319_06</v>
      </c>
      <c r="K175" s="10" t="str">
        <f t="shared" si="11"/>
        <v>SSFLAT_MCSN08_20260319_</v>
      </c>
      <c r="L175" t="b">
        <f>IF(ROW()-ROW($L$1)+1 &lt;= 'FILL ME'!$E$3, TRUE, FALSE)</f>
        <v>0</v>
      </c>
      <c r="M175" t="b">
        <f>IF(ROW()-ROW($M$1)+1 &lt;= 'FILL ME'!$E$4, TRUE, FALSE)</f>
        <v>1</v>
      </c>
      <c r="N175" t="b">
        <f>IF(ROW()-ROW($N$1)+1 &lt;= 'FILL ME'!$E$5, TRUE, FALSE)</f>
        <v>1</v>
      </c>
      <c r="O175" t="b">
        <f>IF(ROW()-ROW($O$1)+1 &lt;= 'FILL ME'!$E$6, TRUE, FALSE)</f>
        <v>1</v>
      </c>
      <c r="P175" t="b">
        <f>IF(ROW()-ROW($P$1)+1 &lt;= 'FILL ME'!$E$7, TRUE, FALSE)</f>
        <v>1</v>
      </c>
      <c r="Q175" t="b">
        <f>IF(ROW()-ROW($Q$1)+1 &lt;= 'FILL ME'!$E$8, TRUE, FALSE)</f>
        <v>1</v>
      </c>
      <c r="R175" t="b">
        <f>IF(ROW()-ROW($R$1)+1 &lt;= 'FILL ME'!$E$10, TRUE, FALSE)</f>
        <v>1</v>
      </c>
    </row>
    <row r="176" spans="1:18" x14ac:dyDescent="0.25">
      <c r="A176" s="7" t="str">
        <f>'FILL ME'!$B$8</f>
        <v>Grab</v>
      </c>
      <c r="B176" t="str">
        <f>IF('FILL ME'!$B$3 = "", "", 'FILL ME'!$B$3)</f>
        <v>WWS</v>
      </c>
      <c r="C176" t="str">
        <f>IF('FILL ME'!$B$4 = "", "", 'FILL ME'!$B$4)</f>
        <v>SSFLAT</v>
      </c>
      <c r="D176" s="7" t="str">
        <f>TEXT('FILL ME'!$B$7,"yyyymmdd")</f>
        <v>20260319</v>
      </c>
      <c r="E176" s="8" t="str">
        <f t="shared" si="8"/>
        <v/>
      </c>
      <c r="F176" s="7">
        <f>IF('FILL ME'!$B$8="ISCO",'FILL ME'!$B$7+'FILL ME'!$B$12+('FILL ME'!$B$13*(G176-'FILL ME'!$B$14)),'FILL ME'!$B$7)</f>
        <v>46100</v>
      </c>
      <c r="G176" s="8">
        <v>7</v>
      </c>
      <c r="H176" s="2" t="str">
        <v>MCSN08</v>
      </c>
      <c r="I176" s="9" t="str">
        <f t="shared" si="9"/>
        <v>MCSN08_07</v>
      </c>
      <c r="J176" s="10" t="str">
        <f t="shared" si="10"/>
        <v>SSFLAT_MCSN08_20260319_07</v>
      </c>
      <c r="K176" s="10" t="str">
        <f t="shared" si="11"/>
        <v>SSFLAT_MCSN08_20260319_</v>
      </c>
      <c r="L176" t="b">
        <f>IF(ROW()-ROW($L$1)+1 &lt;= 'FILL ME'!$E$3, TRUE, FALSE)</f>
        <v>0</v>
      </c>
      <c r="M176" t="b">
        <f>IF(ROW()-ROW($M$1)+1 &lt;= 'FILL ME'!$E$4, TRUE, FALSE)</f>
        <v>1</v>
      </c>
      <c r="N176" t="b">
        <f>IF(ROW()-ROW($N$1)+1 &lt;= 'FILL ME'!$E$5, TRUE, FALSE)</f>
        <v>1</v>
      </c>
      <c r="O176" t="b">
        <f>IF(ROW()-ROW($O$1)+1 &lt;= 'FILL ME'!$E$6, TRUE, FALSE)</f>
        <v>1</v>
      </c>
      <c r="P176" t="b">
        <f>IF(ROW()-ROW($P$1)+1 &lt;= 'FILL ME'!$E$7, TRUE, FALSE)</f>
        <v>1</v>
      </c>
      <c r="Q176" t="b">
        <f>IF(ROW()-ROW($Q$1)+1 &lt;= 'FILL ME'!$E$8, TRUE, FALSE)</f>
        <v>1</v>
      </c>
      <c r="R176" t="b">
        <f>IF(ROW()-ROW($R$1)+1 &lt;= 'FILL ME'!$E$10, TRUE, FALSE)</f>
        <v>1</v>
      </c>
    </row>
    <row r="177" spans="1:18" x14ac:dyDescent="0.25">
      <c r="A177" s="7" t="str">
        <f>'FILL ME'!$B$8</f>
        <v>Grab</v>
      </c>
      <c r="B177" t="str">
        <f>IF('FILL ME'!$B$3 = "", "", 'FILL ME'!$B$3)</f>
        <v>WWS</v>
      </c>
      <c r="C177" t="str">
        <f>IF('FILL ME'!$B$4 = "", "", 'FILL ME'!$B$4)</f>
        <v>SSFLAT</v>
      </c>
      <c r="D177" s="7" t="str">
        <f>TEXT('FILL ME'!$B$7,"yyyymmdd")</f>
        <v>20260319</v>
      </c>
      <c r="E177" s="8" t="str">
        <f t="shared" si="8"/>
        <v/>
      </c>
      <c r="F177" s="7">
        <f>IF('FILL ME'!$B$8="ISCO",'FILL ME'!$B$7+'FILL ME'!$B$12+('FILL ME'!$B$13*(G177-'FILL ME'!$B$14)),'FILL ME'!$B$7)</f>
        <v>46100</v>
      </c>
      <c r="G177" s="8">
        <v>8</v>
      </c>
      <c r="H177" s="2" t="str">
        <v>MCSN08</v>
      </c>
      <c r="I177" s="9" t="str">
        <f t="shared" si="9"/>
        <v>MCSN08_08</v>
      </c>
      <c r="J177" s="10" t="str">
        <f t="shared" si="10"/>
        <v>SSFLAT_MCSN08_20260319_08</v>
      </c>
      <c r="K177" s="10" t="str">
        <f t="shared" si="11"/>
        <v>SSFLAT_MCSN08_20260319_</v>
      </c>
      <c r="L177" t="b">
        <f>IF(ROW()-ROW($L$1)+1 &lt;= 'FILL ME'!$E$3, TRUE, FALSE)</f>
        <v>0</v>
      </c>
      <c r="M177" t="b">
        <f>IF(ROW()-ROW($M$1)+1 &lt;= 'FILL ME'!$E$4, TRUE, FALSE)</f>
        <v>1</v>
      </c>
      <c r="N177" t="b">
        <f>IF(ROW()-ROW($N$1)+1 &lt;= 'FILL ME'!$E$5, TRUE, FALSE)</f>
        <v>1</v>
      </c>
      <c r="O177" t="b">
        <f>IF(ROW()-ROW($O$1)+1 &lt;= 'FILL ME'!$E$6, TRUE, FALSE)</f>
        <v>1</v>
      </c>
      <c r="P177" t="b">
        <f>IF(ROW()-ROW($P$1)+1 &lt;= 'FILL ME'!$E$7, TRUE, FALSE)</f>
        <v>1</v>
      </c>
      <c r="Q177" t="b">
        <f>IF(ROW()-ROW($Q$1)+1 &lt;= 'FILL ME'!$E$8, TRUE, FALSE)</f>
        <v>1</v>
      </c>
      <c r="R177" t="b">
        <f>IF(ROW()-ROW($R$1)+1 &lt;= 'FILL ME'!$E$10, TRUE, FALSE)</f>
        <v>1</v>
      </c>
    </row>
    <row r="178" spans="1:18" x14ac:dyDescent="0.25">
      <c r="A178" s="7" t="str">
        <f>'FILL ME'!$B$8</f>
        <v>Grab</v>
      </c>
      <c r="B178" t="str">
        <f>IF('FILL ME'!$B$3 = "", "", 'FILL ME'!$B$3)</f>
        <v>WWS</v>
      </c>
      <c r="C178" t="str">
        <f>IF('FILL ME'!$B$4 = "", "", 'FILL ME'!$B$4)</f>
        <v>SSFLAT</v>
      </c>
      <c r="D178" s="7" t="str">
        <f>TEXT('FILL ME'!$B$7,"yyyymmdd")</f>
        <v>20260319</v>
      </c>
      <c r="E178" s="8" t="str">
        <f t="shared" si="8"/>
        <v/>
      </c>
      <c r="F178" s="7">
        <f>IF('FILL ME'!$B$8="ISCO",'FILL ME'!$B$7+'FILL ME'!$B$12+('FILL ME'!$B$13*(G178-'FILL ME'!$B$14)),'FILL ME'!$B$7)</f>
        <v>46100</v>
      </c>
      <c r="G178" s="8">
        <v>9</v>
      </c>
      <c r="H178" s="2" t="str">
        <v>MCSN08</v>
      </c>
      <c r="I178" s="9" t="str">
        <f t="shared" si="9"/>
        <v>MCSN08_09</v>
      </c>
      <c r="J178" s="10" t="str">
        <f t="shared" si="10"/>
        <v>SSFLAT_MCSN08_20260319_09</v>
      </c>
      <c r="K178" s="10" t="str">
        <f t="shared" si="11"/>
        <v>SSFLAT_MCSN08_20260319_</v>
      </c>
      <c r="L178" t="b">
        <f>IF(ROW()-ROW($L$1)+1 &lt;= 'FILL ME'!$E$3, TRUE, FALSE)</f>
        <v>0</v>
      </c>
      <c r="M178" t="b">
        <f>IF(ROW()-ROW($M$1)+1 &lt;= 'FILL ME'!$E$4, TRUE, FALSE)</f>
        <v>1</v>
      </c>
      <c r="N178" t="b">
        <f>IF(ROW()-ROW($N$1)+1 &lt;= 'FILL ME'!$E$5, TRUE, FALSE)</f>
        <v>1</v>
      </c>
      <c r="O178" t="b">
        <f>IF(ROW()-ROW($O$1)+1 &lt;= 'FILL ME'!$E$6, TRUE, FALSE)</f>
        <v>1</v>
      </c>
      <c r="P178" t="b">
        <f>IF(ROW()-ROW($P$1)+1 &lt;= 'FILL ME'!$E$7, TRUE, FALSE)</f>
        <v>1</v>
      </c>
      <c r="Q178" t="b">
        <f>IF(ROW()-ROW($Q$1)+1 &lt;= 'FILL ME'!$E$8, TRUE, FALSE)</f>
        <v>1</v>
      </c>
      <c r="R178" t="b">
        <f>IF(ROW()-ROW($R$1)+1 &lt;= 'FILL ME'!$E$10, TRUE, FALSE)</f>
        <v>1</v>
      </c>
    </row>
    <row r="179" spans="1:18" x14ac:dyDescent="0.25">
      <c r="A179" s="7" t="str">
        <f>'FILL ME'!$B$8</f>
        <v>Grab</v>
      </c>
      <c r="B179" t="str">
        <f>IF('FILL ME'!$B$3 = "", "", 'FILL ME'!$B$3)</f>
        <v>WWS</v>
      </c>
      <c r="C179" t="str">
        <f>IF('FILL ME'!$B$4 = "", "", 'FILL ME'!$B$4)</f>
        <v>SSFLAT</v>
      </c>
      <c r="D179" s="7" t="str">
        <f>TEXT('FILL ME'!$B$7,"yyyymmdd")</f>
        <v>20260319</v>
      </c>
      <c r="E179" s="8" t="str">
        <f t="shared" si="8"/>
        <v/>
      </c>
      <c r="F179" s="7">
        <f>IF('FILL ME'!$B$8="ISCO",'FILL ME'!$B$7+'FILL ME'!$B$12+('FILL ME'!$B$13*(G179-'FILL ME'!$B$14)),'FILL ME'!$B$7)</f>
        <v>46100</v>
      </c>
      <c r="G179" s="8">
        <v>10</v>
      </c>
      <c r="H179" s="2" t="str">
        <v>MCSN08</v>
      </c>
      <c r="I179" s="9" t="str">
        <f t="shared" si="9"/>
        <v>MCSN08_10</v>
      </c>
      <c r="J179" s="10" t="str">
        <f t="shared" si="10"/>
        <v>SSFLAT_MCSN08_20260319_10</v>
      </c>
      <c r="K179" s="10" t="str">
        <f t="shared" si="11"/>
        <v>SSFLAT_MCSN08_20260319_</v>
      </c>
      <c r="L179" t="b">
        <f>IF(ROW()-ROW($L$1)+1 &lt;= 'FILL ME'!$E$3, TRUE, FALSE)</f>
        <v>0</v>
      </c>
      <c r="M179" t="b">
        <f>IF(ROW()-ROW($M$1)+1 &lt;= 'FILL ME'!$E$4, TRUE, FALSE)</f>
        <v>1</v>
      </c>
      <c r="N179" t="b">
        <f>IF(ROW()-ROW($N$1)+1 &lt;= 'FILL ME'!$E$5, TRUE, FALSE)</f>
        <v>1</v>
      </c>
      <c r="O179" t="b">
        <f>IF(ROW()-ROW($O$1)+1 &lt;= 'FILL ME'!$E$6, TRUE, FALSE)</f>
        <v>1</v>
      </c>
      <c r="P179" t="b">
        <f>IF(ROW()-ROW($P$1)+1 &lt;= 'FILL ME'!$E$7, TRUE, FALSE)</f>
        <v>1</v>
      </c>
      <c r="Q179" t="b">
        <f>IF(ROW()-ROW($Q$1)+1 &lt;= 'FILL ME'!$E$8, TRUE, FALSE)</f>
        <v>1</v>
      </c>
      <c r="R179" t="b">
        <f>IF(ROW()-ROW($R$1)+1 &lt;= 'FILL ME'!$E$10, TRUE, FALSE)</f>
        <v>1</v>
      </c>
    </row>
    <row r="180" spans="1:18" x14ac:dyDescent="0.25">
      <c r="A180" s="7" t="str">
        <f>'FILL ME'!$B$8</f>
        <v>Grab</v>
      </c>
      <c r="B180" t="str">
        <f>IF('FILL ME'!$B$3 = "", "", 'FILL ME'!$B$3)</f>
        <v>WWS</v>
      </c>
      <c r="C180" t="str">
        <f>IF('FILL ME'!$B$4 = "", "", 'FILL ME'!$B$4)</f>
        <v>SSFLAT</v>
      </c>
      <c r="D180" s="7" t="str">
        <f>TEXT('FILL ME'!$B$7,"yyyymmdd")</f>
        <v>20260319</v>
      </c>
      <c r="E180" s="8" t="str">
        <f t="shared" si="8"/>
        <v/>
      </c>
      <c r="F180" s="7">
        <f>IF('FILL ME'!$B$8="ISCO",'FILL ME'!$B$7+'FILL ME'!$B$12+('FILL ME'!$B$13*(G180-'FILL ME'!$B$14)),'FILL ME'!$B$7)</f>
        <v>46100</v>
      </c>
      <c r="G180" s="8">
        <v>11</v>
      </c>
      <c r="H180" s="2" t="str">
        <v>MCSN08</v>
      </c>
      <c r="I180" s="9" t="str">
        <f t="shared" si="9"/>
        <v>MCSN08_11</v>
      </c>
      <c r="J180" s="10" t="str">
        <f t="shared" si="10"/>
        <v>SSFLAT_MCSN08_20260319_11</v>
      </c>
      <c r="K180" s="10" t="str">
        <f t="shared" si="11"/>
        <v>SSFLAT_MCSN08_20260319_</v>
      </c>
      <c r="L180" t="b">
        <f>IF(ROW()-ROW($L$1)+1 &lt;= 'FILL ME'!$E$3, TRUE, FALSE)</f>
        <v>0</v>
      </c>
      <c r="M180" t="b">
        <f>IF(ROW()-ROW($M$1)+1 &lt;= 'FILL ME'!$E$4, TRUE, FALSE)</f>
        <v>1</v>
      </c>
      <c r="N180" t="b">
        <f>IF(ROW()-ROW($N$1)+1 &lt;= 'FILL ME'!$E$5, TRUE, FALSE)</f>
        <v>1</v>
      </c>
      <c r="O180" t="b">
        <f>IF(ROW()-ROW($O$1)+1 &lt;= 'FILL ME'!$E$6, TRUE, FALSE)</f>
        <v>1</v>
      </c>
      <c r="P180" t="b">
        <f>IF(ROW()-ROW($P$1)+1 &lt;= 'FILL ME'!$E$7, TRUE, FALSE)</f>
        <v>1</v>
      </c>
      <c r="Q180" t="b">
        <f>IF(ROW()-ROW($Q$1)+1 &lt;= 'FILL ME'!$E$8, TRUE, FALSE)</f>
        <v>1</v>
      </c>
      <c r="R180" t="b">
        <f>IF(ROW()-ROW($R$1)+1 &lt;= 'FILL ME'!$E$10, TRUE, FALSE)</f>
        <v>1</v>
      </c>
    </row>
    <row r="181" spans="1:18" x14ac:dyDescent="0.25">
      <c r="A181" s="7" t="str">
        <f>'FILL ME'!$B$8</f>
        <v>Grab</v>
      </c>
      <c r="B181" t="str">
        <f>IF('FILL ME'!$B$3 = "", "", 'FILL ME'!$B$3)</f>
        <v>WWS</v>
      </c>
      <c r="C181" t="str">
        <f>IF('FILL ME'!$B$4 = "", "", 'FILL ME'!$B$4)</f>
        <v>SSFLAT</v>
      </c>
      <c r="D181" s="7" t="str">
        <f>TEXT('FILL ME'!$B$7,"yyyymmdd")</f>
        <v>20260319</v>
      </c>
      <c r="E181" s="8" t="str">
        <f t="shared" si="8"/>
        <v/>
      </c>
      <c r="F181" s="7">
        <f>IF('FILL ME'!$B$8="ISCO",'FILL ME'!$B$7+'FILL ME'!$B$12+('FILL ME'!$B$13*(G181-'FILL ME'!$B$14)),'FILL ME'!$B$7)</f>
        <v>46100</v>
      </c>
      <c r="G181" s="8">
        <v>12</v>
      </c>
      <c r="H181" s="2" t="str">
        <v>MCSN08</v>
      </c>
      <c r="I181" s="9" t="str">
        <f t="shared" si="9"/>
        <v>MCSN08_12</v>
      </c>
      <c r="J181" s="10" t="str">
        <f t="shared" si="10"/>
        <v>SSFLAT_MCSN08_20260319_12</v>
      </c>
      <c r="K181" s="10" t="str">
        <f t="shared" si="11"/>
        <v>SSFLAT_MCSN08_20260319_</v>
      </c>
      <c r="L181" t="b">
        <f>IF(ROW()-ROW($L$1)+1 &lt;= 'FILL ME'!$E$3, TRUE, FALSE)</f>
        <v>0</v>
      </c>
      <c r="M181" t="b">
        <f>IF(ROW()-ROW($M$1)+1 &lt;= 'FILL ME'!$E$4, TRUE, FALSE)</f>
        <v>1</v>
      </c>
      <c r="N181" t="b">
        <f>IF(ROW()-ROW($N$1)+1 &lt;= 'FILL ME'!$E$5, TRUE, FALSE)</f>
        <v>1</v>
      </c>
      <c r="O181" t="b">
        <f>IF(ROW()-ROW($O$1)+1 &lt;= 'FILL ME'!$E$6, TRUE, FALSE)</f>
        <v>1</v>
      </c>
      <c r="P181" t="b">
        <f>IF(ROW()-ROW($P$1)+1 &lt;= 'FILL ME'!$E$7, TRUE, FALSE)</f>
        <v>1</v>
      </c>
      <c r="Q181" t="b">
        <f>IF(ROW()-ROW($Q$1)+1 &lt;= 'FILL ME'!$E$8, TRUE, FALSE)</f>
        <v>1</v>
      </c>
      <c r="R181" t="b">
        <f>IF(ROW()-ROW($R$1)+1 &lt;= 'FILL ME'!$E$10, TRUE, FALSE)</f>
        <v>1</v>
      </c>
    </row>
    <row r="182" spans="1:18" x14ac:dyDescent="0.25">
      <c r="A182" s="7" t="str">
        <f>'FILL ME'!$B$8</f>
        <v>Grab</v>
      </c>
      <c r="B182" t="str">
        <f>IF('FILL ME'!$B$3 = "", "", 'FILL ME'!$B$3)</f>
        <v>WWS</v>
      </c>
      <c r="C182" t="str">
        <f>IF('FILL ME'!$B$4 = "", "", 'FILL ME'!$B$4)</f>
        <v>SSFLAT</v>
      </c>
      <c r="D182" s="7" t="str">
        <f>TEXT('FILL ME'!$B$7,"yyyymmdd")</f>
        <v>20260319</v>
      </c>
      <c r="E182" s="8" t="str">
        <f t="shared" si="8"/>
        <v/>
      </c>
      <c r="F182" s="7">
        <f>IF('FILL ME'!$B$8="ISCO",'FILL ME'!$B$7+'FILL ME'!$B$12+('FILL ME'!$B$13*(G182-'FILL ME'!$B$14)),'FILL ME'!$B$7)</f>
        <v>46100</v>
      </c>
      <c r="G182" s="8">
        <v>13</v>
      </c>
      <c r="H182" s="2" t="str">
        <v>MCSN08</v>
      </c>
      <c r="I182" s="9" t="str">
        <f t="shared" si="9"/>
        <v>MCSN08_13</v>
      </c>
      <c r="J182" s="10" t="str">
        <f t="shared" si="10"/>
        <v>SSFLAT_MCSN08_20260319_13</v>
      </c>
      <c r="K182" s="10" t="str">
        <f t="shared" si="11"/>
        <v>SSFLAT_MCSN08_20260319_</v>
      </c>
      <c r="L182" t="b">
        <f>IF(ROW()-ROW($L$1)+1 &lt;= 'FILL ME'!$E$3, TRUE, FALSE)</f>
        <v>0</v>
      </c>
      <c r="M182" t="b">
        <f>IF(ROW()-ROW($M$1)+1 &lt;= 'FILL ME'!$E$4, TRUE, FALSE)</f>
        <v>1</v>
      </c>
      <c r="N182" t="b">
        <f>IF(ROW()-ROW($N$1)+1 &lt;= 'FILL ME'!$E$5, TRUE, FALSE)</f>
        <v>1</v>
      </c>
      <c r="O182" t="b">
        <f>IF(ROW()-ROW($O$1)+1 &lt;= 'FILL ME'!$E$6, TRUE, FALSE)</f>
        <v>1</v>
      </c>
      <c r="P182" t="b">
        <f>IF(ROW()-ROW($P$1)+1 &lt;= 'FILL ME'!$E$7, TRUE, FALSE)</f>
        <v>1</v>
      </c>
      <c r="Q182" t="b">
        <f>IF(ROW()-ROW($Q$1)+1 &lt;= 'FILL ME'!$E$8, TRUE, FALSE)</f>
        <v>1</v>
      </c>
      <c r="R182" t="b">
        <f>IF(ROW()-ROW($R$1)+1 &lt;= 'FILL ME'!$E$10, TRUE, FALSE)</f>
        <v>1</v>
      </c>
    </row>
    <row r="183" spans="1:18" x14ac:dyDescent="0.25">
      <c r="A183" s="7" t="str">
        <f>'FILL ME'!$B$8</f>
        <v>Grab</v>
      </c>
      <c r="B183" t="str">
        <f>IF('FILL ME'!$B$3 = "", "", 'FILL ME'!$B$3)</f>
        <v>WWS</v>
      </c>
      <c r="C183" t="str">
        <f>IF('FILL ME'!$B$4 = "", "", 'FILL ME'!$B$4)</f>
        <v>SSFLAT</v>
      </c>
      <c r="D183" s="7" t="str">
        <f>TEXT('FILL ME'!$B$7,"yyyymmdd")</f>
        <v>20260319</v>
      </c>
      <c r="E183" s="8" t="str">
        <f t="shared" si="8"/>
        <v/>
      </c>
      <c r="F183" s="7">
        <f>IF('FILL ME'!$B$8="ISCO",'FILL ME'!$B$7+'FILL ME'!$B$12+('FILL ME'!$B$13*(G183-'FILL ME'!$B$14)),'FILL ME'!$B$7)</f>
        <v>46100</v>
      </c>
      <c r="G183" s="8">
        <v>14</v>
      </c>
      <c r="H183" s="2" t="str">
        <v>MCSN08</v>
      </c>
      <c r="I183" s="9" t="str">
        <f t="shared" si="9"/>
        <v>MCSN08_14</v>
      </c>
      <c r="J183" s="10" t="str">
        <f t="shared" si="10"/>
        <v>SSFLAT_MCSN08_20260319_14</v>
      </c>
      <c r="K183" s="10" t="str">
        <f t="shared" si="11"/>
        <v>SSFLAT_MCSN08_20260319_</v>
      </c>
      <c r="L183" t="b">
        <f>IF(ROW()-ROW($L$1)+1 &lt;= 'FILL ME'!$E$3, TRUE, FALSE)</f>
        <v>0</v>
      </c>
      <c r="M183" t="b">
        <f>IF(ROW()-ROW($M$1)+1 &lt;= 'FILL ME'!$E$4, TRUE, FALSE)</f>
        <v>1</v>
      </c>
      <c r="N183" t="b">
        <f>IF(ROW()-ROW($N$1)+1 &lt;= 'FILL ME'!$E$5, TRUE, FALSE)</f>
        <v>1</v>
      </c>
      <c r="O183" t="b">
        <f>IF(ROW()-ROW($O$1)+1 &lt;= 'FILL ME'!$E$6, TRUE, FALSE)</f>
        <v>1</v>
      </c>
      <c r="P183" t="b">
        <f>IF(ROW()-ROW($P$1)+1 &lt;= 'FILL ME'!$E$7, TRUE, FALSE)</f>
        <v>1</v>
      </c>
      <c r="Q183" t="b">
        <f>IF(ROW()-ROW($Q$1)+1 &lt;= 'FILL ME'!$E$8, TRUE, FALSE)</f>
        <v>1</v>
      </c>
      <c r="R183" t="b">
        <f>IF(ROW()-ROW($R$1)+1 &lt;= 'FILL ME'!$E$10, TRUE, FALSE)</f>
        <v>1</v>
      </c>
    </row>
    <row r="184" spans="1:18" x14ac:dyDescent="0.25">
      <c r="A184" s="7" t="str">
        <f>'FILL ME'!$B$8</f>
        <v>Grab</v>
      </c>
      <c r="B184" t="str">
        <f>IF('FILL ME'!$B$3 = "", "", 'FILL ME'!$B$3)</f>
        <v>WWS</v>
      </c>
      <c r="C184" t="str">
        <f>IF('FILL ME'!$B$4 = "", "", 'FILL ME'!$B$4)</f>
        <v>SSFLAT</v>
      </c>
      <c r="D184" s="7" t="str">
        <f>TEXT('FILL ME'!$B$7,"yyyymmdd")</f>
        <v>20260319</v>
      </c>
      <c r="E184" s="8" t="str">
        <f t="shared" si="8"/>
        <v/>
      </c>
      <c r="F184" s="7">
        <f>IF('FILL ME'!$B$8="ISCO",'FILL ME'!$B$7+'FILL ME'!$B$12+('FILL ME'!$B$13*(G184-'FILL ME'!$B$14)),'FILL ME'!$B$7)</f>
        <v>46100</v>
      </c>
      <c r="G184" s="8">
        <v>15</v>
      </c>
      <c r="H184" s="2" t="str">
        <v>MCSN08</v>
      </c>
      <c r="I184" s="9" t="str">
        <f t="shared" si="9"/>
        <v>MCSN08_15</v>
      </c>
      <c r="J184" s="10" t="str">
        <f t="shared" si="10"/>
        <v>SSFLAT_MCSN08_20260319_15</v>
      </c>
      <c r="K184" s="10" t="str">
        <f t="shared" si="11"/>
        <v>SSFLAT_MCSN08_20260319_</v>
      </c>
      <c r="L184" t="b">
        <f>IF(ROW()-ROW($L$1)+1 &lt;= 'FILL ME'!$E$3, TRUE, FALSE)</f>
        <v>0</v>
      </c>
      <c r="M184" t="b">
        <f>IF(ROW()-ROW($M$1)+1 &lt;= 'FILL ME'!$E$4, TRUE, FALSE)</f>
        <v>1</v>
      </c>
      <c r="N184" t="b">
        <f>IF(ROW()-ROW($N$1)+1 &lt;= 'FILL ME'!$E$5, TRUE, FALSE)</f>
        <v>1</v>
      </c>
      <c r="O184" t="b">
        <f>IF(ROW()-ROW($O$1)+1 &lt;= 'FILL ME'!$E$6, TRUE, FALSE)</f>
        <v>1</v>
      </c>
      <c r="P184" t="b">
        <f>IF(ROW()-ROW($P$1)+1 &lt;= 'FILL ME'!$E$7, TRUE, FALSE)</f>
        <v>1</v>
      </c>
      <c r="Q184" t="b">
        <f>IF(ROW()-ROW($Q$1)+1 &lt;= 'FILL ME'!$E$8, TRUE, FALSE)</f>
        <v>1</v>
      </c>
      <c r="R184" t="b">
        <f>IF(ROW()-ROW($R$1)+1 &lt;= 'FILL ME'!$E$10, TRUE, FALSE)</f>
        <v>1</v>
      </c>
    </row>
    <row r="185" spans="1:18" x14ac:dyDescent="0.25">
      <c r="A185" s="7" t="str">
        <f>'FILL ME'!$B$8</f>
        <v>Grab</v>
      </c>
      <c r="B185" t="str">
        <f>IF('FILL ME'!$B$3 = "", "", 'FILL ME'!$B$3)</f>
        <v>WWS</v>
      </c>
      <c r="C185" t="str">
        <f>IF('FILL ME'!$B$4 = "", "", 'FILL ME'!$B$4)</f>
        <v>SSFLAT</v>
      </c>
      <c r="D185" s="7" t="str">
        <f>TEXT('FILL ME'!$B$7,"yyyymmdd")</f>
        <v>20260319</v>
      </c>
      <c r="E185" s="8" t="str">
        <f t="shared" si="8"/>
        <v/>
      </c>
      <c r="F185" s="7">
        <f>IF('FILL ME'!$B$8="ISCO",'FILL ME'!$B$7+'FILL ME'!$B$12+('FILL ME'!$B$13*(G185-'FILL ME'!$B$14)),'FILL ME'!$B$7)</f>
        <v>46100</v>
      </c>
      <c r="G185" s="8">
        <v>16</v>
      </c>
      <c r="H185" s="2" t="str">
        <v>MCSN08</v>
      </c>
      <c r="I185" s="9" t="str">
        <f t="shared" si="9"/>
        <v>MCSN08_16</v>
      </c>
      <c r="J185" s="10" t="str">
        <f t="shared" si="10"/>
        <v>SSFLAT_MCSN08_20260319_16</v>
      </c>
      <c r="K185" s="10" t="str">
        <f t="shared" si="11"/>
        <v>SSFLAT_MCSN08_20260319_</v>
      </c>
      <c r="L185" t="b">
        <f>IF(ROW()-ROW($L$1)+1 &lt;= 'FILL ME'!$E$3, TRUE, FALSE)</f>
        <v>0</v>
      </c>
      <c r="M185" t="b">
        <f>IF(ROW()-ROW($M$1)+1 &lt;= 'FILL ME'!$E$4, TRUE, FALSE)</f>
        <v>1</v>
      </c>
      <c r="N185" t="b">
        <f>IF(ROW()-ROW($N$1)+1 &lt;= 'FILL ME'!$E$5, TRUE, FALSE)</f>
        <v>1</v>
      </c>
      <c r="O185" t="b">
        <f>IF(ROW()-ROW($O$1)+1 &lt;= 'FILL ME'!$E$6, TRUE, FALSE)</f>
        <v>1</v>
      </c>
      <c r="P185" t="b">
        <f>IF(ROW()-ROW($P$1)+1 &lt;= 'FILL ME'!$E$7, TRUE, FALSE)</f>
        <v>1</v>
      </c>
      <c r="Q185" t="b">
        <f>IF(ROW()-ROW($Q$1)+1 &lt;= 'FILL ME'!$E$8, TRUE, FALSE)</f>
        <v>1</v>
      </c>
      <c r="R185" t="b">
        <f>IF(ROW()-ROW($R$1)+1 &lt;= 'FILL ME'!$E$10, TRUE, FALSE)</f>
        <v>1</v>
      </c>
    </row>
    <row r="186" spans="1:18" x14ac:dyDescent="0.25">
      <c r="A186" s="7" t="str">
        <f>'FILL ME'!$B$8</f>
        <v>Grab</v>
      </c>
      <c r="B186" t="str">
        <f>IF('FILL ME'!$B$3 = "", "", 'FILL ME'!$B$3)</f>
        <v>WWS</v>
      </c>
      <c r="C186" t="str">
        <f>IF('FILL ME'!$B$4 = "", "", 'FILL ME'!$B$4)</f>
        <v>SSFLAT</v>
      </c>
      <c r="D186" s="7" t="str">
        <f>TEXT('FILL ME'!$B$7,"yyyymmdd")</f>
        <v>20260319</v>
      </c>
      <c r="E186" s="8" t="str">
        <f t="shared" si="8"/>
        <v/>
      </c>
      <c r="F186" s="7">
        <f>IF('FILL ME'!$B$8="ISCO",'FILL ME'!$B$7+'FILL ME'!$B$12+('FILL ME'!$B$13*(G186-'FILL ME'!$B$14)),'FILL ME'!$B$7)</f>
        <v>46100</v>
      </c>
      <c r="G186" s="8">
        <v>17</v>
      </c>
      <c r="H186" s="2" t="str">
        <v>MCSN08</v>
      </c>
      <c r="I186" s="9" t="str">
        <f t="shared" si="9"/>
        <v>MCSN08_17</v>
      </c>
      <c r="J186" s="10" t="str">
        <f t="shared" si="10"/>
        <v>SSFLAT_MCSN08_20260319_17</v>
      </c>
      <c r="K186" s="10" t="str">
        <f t="shared" si="11"/>
        <v>SSFLAT_MCSN08_20260319_</v>
      </c>
      <c r="L186" t="b">
        <f>IF(ROW()-ROW($L$1)+1 &lt;= 'FILL ME'!$E$3, TRUE, FALSE)</f>
        <v>0</v>
      </c>
      <c r="M186" t="b">
        <f>IF(ROW()-ROW($M$1)+1 &lt;= 'FILL ME'!$E$4, TRUE, FALSE)</f>
        <v>1</v>
      </c>
      <c r="N186" t="b">
        <f>IF(ROW()-ROW($N$1)+1 &lt;= 'FILL ME'!$E$5, TRUE, FALSE)</f>
        <v>1</v>
      </c>
      <c r="O186" t="b">
        <f>IF(ROW()-ROW($O$1)+1 &lt;= 'FILL ME'!$E$6, TRUE, FALSE)</f>
        <v>1</v>
      </c>
      <c r="P186" t="b">
        <f>IF(ROW()-ROW($P$1)+1 &lt;= 'FILL ME'!$E$7, TRUE, FALSE)</f>
        <v>1</v>
      </c>
      <c r="Q186" t="b">
        <f>IF(ROW()-ROW($Q$1)+1 &lt;= 'FILL ME'!$E$8, TRUE, FALSE)</f>
        <v>1</v>
      </c>
      <c r="R186" t="b">
        <f>IF(ROW()-ROW($R$1)+1 &lt;= 'FILL ME'!$E$10, TRUE, FALSE)</f>
        <v>1</v>
      </c>
    </row>
    <row r="187" spans="1:18" x14ac:dyDescent="0.25">
      <c r="A187" s="7" t="str">
        <f>'FILL ME'!$B$8</f>
        <v>Grab</v>
      </c>
      <c r="B187" t="str">
        <f>IF('FILL ME'!$B$3 = "", "", 'FILL ME'!$B$3)</f>
        <v>WWS</v>
      </c>
      <c r="C187" t="str">
        <f>IF('FILL ME'!$B$4 = "", "", 'FILL ME'!$B$4)</f>
        <v>SSFLAT</v>
      </c>
      <c r="D187" s="7" t="str">
        <f>TEXT('FILL ME'!$B$7,"yyyymmdd")</f>
        <v>20260319</v>
      </c>
      <c r="E187" s="8" t="str">
        <f t="shared" si="8"/>
        <v/>
      </c>
      <c r="F187" s="7">
        <f>IF('FILL ME'!$B$8="ISCO",'FILL ME'!$B$7+'FILL ME'!$B$12+('FILL ME'!$B$13*(G187-'FILL ME'!$B$14)),'FILL ME'!$B$7)</f>
        <v>46100</v>
      </c>
      <c r="G187" s="8">
        <v>18</v>
      </c>
      <c r="H187" s="2" t="str">
        <v>MCSN08</v>
      </c>
      <c r="I187" s="9" t="str">
        <f t="shared" si="9"/>
        <v>MCSN08_18</v>
      </c>
      <c r="J187" s="10" t="str">
        <f t="shared" si="10"/>
        <v>SSFLAT_MCSN08_20260319_18</v>
      </c>
      <c r="K187" s="10" t="str">
        <f t="shared" si="11"/>
        <v>SSFLAT_MCSN08_20260319_</v>
      </c>
      <c r="L187" t="b">
        <f>IF(ROW()-ROW($L$1)+1 &lt;= 'FILL ME'!$E$3, TRUE, FALSE)</f>
        <v>0</v>
      </c>
      <c r="M187" t="b">
        <f>IF(ROW()-ROW($M$1)+1 &lt;= 'FILL ME'!$E$4, TRUE, FALSE)</f>
        <v>1</v>
      </c>
      <c r="N187" t="b">
        <f>IF(ROW()-ROW($N$1)+1 &lt;= 'FILL ME'!$E$5, TRUE, FALSE)</f>
        <v>1</v>
      </c>
      <c r="O187" t="b">
        <f>IF(ROW()-ROW($O$1)+1 &lt;= 'FILL ME'!$E$6, TRUE, FALSE)</f>
        <v>1</v>
      </c>
      <c r="P187" t="b">
        <f>IF(ROW()-ROW($P$1)+1 &lt;= 'FILL ME'!$E$7, TRUE, FALSE)</f>
        <v>1</v>
      </c>
      <c r="Q187" t="b">
        <f>IF(ROW()-ROW($Q$1)+1 &lt;= 'FILL ME'!$E$8, TRUE, FALSE)</f>
        <v>1</v>
      </c>
      <c r="R187" t="b">
        <f>IF(ROW()-ROW($R$1)+1 &lt;= 'FILL ME'!$E$10, TRUE, FALSE)</f>
        <v>1</v>
      </c>
    </row>
    <row r="188" spans="1:18" x14ac:dyDescent="0.25">
      <c r="A188" s="7" t="str">
        <f>'FILL ME'!$B$8</f>
        <v>Grab</v>
      </c>
      <c r="B188" t="str">
        <f>IF('FILL ME'!$B$3 = "", "", 'FILL ME'!$B$3)</f>
        <v>WWS</v>
      </c>
      <c r="C188" t="str">
        <f>IF('FILL ME'!$B$4 = "", "", 'FILL ME'!$B$4)</f>
        <v>SSFLAT</v>
      </c>
      <c r="D188" s="7" t="str">
        <f>TEXT('FILL ME'!$B$7,"yyyymmdd")</f>
        <v>20260319</v>
      </c>
      <c r="E188" s="8" t="str">
        <f t="shared" si="8"/>
        <v/>
      </c>
      <c r="F188" s="7">
        <f>IF('FILL ME'!$B$8="ISCO",'FILL ME'!$B$7+'FILL ME'!$B$12+('FILL ME'!$B$13*(G188-'FILL ME'!$B$14)),'FILL ME'!$B$7)</f>
        <v>46100</v>
      </c>
      <c r="G188" s="8">
        <v>19</v>
      </c>
      <c r="H188" s="2" t="str">
        <v>MCSN08</v>
      </c>
      <c r="I188" s="9" t="str">
        <f t="shared" si="9"/>
        <v>MCSN08_19</v>
      </c>
      <c r="J188" s="10" t="str">
        <f t="shared" si="10"/>
        <v>SSFLAT_MCSN08_20260319_19</v>
      </c>
      <c r="K188" s="10" t="str">
        <f t="shared" si="11"/>
        <v>SSFLAT_MCSN08_20260319_</v>
      </c>
      <c r="L188" t="b">
        <f>IF(ROW()-ROW($L$1)+1 &lt;= 'FILL ME'!$E$3, TRUE, FALSE)</f>
        <v>0</v>
      </c>
      <c r="M188" t="b">
        <f>IF(ROW()-ROW($M$1)+1 &lt;= 'FILL ME'!$E$4, TRUE, FALSE)</f>
        <v>1</v>
      </c>
      <c r="N188" t="b">
        <f>IF(ROW()-ROW($N$1)+1 &lt;= 'FILL ME'!$E$5, TRUE, FALSE)</f>
        <v>1</v>
      </c>
      <c r="O188" t="b">
        <f>IF(ROW()-ROW($O$1)+1 &lt;= 'FILL ME'!$E$6, TRUE, FALSE)</f>
        <v>1</v>
      </c>
      <c r="P188" t="b">
        <f>IF(ROW()-ROW($P$1)+1 &lt;= 'FILL ME'!$E$7, TRUE, FALSE)</f>
        <v>1</v>
      </c>
      <c r="Q188" t="b">
        <f>IF(ROW()-ROW($Q$1)+1 &lt;= 'FILL ME'!$E$8, TRUE, FALSE)</f>
        <v>1</v>
      </c>
      <c r="R188" t="b">
        <f>IF(ROW()-ROW($R$1)+1 &lt;= 'FILL ME'!$E$10, TRUE, FALSE)</f>
        <v>1</v>
      </c>
    </row>
    <row r="189" spans="1:18" x14ac:dyDescent="0.25">
      <c r="A189" s="7" t="str">
        <f>'FILL ME'!$B$8</f>
        <v>Grab</v>
      </c>
      <c r="B189" t="str">
        <f>IF('FILL ME'!$B$3 = "", "", 'FILL ME'!$B$3)</f>
        <v>WWS</v>
      </c>
      <c r="C189" t="str">
        <f>IF('FILL ME'!$B$4 = "", "", 'FILL ME'!$B$4)</f>
        <v>SSFLAT</v>
      </c>
      <c r="D189" s="7" t="str">
        <f>TEXT('FILL ME'!$B$7,"yyyymmdd")</f>
        <v>20260319</v>
      </c>
      <c r="E189" s="8" t="str">
        <f t="shared" si="8"/>
        <v/>
      </c>
      <c r="F189" s="7">
        <f>IF('FILL ME'!$B$8="ISCO",'FILL ME'!$B$7+'FILL ME'!$B$12+('FILL ME'!$B$13*(G189-'FILL ME'!$B$14)),'FILL ME'!$B$7)</f>
        <v>46100</v>
      </c>
      <c r="G189" s="8">
        <v>20</v>
      </c>
      <c r="H189" s="2" t="str">
        <v>MCSN08</v>
      </c>
      <c r="I189" s="9" t="str">
        <f t="shared" si="9"/>
        <v>MCSN08_20</v>
      </c>
      <c r="J189" s="10" t="str">
        <f t="shared" si="10"/>
        <v>SSFLAT_MCSN08_20260319_20</v>
      </c>
      <c r="K189" s="10" t="str">
        <f t="shared" si="11"/>
        <v>SSFLAT_MCSN08_20260319_</v>
      </c>
      <c r="L189" t="b">
        <f>IF(ROW()-ROW($L$1)+1 &lt;= 'FILL ME'!$E$3, TRUE, FALSE)</f>
        <v>0</v>
      </c>
      <c r="M189" t="b">
        <f>IF(ROW()-ROW($M$1)+1 &lt;= 'FILL ME'!$E$4, TRUE, FALSE)</f>
        <v>1</v>
      </c>
      <c r="N189" t="b">
        <f>IF(ROW()-ROW($N$1)+1 &lt;= 'FILL ME'!$E$5, TRUE, FALSE)</f>
        <v>1</v>
      </c>
      <c r="O189" t="b">
        <f>IF(ROW()-ROW($O$1)+1 &lt;= 'FILL ME'!$E$6, TRUE, FALSE)</f>
        <v>1</v>
      </c>
      <c r="P189" t="b">
        <f>IF(ROW()-ROW($P$1)+1 &lt;= 'FILL ME'!$E$7, TRUE, FALSE)</f>
        <v>1</v>
      </c>
      <c r="Q189" t="b">
        <f>IF(ROW()-ROW($Q$1)+1 &lt;= 'FILL ME'!$E$8, TRUE, FALSE)</f>
        <v>1</v>
      </c>
      <c r="R189" t="b">
        <f>IF(ROW()-ROW($R$1)+1 &lt;= 'FILL ME'!$E$10, TRUE, FALSE)</f>
        <v>1</v>
      </c>
    </row>
    <row r="190" spans="1:18" x14ac:dyDescent="0.25">
      <c r="A190" s="7" t="str">
        <f>'FILL ME'!$B$8</f>
        <v>Grab</v>
      </c>
      <c r="B190" t="str">
        <f>IF('FILL ME'!$B$3 = "", "", 'FILL ME'!$B$3)</f>
        <v>WWS</v>
      </c>
      <c r="C190" t="str">
        <f>IF('FILL ME'!$B$4 = "", "", 'FILL ME'!$B$4)</f>
        <v>SSFLAT</v>
      </c>
      <c r="D190" s="7" t="str">
        <f>TEXT('FILL ME'!$B$7,"yyyymmdd")</f>
        <v>20260319</v>
      </c>
      <c r="E190" s="8" t="str">
        <f t="shared" si="8"/>
        <v/>
      </c>
      <c r="F190" s="7">
        <f>IF('FILL ME'!$B$8="ISCO",'FILL ME'!$B$7+'FILL ME'!$B$12+('FILL ME'!$B$13*(G190-'FILL ME'!$B$14)),'FILL ME'!$B$7)</f>
        <v>46100</v>
      </c>
      <c r="G190" s="8">
        <v>21</v>
      </c>
      <c r="H190" s="2" t="str">
        <v>MCSN08</v>
      </c>
      <c r="I190" s="9" t="str">
        <f t="shared" si="9"/>
        <v>MCSN08_21</v>
      </c>
      <c r="J190" s="10" t="str">
        <f t="shared" si="10"/>
        <v>SSFLAT_MCSN08_20260319_21</v>
      </c>
      <c r="K190" s="10" t="str">
        <f t="shared" si="11"/>
        <v>SSFLAT_MCSN08_20260319_</v>
      </c>
      <c r="L190" t="b">
        <f>IF(ROW()-ROW($L$1)+1 &lt;= 'FILL ME'!$E$3, TRUE, FALSE)</f>
        <v>0</v>
      </c>
      <c r="M190" t="b">
        <f>IF(ROW()-ROW($M$1)+1 &lt;= 'FILL ME'!$E$4, TRUE, FALSE)</f>
        <v>1</v>
      </c>
      <c r="N190" t="b">
        <f>IF(ROW()-ROW($N$1)+1 &lt;= 'FILL ME'!$E$5, TRUE, FALSE)</f>
        <v>1</v>
      </c>
      <c r="O190" t="b">
        <f>IF(ROW()-ROW($O$1)+1 &lt;= 'FILL ME'!$E$6, TRUE, FALSE)</f>
        <v>1</v>
      </c>
      <c r="P190" t="b">
        <f>IF(ROW()-ROW($P$1)+1 &lt;= 'FILL ME'!$E$7, TRUE, FALSE)</f>
        <v>1</v>
      </c>
      <c r="Q190" t="b">
        <f>IF(ROW()-ROW($Q$1)+1 &lt;= 'FILL ME'!$E$8, TRUE, FALSE)</f>
        <v>1</v>
      </c>
      <c r="R190" t="b">
        <f>IF(ROW()-ROW($R$1)+1 &lt;= 'FILL ME'!$E$10, TRUE, FALSE)</f>
        <v>1</v>
      </c>
    </row>
    <row r="191" spans="1:18" x14ac:dyDescent="0.25">
      <c r="A191" s="7" t="str">
        <f>'FILL ME'!$B$8</f>
        <v>Grab</v>
      </c>
      <c r="B191" t="str">
        <f>IF('FILL ME'!$B$3 = "", "", 'FILL ME'!$B$3)</f>
        <v>WWS</v>
      </c>
      <c r="C191" t="str">
        <f>IF('FILL ME'!$B$4 = "", "", 'FILL ME'!$B$4)</f>
        <v>SSFLAT</v>
      </c>
      <c r="D191" s="7" t="str">
        <f>TEXT('FILL ME'!$B$7,"yyyymmdd")</f>
        <v>20260319</v>
      </c>
      <c r="E191" s="8" t="str">
        <f t="shared" si="8"/>
        <v/>
      </c>
      <c r="F191" s="7">
        <f>IF('FILL ME'!$B$8="ISCO",'FILL ME'!$B$7+'FILL ME'!$B$12+('FILL ME'!$B$13*(G191-'FILL ME'!$B$14)),'FILL ME'!$B$7)</f>
        <v>46100</v>
      </c>
      <c r="G191" s="8">
        <v>22</v>
      </c>
      <c r="H191" s="2" t="str">
        <v>MCSN08</v>
      </c>
      <c r="I191" s="9" t="str">
        <f t="shared" si="9"/>
        <v>MCSN08_22</v>
      </c>
      <c r="J191" s="10" t="str">
        <f t="shared" si="10"/>
        <v>SSFLAT_MCSN08_20260319_22</v>
      </c>
      <c r="K191" s="10" t="str">
        <f t="shared" si="11"/>
        <v>SSFLAT_MCSN08_20260319_</v>
      </c>
      <c r="L191" t="b">
        <f>IF(ROW()-ROW($L$1)+1 &lt;= 'FILL ME'!$E$3, TRUE, FALSE)</f>
        <v>0</v>
      </c>
      <c r="M191" t="b">
        <f>IF(ROW()-ROW($M$1)+1 &lt;= 'FILL ME'!$E$4, TRUE, FALSE)</f>
        <v>1</v>
      </c>
      <c r="N191" t="b">
        <f>IF(ROW()-ROW($N$1)+1 &lt;= 'FILL ME'!$E$5, TRUE, FALSE)</f>
        <v>1</v>
      </c>
      <c r="O191" t="b">
        <f>IF(ROW()-ROW($O$1)+1 &lt;= 'FILL ME'!$E$6, TRUE, FALSE)</f>
        <v>1</v>
      </c>
      <c r="P191" t="b">
        <f>IF(ROW()-ROW($P$1)+1 &lt;= 'FILL ME'!$E$7, TRUE, FALSE)</f>
        <v>1</v>
      </c>
      <c r="Q191" t="b">
        <f>IF(ROW()-ROW($Q$1)+1 &lt;= 'FILL ME'!$E$8, TRUE, FALSE)</f>
        <v>1</v>
      </c>
      <c r="R191" t="b">
        <f>IF(ROW()-ROW($R$1)+1 &lt;= 'FILL ME'!$E$10, TRUE, FALSE)</f>
        <v>1</v>
      </c>
    </row>
    <row r="192" spans="1:18" x14ac:dyDescent="0.25">
      <c r="A192" s="7" t="str">
        <f>'FILL ME'!$B$8</f>
        <v>Grab</v>
      </c>
      <c r="B192" t="str">
        <f>IF('FILL ME'!$B$3 = "", "", 'FILL ME'!$B$3)</f>
        <v>WWS</v>
      </c>
      <c r="C192" t="str">
        <f>IF('FILL ME'!$B$4 = "", "", 'FILL ME'!$B$4)</f>
        <v>SSFLAT</v>
      </c>
      <c r="D192" s="7" t="str">
        <f>TEXT('FILL ME'!$B$7,"yyyymmdd")</f>
        <v>20260319</v>
      </c>
      <c r="E192" s="8" t="str">
        <f t="shared" si="8"/>
        <v/>
      </c>
      <c r="F192" s="7">
        <f>IF('FILL ME'!$B$8="ISCO",'FILL ME'!$B$7+'FILL ME'!$B$12+('FILL ME'!$B$13*(G192-'FILL ME'!$B$14)),'FILL ME'!$B$7)</f>
        <v>46100</v>
      </c>
      <c r="G192" s="8">
        <v>23</v>
      </c>
      <c r="H192" s="2" t="str">
        <v>MCSN08</v>
      </c>
      <c r="I192" s="9" t="str">
        <f t="shared" si="9"/>
        <v>MCSN08_23</v>
      </c>
      <c r="J192" s="10" t="str">
        <f t="shared" si="10"/>
        <v>SSFLAT_MCSN08_20260319_23</v>
      </c>
      <c r="K192" s="10" t="str">
        <f t="shared" si="11"/>
        <v>SSFLAT_MCSN08_20260319_</v>
      </c>
      <c r="L192" t="b">
        <f>IF(ROW()-ROW($L$1)+1 &lt;= 'FILL ME'!$E$3, TRUE, FALSE)</f>
        <v>0</v>
      </c>
      <c r="M192" t="b">
        <f>IF(ROW()-ROW($M$1)+1 &lt;= 'FILL ME'!$E$4, TRUE, FALSE)</f>
        <v>1</v>
      </c>
      <c r="N192" t="b">
        <f>IF(ROW()-ROW($N$1)+1 &lt;= 'FILL ME'!$E$5, TRUE, FALSE)</f>
        <v>1</v>
      </c>
      <c r="O192" t="b">
        <f>IF(ROW()-ROW($O$1)+1 &lt;= 'FILL ME'!$E$6, TRUE, FALSE)</f>
        <v>1</v>
      </c>
      <c r="P192" t="b">
        <f>IF(ROW()-ROW($P$1)+1 &lt;= 'FILL ME'!$E$7, TRUE, FALSE)</f>
        <v>1</v>
      </c>
      <c r="Q192" t="b">
        <f>IF(ROW()-ROW($Q$1)+1 &lt;= 'FILL ME'!$E$8, TRUE, FALSE)</f>
        <v>1</v>
      </c>
      <c r="R192" t="b">
        <f>IF(ROW()-ROW($R$1)+1 &lt;= 'FILL ME'!$E$10, TRUE, FALSE)</f>
        <v>1</v>
      </c>
    </row>
    <row r="193" spans="1:18" x14ac:dyDescent="0.25">
      <c r="A193" s="7" t="str">
        <f>'FILL ME'!$B$8</f>
        <v>Grab</v>
      </c>
      <c r="B193" t="str">
        <f>IF('FILL ME'!$B$3 = "", "", 'FILL ME'!$B$3)</f>
        <v>WWS</v>
      </c>
      <c r="C193" t="str">
        <f>IF('FILL ME'!$B$4 = "", "", 'FILL ME'!$B$4)</f>
        <v>SSFLAT</v>
      </c>
      <c r="D193" s="7" t="str">
        <f>TEXT('FILL ME'!$B$7,"yyyymmdd")</f>
        <v>20260319</v>
      </c>
      <c r="E193" s="8" t="str">
        <f t="shared" si="8"/>
        <v/>
      </c>
      <c r="F193" s="7">
        <f>IF('FILL ME'!$B$8="ISCO",'FILL ME'!$B$7+'FILL ME'!$B$12+('FILL ME'!$B$13*(G193-'FILL ME'!$B$14)),'FILL ME'!$B$7)</f>
        <v>46100</v>
      </c>
      <c r="G193" s="8">
        <v>24</v>
      </c>
      <c r="H193" s="2" t="str">
        <v>MCSN08</v>
      </c>
      <c r="I193" s="9" t="str">
        <f t="shared" si="9"/>
        <v>MCSN08_24</v>
      </c>
      <c r="J193" s="10" t="str">
        <f t="shared" si="10"/>
        <v>SSFLAT_MCSN08_20260319_24</v>
      </c>
      <c r="K193" s="10" t="str">
        <f t="shared" si="11"/>
        <v>SSFLAT_MCSN08_20260319_</v>
      </c>
      <c r="L193" t="b">
        <f>IF(ROW()-ROW($L$1)+1 &lt;= 'FILL ME'!$E$3, TRUE, FALSE)</f>
        <v>0</v>
      </c>
      <c r="M193" t="b">
        <f>IF(ROW()-ROW($M$1)+1 &lt;= 'FILL ME'!$E$4, TRUE, FALSE)</f>
        <v>1</v>
      </c>
      <c r="N193" t="b">
        <f>IF(ROW()-ROW($N$1)+1 &lt;= 'FILL ME'!$E$5, TRUE, FALSE)</f>
        <v>1</v>
      </c>
      <c r="O193" t="b">
        <f>IF(ROW()-ROW($O$1)+1 &lt;= 'FILL ME'!$E$6, TRUE, FALSE)</f>
        <v>1</v>
      </c>
      <c r="P193" t="b">
        <f>IF(ROW()-ROW($P$1)+1 &lt;= 'FILL ME'!$E$7, TRUE, FALSE)</f>
        <v>1</v>
      </c>
      <c r="Q193" t="b">
        <f>IF(ROW()-ROW($Q$1)+1 &lt;= 'FILL ME'!$E$8, TRUE, FALSE)</f>
        <v>1</v>
      </c>
      <c r="R193" t="b">
        <f>IF(ROW()-ROW($R$1)+1 &lt;= 'FILL ME'!$E$10, TRUE, FALSE)</f>
        <v>1</v>
      </c>
    </row>
    <row r="194" spans="1:18" x14ac:dyDescent="0.25">
      <c r="A194" s="7" t="str">
        <f>'FILL ME'!$B$8</f>
        <v>Grab</v>
      </c>
      <c r="B194" t="str">
        <f>IF('FILL ME'!$B$3 = "", "", 'FILL ME'!$B$3)</f>
        <v>WWS</v>
      </c>
      <c r="C194" t="str">
        <f>IF('FILL ME'!$B$4 = "", "", 'FILL ME'!$B$4)</f>
        <v>SSFLAT</v>
      </c>
      <c r="D194" s="7" t="str">
        <f>TEXT('FILL ME'!$B$7,"yyyymmdd")</f>
        <v>20260319</v>
      </c>
      <c r="E194" s="8" t="str">
        <f t="shared" ref="E194:E257" si="12">IF(A194="Grab","",TEXT(F194,"hh:mm"))</f>
        <v/>
      </c>
      <c r="F194" s="7">
        <f>IF('FILL ME'!$B$8="ISCO",'FILL ME'!$B$7+'FILL ME'!$B$12+('FILL ME'!$B$13*(G194-'FILL ME'!$B$14)),'FILL ME'!$B$7)</f>
        <v>46100</v>
      </c>
      <c r="G194" s="8">
        <v>1</v>
      </c>
      <c r="H194" s="2" t="str">
        <v>MCSN09</v>
      </c>
      <c r="I194" s="9" t="str">
        <f t="shared" si="9"/>
        <v>MCSN09_01</v>
      </c>
      <c r="J194" s="10" t="str">
        <f t="shared" si="10"/>
        <v>SSFLAT_MCSN09_20260319_01</v>
      </c>
      <c r="K194" s="10" t="str">
        <f t="shared" si="11"/>
        <v>SSFLAT_MCSN09_20260319_</v>
      </c>
      <c r="L194" t="b">
        <f>IF(ROW()-ROW($L$1)+1 &lt;= 'FILL ME'!$E$3, TRUE, FALSE)</f>
        <v>0</v>
      </c>
      <c r="M194" t="b">
        <f>IF(ROW()-ROW($M$1)+1 &lt;= 'FILL ME'!$E$4, TRUE, FALSE)</f>
        <v>1</v>
      </c>
      <c r="N194" t="b">
        <f>IF(ROW()-ROW($N$1)+1 &lt;= 'FILL ME'!$E$5, TRUE, FALSE)</f>
        <v>1</v>
      </c>
      <c r="O194" t="b">
        <f>IF(ROW()-ROW($O$1)+1 &lt;= 'FILL ME'!$E$6, TRUE, FALSE)</f>
        <v>1</v>
      </c>
      <c r="P194" t="b">
        <f>IF(ROW()-ROW($P$1)+1 &lt;= 'FILL ME'!$E$7, TRUE, FALSE)</f>
        <v>1</v>
      </c>
      <c r="Q194" t="b">
        <f>IF(ROW()-ROW($Q$1)+1 &lt;= 'FILL ME'!$E$8, TRUE, FALSE)</f>
        <v>1</v>
      </c>
      <c r="R194" t="b">
        <f>IF(ROW()-ROW($R$1)+1 &lt;= 'FILL ME'!$E$10, TRUE, FALSE)</f>
        <v>1</v>
      </c>
    </row>
    <row r="195" spans="1:18" x14ac:dyDescent="0.25">
      <c r="A195" s="7" t="str">
        <f>'FILL ME'!$B$8</f>
        <v>Grab</v>
      </c>
      <c r="B195" t="str">
        <f>IF('FILL ME'!$B$3 = "", "", 'FILL ME'!$B$3)</f>
        <v>WWS</v>
      </c>
      <c r="C195" t="str">
        <f>IF('FILL ME'!$B$4 = "", "", 'FILL ME'!$B$4)</f>
        <v>SSFLAT</v>
      </c>
      <c r="D195" s="7" t="str">
        <f>TEXT('FILL ME'!$B$7,"yyyymmdd")</f>
        <v>20260319</v>
      </c>
      <c r="E195" s="8" t="str">
        <f t="shared" si="12"/>
        <v/>
      </c>
      <c r="F195" s="7">
        <f>IF('FILL ME'!$B$8="ISCO",'FILL ME'!$B$7+'FILL ME'!$B$12+('FILL ME'!$B$13*(G195-'FILL ME'!$B$14)),'FILL ME'!$B$7)</f>
        <v>46100</v>
      </c>
      <c r="G195" s="8">
        <v>2</v>
      </c>
      <c r="H195" s="2" t="str">
        <v>MCSN09</v>
      </c>
      <c r="I195" s="9" t="str">
        <f t="shared" ref="I195:I258" si="13">CONCATENATE(H195,"_",TEXT(G195,"00"))</f>
        <v>MCSN09_02</v>
      </c>
      <c r="J195" s="10" t="str">
        <f t="shared" ref="J195:J258" si="14">CONCATENATE(C195,"_", H195,"_",D195,"_",TEXT(G195,"00"))</f>
        <v>SSFLAT_MCSN09_20260319_02</v>
      </c>
      <c r="K195" s="10" t="str">
        <f t="shared" ref="K195:K258" si="15">CONCATENATE(C195,"_", H195,"_",TEXT(F195, "yyyymmdd"),"_",TEXT(E195, "hhmm"))</f>
        <v>SSFLAT_MCSN09_20260319_</v>
      </c>
      <c r="L195" t="b">
        <f>IF(ROW()-ROW($L$1)+1 &lt;= 'FILL ME'!$E$3, TRUE, FALSE)</f>
        <v>0</v>
      </c>
      <c r="M195" t="b">
        <f>IF(ROW()-ROW($M$1)+1 &lt;= 'FILL ME'!$E$4, TRUE, FALSE)</f>
        <v>1</v>
      </c>
      <c r="N195" t="b">
        <f>IF(ROW()-ROW($N$1)+1 &lt;= 'FILL ME'!$E$5, TRUE, FALSE)</f>
        <v>1</v>
      </c>
      <c r="O195" t="b">
        <f>IF(ROW()-ROW($O$1)+1 &lt;= 'FILL ME'!$E$6, TRUE, FALSE)</f>
        <v>1</v>
      </c>
      <c r="P195" t="b">
        <f>IF(ROW()-ROW($P$1)+1 &lt;= 'FILL ME'!$E$7, TRUE, FALSE)</f>
        <v>1</v>
      </c>
      <c r="Q195" t="b">
        <f>IF(ROW()-ROW($Q$1)+1 &lt;= 'FILL ME'!$E$8, TRUE, FALSE)</f>
        <v>1</v>
      </c>
      <c r="R195" t="b">
        <f>IF(ROW()-ROW($R$1)+1 &lt;= 'FILL ME'!$E$10, TRUE, FALSE)</f>
        <v>1</v>
      </c>
    </row>
    <row r="196" spans="1:18" x14ac:dyDescent="0.25">
      <c r="A196" s="7" t="str">
        <f>'FILL ME'!$B$8</f>
        <v>Grab</v>
      </c>
      <c r="B196" t="str">
        <f>IF('FILL ME'!$B$3 = "", "", 'FILL ME'!$B$3)</f>
        <v>WWS</v>
      </c>
      <c r="C196" t="str">
        <f>IF('FILL ME'!$B$4 = "", "", 'FILL ME'!$B$4)</f>
        <v>SSFLAT</v>
      </c>
      <c r="D196" s="7" t="str">
        <f>TEXT('FILL ME'!$B$7,"yyyymmdd")</f>
        <v>20260319</v>
      </c>
      <c r="E196" s="8" t="str">
        <f t="shared" si="12"/>
        <v/>
      </c>
      <c r="F196" s="7">
        <f>IF('FILL ME'!$B$8="ISCO",'FILL ME'!$B$7+'FILL ME'!$B$12+('FILL ME'!$B$13*(G196-'FILL ME'!$B$14)),'FILL ME'!$B$7)</f>
        <v>46100</v>
      </c>
      <c r="G196" s="8">
        <v>3</v>
      </c>
      <c r="H196" s="2" t="str">
        <v>MCSN09</v>
      </c>
      <c r="I196" s="9" t="str">
        <f t="shared" si="13"/>
        <v>MCSN09_03</v>
      </c>
      <c r="J196" s="10" t="str">
        <f t="shared" si="14"/>
        <v>SSFLAT_MCSN09_20260319_03</v>
      </c>
      <c r="K196" s="10" t="str">
        <f t="shared" si="15"/>
        <v>SSFLAT_MCSN09_20260319_</v>
      </c>
      <c r="L196" t="b">
        <f>IF(ROW()-ROW($L$1)+1 &lt;= 'FILL ME'!$E$3, TRUE, FALSE)</f>
        <v>0</v>
      </c>
      <c r="M196" t="b">
        <f>IF(ROW()-ROW($M$1)+1 &lt;= 'FILL ME'!$E$4, TRUE, FALSE)</f>
        <v>1</v>
      </c>
      <c r="N196" t="b">
        <f>IF(ROW()-ROW($N$1)+1 &lt;= 'FILL ME'!$E$5, TRUE, FALSE)</f>
        <v>1</v>
      </c>
      <c r="O196" t="b">
        <f>IF(ROW()-ROW($O$1)+1 &lt;= 'FILL ME'!$E$6, TRUE, FALSE)</f>
        <v>1</v>
      </c>
      <c r="P196" t="b">
        <f>IF(ROW()-ROW($P$1)+1 &lt;= 'FILL ME'!$E$7, TRUE, FALSE)</f>
        <v>1</v>
      </c>
      <c r="Q196" t="b">
        <f>IF(ROW()-ROW($Q$1)+1 &lt;= 'FILL ME'!$E$8, TRUE, FALSE)</f>
        <v>1</v>
      </c>
      <c r="R196" t="b">
        <f>IF(ROW()-ROW($R$1)+1 &lt;= 'FILL ME'!$E$10, TRUE, FALSE)</f>
        <v>1</v>
      </c>
    </row>
    <row r="197" spans="1:18" x14ac:dyDescent="0.25">
      <c r="A197" s="7" t="str">
        <f>'FILL ME'!$B$8</f>
        <v>Grab</v>
      </c>
      <c r="B197" t="str">
        <f>IF('FILL ME'!$B$3 = "", "", 'FILL ME'!$B$3)</f>
        <v>WWS</v>
      </c>
      <c r="C197" t="str">
        <f>IF('FILL ME'!$B$4 = "", "", 'FILL ME'!$B$4)</f>
        <v>SSFLAT</v>
      </c>
      <c r="D197" s="7" t="str">
        <f>TEXT('FILL ME'!$B$7,"yyyymmdd")</f>
        <v>20260319</v>
      </c>
      <c r="E197" s="8" t="str">
        <f t="shared" si="12"/>
        <v/>
      </c>
      <c r="F197" s="7">
        <f>IF('FILL ME'!$B$8="ISCO",'FILL ME'!$B$7+'FILL ME'!$B$12+('FILL ME'!$B$13*(G197-'FILL ME'!$B$14)),'FILL ME'!$B$7)</f>
        <v>46100</v>
      </c>
      <c r="G197" s="8">
        <v>4</v>
      </c>
      <c r="H197" s="2" t="str">
        <v>MCSN09</v>
      </c>
      <c r="I197" s="9" t="str">
        <f t="shared" si="13"/>
        <v>MCSN09_04</v>
      </c>
      <c r="J197" s="10" t="str">
        <f t="shared" si="14"/>
        <v>SSFLAT_MCSN09_20260319_04</v>
      </c>
      <c r="K197" s="10" t="str">
        <f t="shared" si="15"/>
        <v>SSFLAT_MCSN09_20260319_</v>
      </c>
      <c r="L197" t="b">
        <f>IF(ROW()-ROW($L$1)+1 &lt;= 'FILL ME'!$E$3, TRUE, FALSE)</f>
        <v>0</v>
      </c>
      <c r="M197" t="b">
        <f>IF(ROW()-ROW($M$1)+1 &lt;= 'FILL ME'!$E$4, TRUE, FALSE)</f>
        <v>1</v>
      </c>
      <c r="N197" t="b">
        <f>IF(ROW()-ROW($N$1)+1 &lt;= 'FILL ME'!$E$5, TRUE, FALSE)</f>
        <v>1</v>
      </c>
      <c r="O197" t="b">
        <f>IF(ROW()-ROW($O$1)+1 &lt;= 'FILL ME'!$E$6, TRUE, FALSE)</f>
        <v>1</v>
      </c>
      <c r="P197" t="b">
        <f>IF(ROW()-ROW($P$1)+1 &lt;= 'FILL ME'!$E$7, TRUE, FALSE)</f>
        <v>1</v>
      </c>
      <c r="Q197" t="b">
        <f>IF(ROW()-ROW($Q$1)+1 &lt;= 'FILL ME'!$E$8, TRUE, FALSE)</f>
        <v>1</v>
      </c>
      <c r="R197" t="b">
        <f>IF(ROW()-ROW($R$1)+1 &lt;= 'FILL ME'!$E$10, TRUE, FALSE)</f>
        <v>1</v>
      </c>
    </row>
    <row r="198" spans="1:18" x14ac:dyDescent="0.25">
      <c r="A198" s="7" t="str">
        <f>'FILL ME'!$B$8</f>
        <v>Grab</v>
      </c>
      <c r="B198" t="str">
        <f>IF('FILL ME'!$B$3 = "", "", 'FILL ME'!$B$3)</f>
        <v>WWS</v>
      </c>
      <c r="C198" t="str">
        <f>IF('FILL ME'!$B$4 = "", "", 'FILL ME'!$B$4)</f>
        <v>SSFLAT</v>
      </c>
      <c r="D198" s="7" t="str">
        <f>TEXT('FILL ME'!$B$7,"yyyymmdd")</f>
        <v>20260319</v>
      </c>
      <c r="E198" s="8" t="str">
        <f t="shared" si="12"/>
        <v/>
      </c>
      <c r="F198" s="7">
        <f>IF('FILL ME'!$B$8="ISCO",'FILL ME'!$B$7+'FILL ME'!$B$12+('FILL ME'!$B$13*(G198-'FILL ME'!$B$14)),'FILL ME'!$B$7)</f>
        <v>46100</v>
      </c>
      <c r="G198" s="8">
        <v>5</v>
      </c>
      <c r="H198" s="2" t="str">
        <v>MCSN09</v>
      </c>
      <c r="I198" s="9" t="str">
        <f t="shared" si="13"/>
        <v>MCSN09_05</v>
      </c>
      <c r="J198" s="10" t="str">
        <f t="shared" si="14"/>
        <v>SSFLAT_MCSN09_20260319_05</v>
      </c>
      <c r="K198" s="10" t="str">
        <f t="shared" si="15"/>
        <v>SSFLAT_MCSN09_20260319_</v>
      </c>
      <c r="L198" t="b">
        <f>IF(ROW()-ROW($L$1)+1 &lt;= 'FILL ME'!$E$3, TRUE, FALSE)</f>
        <v>0</v>
      </c>
      <c r="M198" t="b">
        <f>IF(ROW()-ROW($M$1)+1 &lt;= 'FILL ME'!$E$4, TRUE, FALSE)</f>
        <v>1</v>
      </c>
      <c r="N198" t="b">
        <f>IF(ROW()-ROW($N$1)+1 &lt;= 'FILL ME'!$E$5, TRUE, FALSE)</f>
        <v>1</v>
      </c>
      <c r="O198" t="b">
        <f>IF(ROW()-ROW($O$1)+1 &lt;= 'FILL ME'!$E$6, TRUE, FALSE)</f>
        <v>1</v>
      </c>
      <c r="P198" t="b">
        <f>IF(ROW()-ROW($P$1)+1 &lt;= 'FILL ME'!$E$7, TRUE, FALSE)</f>
        <v>1</v>
      </c>
      <c r="Q198" t="b">
        <f>IF(ROW()-ROW($Q$1)+1 &lt;= 'FILL ME'!$E$8, TRUE, FALSE)</f>
        <v>1</v>
      </c>
      <c r="R198" t="b">
        <f>IF(ROW()-ROW($R$1)+1 &lt;= 'FILL ME'!$E$10, TRUE, FALSE)</f>
        <v>1</v>
      </c>
    </row>
    <row r="199" spans="1:18" x14ac:dyDescent="0.25">
      <c r="A199" s="7" t="str">
        <f>'FILL ME'!$B$8</f>
        <v>Grab</v>
      </c>
      <c r="B199" t="str">
        <f>IF('FILL ME'!$B$3 = "", "", 'FILL ME'!$B$3)</f>
        <v>WWS</v>
      </c>
      <c r="C199" t="str">
        <f>IF('FILL ME'!$B$4 = "", "", 'FILL ME'!$B$4)</f>
        <v>SSFLAT</v>
      </c>
      <c r="D199" s="7" t="str">
        <f>TEXT('FILL ME'!$B$7,"yyyymmdd")</f>
        <v>20260319</v>
      </c>
      <c r="E199" s="8" t="str">
        <f t="shared" si="12"/>
        <v/>
      </c>
      <c r="F199" s="7">
        <f>IF('FILL ME'!$B$8="ISCO",'FILL ME'!$B$7+'FILL ME'!$B$12+('FILL ME'!$B$13*(G199-'FILL ME'!$B$14)),'FILL ME'!$B$7)</f>
        <v>46100</v>
      </c>
      <c r="G199" s="8">
        <v>6</v>
      </c>
      <c r="H199" s="2" t="str">
        <v>MCSN09</v>
      </c>
      <c r="I199" s="9" t="str">
        <f t="shared" si="13"/>
        <v>MCSN09_06</v>
      </c>
      <c r="J199" s="10" t="str">
        <f t="shared" si="14"/>
        <v>SSFLAT_MCSN09_20260319_06</v>
      </c>
      <c r="K199" s="10" t="str">
        <f t="shared" si="15"/>
        <v>SSFLAT_MCSN09_20260319_</v>
      </c>
      <c r="L199" t="b">
        <f>IF(ROW()-ROW($L$1)+1 &lt;= 'FILL ME'!$E$3, TRUE, FALSE)</f>
        <v>0</v>
      </c>
      <c r="M199" t="b">
        <f>IF(ROW()-ROW($M$1)+1 &lt;= 'FILL ME'!$E$4, TRUE, FALSE)</f>
        <v>1</v>
      </c>
      <c r="N199" t="b">
        <f>IF(ROW()-ROW($N$1)+1 &lt;= 'FILL ME'!$E$5, TRUE, FALSE)</f>
        <v>1</v>
      </c>
      <c r="O199" t="b">
        <f>IF(ROW()-ROW($O$1)+1 &lt;= 'FILL ME'!$E$6, TRUE, FALSE)</f>
        <v>1</v>
      </c>
      <c r="P199" t="b">
        <f>IF(ROW()-ROW($P$1)+1 &lt;= 'FILL ME'!$E$7, TRUE, FALSE)</f>
        <v>1</v>
      </c>
      <c r="Q199" t="b">
        <f>IF(ROW()-ROW($Q$1)+1 &lt;= 'FILL ME'!$E$8, TRUE, FALSE)</f>
        <v>1</v>
      </c>
      <c r="R199" t="b">
        <f>IF(ROW()-ROW($R$1)+1 &lt;= 'FILL ME'!$E$10, TRUE, FALSE)</f>
        <v>1</v>
      </c>
    </row>
    <row r="200" spans="1:18" x14ac:dyDescent="0.25">
      <c r="A200" s="7" t="str">
        <f>'FILL ME'!$B$8</f>
        <v>Grab</v>
      </c>
      <c r="B200" t="str">
        <f>IF('FILL ME'!$B$3 = "", "", 'FILL ME'!$B$3)</f>
        <v>WWS</v>
      </c>
      <c r="C200" t="str">
        <f>IF('FILL ME'!$B$4 = "", "", 'FILL ME'!$B$4)</f>
        <v>SSFLAT</v>
      </c>
      <c r="D200" s="7" t="str">
        <f>TEXT('FILL ME'!$B$7,"yyyymmdd")</f>
        <v>20260319</v>
      </c>
      <c r="E200" s="8" t="str">
        <f t="shared" si="12"/>
        <v/>
      </c>
      <c r="F200" s="7">
        <f>IF('FILL ME'!$B$8="ISCO",'FILL ME'!$B$7+'FILL ME'!$B$12+('FILL ME'!$B$13*(G200-'FILL ME'!$B$14)),'FILL ME'!$B$7)</f>
        <v>46100</v>
      </c>
      <c r="G200" s="8">
        <v>7</v>
      </c>
      <c r="H200" s="2" t="str">
        <v>MCSN09</v>
      </c>
      <c r="I200" s="9" t="str">
        <f t="shared" si="13"/>
        <v>MCSN09_07</v>
      </c>
      <c r="J200" s="10" t="str">
        <f t="shared" si="14"/>
        <v>SSFLAT_MCSN09_20260319_07</v>
      </c>
      <c r="K200" s="10" t="str">
        <f t="shared" si="15"/>
        <v>SSFLAT_MCSN09_20260319_</v>
      </c>
      <c r="L200" t="b">
        <f>IF(ROW()-ROW($L$1)+1 &lt;= 'FILL ME'!$E$3, TRUE, FALSE)</f>
        <v>0</v>
      </c>
      <c r="M200" t="b">
        <f>IF(ROW()-ROW($M$1)+1 &lt;= 'FILL ME'!$E$4, TRUE, FALSE)</f>
        <v>1</v>
      </c>
      <c r="N200" t="b">
        <f>IF(ROW()-ROW($N$1)+1 &lt;= 'FILL ME'!$E$5, TRUE, FALSE)</f>
        <v>1</v>
      </c>
      <c r="O200" t="b">
        <f>IF(ROW()-ROW($O$1)+1 &lt;= 'FILL ME'!$E$6, TRUE, FALSE)</f>
        <v>1</v>
      </c>
      <c r="P200" t="b">
        <f>IF(ROW()-ROW($P$1)+1 &lt;= 'FILL ME'!$E$7, TRUE, FALSE)</f>
        <v>1</v>
      </c>
      <c r="Q200" t="b">
        <f>IF(ROW()-ROW($Q$1)+1 &lt;= 'FILL ME'!$E$8, TRUE, FALSE)</f>
        <v>1</v>
      </c>
      <c r="R200" t="b">
        <f>IF(ROW()-ROW($R$1)+1 &lt;= 'FILL ME'!$E$10, TRUE, FALSE)</f>
        <v>1</v>
      </c>
    </row>
    <row r="201" spans="1:18" x14ac:dyDescent="0.25">
      <c r="A201" s="7" t="str">
        <f>'FILL ME'!$B$8</f>
        <v>Grab</v>
      </c>
      <c r="B201" t="str">
        <f>IF('FILL ME'!$B$3 = "", "", 'FILL ME'!$B$3)</f>
        <v>WWS</v>
      </c>
      <c r="C201" t="str">
        <f>IF('FILL ME'!$B$4 = "", "", 'FILL ME'!$B$4)</f>
        <v>SSFLAT</v>
      </c>
      <c r="D201" s="7" t="str">
        <f>TEXT('FILL ME'!$B$7,"yyyymmdd")</f>
        <v>20260319</v>
      </c>
      <c r="E201" s="8" t="str">
        <f t="shared" si="12"/>
        <v/>
      </c>
      <c r="F201" s="7">
        <f>IF('FILL ME'!$B$8="ISCO",'FILL ME'!$B$7+'FILL ME'!$B$12+('FILL ME'!$B$13*(G201-'FILL ME'!$B$14)),'FILL ME'!$B$7)</f>
        <v>46100</v>
      </c>
      <c r="G201" s="8">
        <v>8</v>
      </c>
      <c r="H201" s="2" t="str">
        <v>MCSN09</v>
      </c>
      <c r="I201" s="9" t="str">
        <f t="shared" si="13"/>
        <v>MCSN09_08</v>
      </c>
      <c r="J201" s="10" t="str">
        <f t="shared" si="14"/>
        <v>SSFLAT_MCSN09_20260319_08</v>
      </c>
      <c r="K201" s="10" t="str">
        <f t="shared" si="15"/>
        <v>SSFLAT_MCSN09_20260319_</v>
      </c>
      <c r="L201" t="b">
        <f>IF(ROW()-ROW($L$1)+1 &lt;= 'FILL ME'!$E$3, TRUE, FALSE)</f>
        <v>0</v>
      </c>
      <c r="M201" t="b">
        <f>IF(ROW()-ROW($M$1)+1 &lt;= 'FILL ME'!$E$4, TRUE, FALSE)</f>
        <v>1</v>
      </c>
      <c r="N201" t="b">
        <f>IF(ROW()-ROW($N$1)+1 &lt;= 'FILL ME'!$E$5, TRUE, FALSE)</f>
        <v>1</v>
      </c>
      <c r="O201" t="b">
        <f>IF(ROW()-ROW($O$1)+1 &lt;= 'FILL ME'!$E$6, TRUE, FALSE)</f>
        <v>1</v>
      </c>
      <c r="P201" t="b">
        <f>IF(ROW()-ROW($P$1)+1 &lt;= 'FILL ME'!$E$7, TRUE, FALSE)</f>
        <v>1</v>
      </c>
      <c r="Q201" t="b">
        <f>IF(ROW()-ROW($Q$1)+1 &lt;= 'FILL ME'!$E$8, TRUE, FALSE)</f>
        <v>1</v>
      </c>
      <c r="R201" t="b">
        <f>IF(ROW()-ROW($R$1)+1 &lt;= 'FILL ME'!$E$10, TRUE, FALSE)</f>
        <v>1</v>
      </c>
    </row>
    <row r="202" spans="1:18" x14ac:dyDescent="0.25">
      <c r="A202" s="7" t="str">
        <f>'FILL ME'!$B$8</f>
        <v>Grab</v>
      </c>
      <c r="B202" t="str">
        <f>IF('FILL ME'!$B$3 = "", "", 'FILL ME'!$B$3)</f>
        <v>WWS</v>
      </c>
      <c r="C202" t="str">
        <f>IF('FILL ME'!$B$4 = "", "", 'FILL ME'!$B$4)</f>
        <v>SSFLAT</v>
      </c>
      <c r="D202" s="7" t="str">
        <f>TEXT('FILL ME'!$B$7,"yyyymmdd")</f>
        <v>20260319</v>
      </c>
      <c r="E202" s="8" t="str">
        <f t="shared" si="12"/>
        <v/>
      </c>
      <c r="F202" s="7">
        <f>IF('FILL ME'!$B$8="ISCO",'FILL ME'!$B$7+'FILL ME'!$B$12+('FILL ME'!$B$13*(G202-'FILL ME'!$B$14)),'FILL ME'!$B$7)</f>
        <v>46100</v>
      </c>
      <c r="G202" s="8">
        <v>9</v>
      </c>
      <c r="H202" s="2" t="str">
        <v>MCSN09</v>
      </c>
      <c r="I202" s="9" t="str">
        <f t="shared" si="13"/>
        <v>MCSN09_09</v>
      </c>
      <c r="J202" s="10" t="str">
        <f t="shared" si="14"/>
        <v>SSFLAT_MCSN09_20260319_09</v>
      </c>
      <c r="K202" s="10" t="str">
        <f t="shared" si="15"/>
        <v>SSFLAT_MCSN09_20260319_</v>
      </c>
      <c r="L202" t="b">
        <f>IF(ROW()-ROW($L$1)+1 &lt;= 'FILL ME'!$E$3, TRUE, FALSE)</f>
        <v>0</v>
      </c>
      <c r="M202" t="b">
        <f>IF(ROW()-ROW($M$1)+1 &lt;= 'FILL ME'!$E$4, TRUE, FALSE)</f>
        <v>1</v>
      </c>
      <c r="N202" t="b">
        <f>IF(ROW()-ROW($N$1)+1 &lt;= 'FILL ME'!$E$5, TRUE, FALSE)</f>
        <v>1</v>
      </c>
      <c r="O202" t="b">
        <f>IF(ROW()-ROW($O$1)+1 &lt;= 'FILL ME'!$E$6, TRUE, FALSE)</f>
        <v>1</v>
      </c>
      <c r="P202" t="b">
        <f>IF(ROW()-ROW($P$1)+1 &lt;= 'FILL ME'!$E$7, TRUE, FALSE)</f>
        <v>1</v>
      </c>
      <c r="Q202" t="b">
        <f>IF(ROW()-ROW($Q$1)+1 &lt;= 'FILL ME'!$E$8, TRUE, FALSE)</f>
        <v>1</v>
      </c>
      <c r="R202" t="b">
        <f>IF(ROW()-ROW($R$1)+1 &lt;= 'FILL ME'!$E$10, TRUE, FALSE)</f>
        <v>1</v>
      </c>
    </row>
    <row r="203" spans="1:18" x14ac:dyDescent="0.25">
      <c r="A203" s="7" t="str">
        <f>'FILL ME'!$B$8</f>
        <v>Grab</v>
      </c>
      <c r="B203" t="str">
        <f>IF('FILL ME'!$B$3 = "", "", 'FILL ME'!$B$3)</f>
        <v>WWS</v>
      </c>
      <c r="C203" t="str">
        <f>IF('FILL ME'!$B$4 = "", "", 'FILL ME'!$B$4)</f>
        <v>SSFLAT</v>
      </c>
      <c r="D203" s="7" t="str">
        <f>TEXT('FILL ME'!$B$7,"yyyymmdd")</f>
        <v>20260319</v>
      </c>
      <c r="E203" s="8" t="str">
        <f t="shared" si="12"/>
        <v/>
      </c>
      <c r="F203" s="7">
        <f>IF('FILL ME'!$B$8="ISCO",'FILL ME'!$B$7+'FILL ME'!$B$12+('FILL ME'!$B$13*(G203-'FILL ME'!$B$14)),'FILL ME'!$B$7)</f>
        <v>46100</v>
      </c>
      <c r="G203" s="8">
        <v>10</v>
      </c>
      <c r="H203" s="2" t="str">
        <v>MCSN09</v>
      </c>
      <c r="I203" s="9" t="str">
        <f t="shared" si="13"/>
        <v>MCSN09_10</v>
      </c>
      <c r="J203" s="10" t="str">
        <f t="shared" si="14"/>
        <v>SSFLAT_MCSN09_20260319_10</v>
      </c>
      <c r="K203" s="10" t="str">
        <f t="shared" si="15"/>
        <v>SSFLAT_MCSN09_20260319_</v>
      </c>
      <c r="L203" t="b">
        <f>IF(ROW()-ROW($L$1)+1 &lt;= 'FILL ME'!$E$3, TRUE, FALSE)</f>
        <v>0</v>
      </c>
      <c r="M203" t="b">
        <f>IF(ROW()-ROW($M$1)+1 &lt;= 'FILL ME'!$E$4, TRUE, FALSE)</f>
        <v>1</v>
      </c>
      <c r="N203" t="b">
        <f>IF(ROW()-ROW($N$1)+1 &lt;= 'FILL ME'!$E$5, TRUE, FALSE)</f>
        <v>1</v>
      </c>
      <c r="O203" t="b">
        <f>IF(ROW()-ROW($O$1)+1 &lt;= 'FILL ME'!$E$6, TRUE, FALSE)</f>
        <v>1</v>
      </c>
      <c r="P203" t="b">
        <f>IF(ROW()-ROW($P$1)+1 &lt;= 'FILL ME'!$E$7, TRUE, FALSE)</f>
        <v>1</v>
      </c>
      <c r="Q203" t="b">
        <f>IF(ROW()-ROW($Q$1)+1 &lt;= 'FILL ME'!$E$8, TRUE, FALSE)</f>
        <v>1</v>
      </c>
      <c r="R203" t="b">
        <f>IF(ROW()-ROW($R$1)+1 &lt;= 'FILL ME'!$E$10, TRUE, FALSE)</f>
        <v>1</v>
      </c>
    </row>
    <row r="204" spans="1:18" x14ac:dyDescent="0.25">
      <c r="A204" s="7" t="str">
        <f>'FILL ME'!$B$8</f>
        <v>Grab</v>
      </c>
      <c r="B204" t="str">
        <f>IF('FILL ME'!$B$3 = "", "", 'FILL ME'!$B$3)</f>
        <v>WWS</v>
      </c>
      <c r="C204" t="str">
        <f>IF('FILL ME'!$B$4 = "", "", 'FILL ME'!$B$4)</f>
        <v>SSFLAT</v>
      </c>
      <c r="D204" s="7" t="str">
        <f>TEXT('FILL ME'!$B$7,"yyyymmdd")</f>
        <v>20260319</v>
      </c>
      <c r="E204" s="8" t="str">
        <f t="shared" si="12"/>
        <v/>
      </c>
      <c r="F204" s="7">
        <f>IF('FILL ME'!$B$8="ISCO",'FILL ME'!$B$7+'FILL ME'!$B$12+('FILL ME'!$B$13*(G204-'FILL ME'!$B$14)),'FILL ME'!$B$7)</f>
        <v>46100</v>
      </c>
      <c r="G204" s="8">
        <v>11</v>
      </c>
      <c r="H204" s="2" t="str">
        <v>MCSN09</v>
      </c>
      <c r="I204" s="9" t="str">
        <f t="shared" si="13"/>
        <v>MCSN09_11</v>
      </c>
      <c r="J204" s="10" t="str">
        <f t="shared" si="14"/>
        <v>SSFLAT_MCSN09_20260319_11</v>
      </c>
      <c r="K204" s="10" t="str">
        <f t="shared" si="15"/>
        <v>SSFLAT_MCSN09_20260319_</v>
      </c>
      <c r="L204" t="b">
        <f>IF(ROW()-ROW($L$1)+1 &lt;= 'FILL ME'!$E$3, TRUE, FALSE)</f>
        <v>0</v>
      </c>
      <c r="M204" t="b">
        <f>IF(ROW()-ROW($M$1)+1 &lt;= 'FILL ME'!$E$4, TRUE, FALSE)</f>
        <v>1</v>
      </c>
      <c r="N204" t="b">
        <f>IF(ROW()-ROW($N$1)+1 &lt;= 'FILL ME'!$E$5, TRUE, FALSE)</f>
        <v>1</v>
      </c>
      <c r="O204" t="b">
        <f>IF(ROW()-ROW($O$1)+1 &lt;= 'FILL ME'!$E$6, TRUE, FALSE)</f>
        <v>1</v>
      </c>
      <c r="P204" t="b">
        <f>IF(ROW()-ROW($P$1)+1 &lt;= 'FILL ME'!$E$7, TRUE, FALSE)</f>
        <v>1</v>
      </c>
      <c r="Q204" t="b">
        <f>IF(ROW()-ROW($Q$1)+1 &lt;= 'FILL ME'!$E$8, TRUE, FALSE)</f>
        <v>1</v>
      </c>
      <c r="R204" t="b">
        <f>IF(ROW()-ROW($R$1)+1 &lt;= 'FILL ME'!$E$10, TRUE, FALSE)</f>
        <v>1</v>
      </c>
    </row>
    <row r="205" spans="1:18" x14ac:dyDescent="0.25">
      <c r="A205" s="7" t="str">
        <f>'FILL ME'!$B$8</f>
        <v>Grab</v>
      </c>
      <c r="B205" t="str">
        <f>IF('FILL ME'!$B$3 = "", "", 'FILL ME'!$B$3)</f>
        <v>WWS</v>
      </c>
      <c r="C205" t="str">
        <f>IF('FILL ME'!$B$4 = "", "", 'FILL ME'!$B$4)</f>
        <v>SSFLAT</v>
      </c>
      <c r="D205" s="7" t="str">
        <f>TEXT('FILL ME'!$B$7,"yyyymmdd")</f>
        <v>20260319</v>
      </c>
      <c r="E205" s="8" t="str">
        <f t="shared" si="12"/>
        <v/>
      </c>
      <c r="F205" s="7">
        <f>IF('FILL ME'!$B$8="ISCO",'FILL ME'!$B$7+'FILL ME'!$B$12+('FILL ME'!$B$13*(G205-'FILL ME'!$B$14)),'FILL ME'!$B$7)</f>
        <v>46100</v>
      </c>
      <c r="G205" s="8">
        <v>12</v>
      </c>
      <c r="H205" s="2" t="str">
        <v>MCSN09</v>
      </c>
      <c r="I205" s="9" t="str">
        <f t="shared" si="13"/>
        <v>MCSN09_12</v>
      </c>
      <c r="J205" s="10" t="str">
        <f t="shared" si="14"/>
        <v>SSFLAT_MCSN09_20260319_12</v>
      </c>
      <c r="K205" s="10" t="str">
        <f t="shared" si="15"/>
        <v>SSFLAT_MCSN09_20260319_</v>
      </c>
      <c r="L205" t="b">
        <f>IF(ROW()-ROW($L$1)+1 &lt;= 'FILL ME'!$E$3, TRUE, FALSE)</f>
        <v>0</v>
      </c>
      <c r="M205" t="b">
        <f>IF(ROW()-ROW($M$1)+1 &lt;= 'FILL ME'!$E$4, TRUE, FALSE)</f>
        <v>1</v>
      </c>
      <c r="N205" t="b">
        <f>IF(ROW()-ROW($N$1)+1 &lt;= 'FILL ME'!$E$5, TRUE, FALSE)</f>
        <v>1</v>
      </c>
      <c r="O205" t="b">
        <f>IF(ROW()-ROW($O$1)+1 &lt;= 'FILL ME'!$E$6, TRUE, FALSE)</f>
        <v>1</v>
      </c>
      <c r="P205" t="b">
        <f>IF(ROW()-ROW($P$1)+1 &lt;= 'FILL ME'!$E$7, TRUE, FALSE)</f>
        <v>1</v>
      </c>
      <c r="Q205" t="b">
        <f>IF(ROW()-ROW($Q$1)+1 &lt;= 'FILL ME'!$E$8, TRUE, FALSE)</f>
        <v>1</v>
      </c>
      <c r="R205" t="b">
        <f>IF(ROW()-ROW($R$1)+1 &lt;= 'FILL ME'!$E$10, TRUE, FALSE)</f>
        <v>1</v>
      </c>
    </row>
    <row r="206" spans="1:18" x14ac:dyDescent="0.25">
      <c r="A206" s="7" t="str">
        <f>'FILL ME'!$B$8</f>
        <v>Grab</v>
      </c>
      <c r="B206" t="str">
        <f>IF('FILL ME'!$B$3 = "", "", 'FILL ME'!$B$3)</f>
        <v>WWS</v>
      </c>
      <c r="C206" t="str">
        <f>IF('FILL ME'!$B$4 = "", "", 'FILL ME'!$B$4)</f>
        <v>SSFLAT</v>
      </c>
      <c r="D206" s="7" t="str">
        <f>TEXT('FILL ME'!$B$7,"yyyymmdd")</f>
        <v>20260319</v>
      </c>
      <c r="E206" s="8" t="str">
        <f t="shared" si="12"/>
        <v/>
      </c>
      <c r="F206" s="7">
        <f>IF('FILL ME'!$B$8="ISCO",'FILL ME'!$B$7+'FILL ME'!$B$12+('FILL ME'!$B$13*(G206-'FILL ME'!$B$14)),'FILL ME'!$B$7)</f>
        <v>46100</v>
      </c>
      <c r="G206" s="8">
        <v>13</v>
      </c>
      <c r="H206" s="2" t="str">
        <v>MCSN09</v>
      </c>
      <c r="I206" s="9" t="str">
        <f t="shared" si="13"/>
        <v>MCSN09_13</v>
      </c>
      <c r="J206" s="10" t="str">
        <f t="shared" si="14"/>
        <v>SSFLAT_MCSN09_20260319_13</v>
      </c>
      <c r="K206" s="10" t="str">
        <f t="shared" si="15"/>
        <v>SSFLAT_MCSN09_20260319_</v>
      </c>
      <c r="L206" t="b">
        <f>IF(ROW()-ROW($L$1)+1 &lt;= 'FILL ME'!$E$3, TRUE, FALSE)</f>
        <v>0</v>
      </c>
      <c r="M206" t="b">
        <f>IF(ROW()-ROW($M$1)+1 &lt;= 'FILL ME'!$E$4, TRUE, FALSE)</f>
        <v>1</v>
      </c>
      <c r="N206" t="b">
        <f>IF(ROW()-ROW($N$1)+1 &lt;= 'FILL ME'!$E$5, TRUE, FALSE)</f>
        <v>1</v>
      </c>
      <c r="O206" t="b">
        <f>IF(ROW()-ROW($O$1)+1 &lt;= 'FILL ME'!$E$6, TRUE, FALSE)</f>
        <v>1</v>
      </c>
      <c r="P206" t="b">
        <f>IF(ROW()-ROW($P$1)+1 &lt;= 'FILL ME'!$E$7, TRUE, FALSE)</f>
        <v>1</v>
      </c>
      <c r="Q206" t="b">
        <f>IF(ROW()-ROW($Q$1)+1 &lt;= 'FILL ME'!$E$8, TRUE, FALSE)</f>
        <v>1</v>
      </c>
      <c r="R206" t="b">
        <f>IF(ROW()-ROW($R$1)+1 &lt;= 'FILL ME'!$E$10, TRUE, FALSE)</f>
        <v>1</v>
      </c>
    </row>
    <row r="207" spans="1:18" x14ac:dyDescent="0.25">
      <c r="A207" s="7" t="str">
        <f>'FILL ME'!$B$8</f>
        <v>Grab</v>
      </c>
      <c r="B207" t="str">
        <f>IF('FILL ME'!$B$3 = "", "", 'FILL ME'!$B$3)</f>
        <v>WWS</v>
      </c>
      <c r="C207" t="str">
        <f>IF('FILL ME'!$B$4 = "", "", 'FILL ME'!$B$4)</f>
        <v>SSFLAT</v>
      </c>
      <c r="D207" s="7" t="str">
        <f>TEXT('FILL ME'!$B$7,"yyyymmdd")</f>
        <v>20260319</v>
      </c>
      <c r="E207" s="8" t="str">
        <f t="shared" si="12"/>
        <v/>
      </c>
      <c r="F207" s="7">
        <f>IF('FILL ME'!$B$8="ISCO",'FILL ME'!$B$7+'FILL ME'!$B$12+('FILL ME'!$B$13*(G207-'FILL ME'!$B$14)),'FILL ME'!$B$7)</f>
        <v>46100</v>
      </c>
      <c r="G207" s="8">
        <v>14</v>
      </c>
      <c r="H207" s="2" t="str">
        <v>MCSN09</v>
      </c>
      <c r="I207" s="9" t="str">
        <f t="shared" si="13"/>
        <v>MCSN09_14</v>
      </c>
      <c r="J207" s="10" t="str">
        <f t="shared" si="14"/>
        <v>SSFLAT_MCSN09_20260319_14</v>
      </c>
      <c r="K207" s="10" t="str">
        <f t="shared" si="15"/>
        <v>SSFLAT_MCSN09_20260319_</v>
      </c>
      <c r="L207" t="b">
        <f>IF(ROW()-ROW($L$1)+1 &lt;= 'FILL ME'!$E$3, TRUE, FALSE)</f>
        <v>0</v>
      </c>
      <c r="M207" t="b">
        <f>IF(ROW()-ROW($M$1)+1 &lt;= 'FILL ME'!$E$4, TRUE, FALSE)</f>
        <v>1</v>
      </c>
      <c r="N207" t="b">
        <f>IF(ROW()-ROW($N$1)+1 &lt;= 'FILL ME'!$E$5, TRUE, FALSE)</f>
        <v>1</v>
      </c>
      <c r="O207" t="b">
        <f>IF(ROW()-ROW($O$1)+1 &lt;= 'FILL ME'!$E$6, TRUE, FALSE)</f>
        <v>1</v>
      </c>
      <c r="P207" t="b">
        <f>IF(ROW()-ROW($P$1)+1 &lt;= 'FILL ME'!$E$7, TRUE, FALSE)</f>
        <v>1</v>
      </c>
      <c r="Q207" t="b">
        <f>IF(ROW()-ROW($Q$1)+1 &lt;= 'FILL ME'!$E$8, TRUE, FALSE)</f>
        <v>1</v>
      </c>
      <c r="R207" t="b">
        <f>IF(ROW()-ROW($R$1)+1 &lt;= 'FILL ME'!$E$10, TRUE, FALSE)</f>
        <v>1</v>
      </c>
    </row>
    <row r="208" spans="1:18" x14ac:dyDescent="0.25">
      <c r="A208" s="7" t="str">
        <f>'FILL ME'!$B$8</f>
        <v>Grab</v>
      </c>
      <c r="B208" t="str">
        <f>IF('FILL ME'!$B$3 = "", "", 'FILL ME'!$B$3)</f>
        <v>WWS</v>
      </c>
      <c r="C208" t="str">
        <f>IF('FILL ME'!$B$4 = "", "", 'FILL ME'!$B$4)</f>
        <v>SSFLAT</v>
      </c>
      <c r="D208" s="7" t="str">
        <f>TEXT('FILL ME'!$B$7,"yyyymmdd")</f>
        <v>20260319</v>
      </c>
      <c r="E208" s="8" t="str">
        <f t="shared" si="12"/>
        <v/>
      </c>
      <c r="F208" s="7">
        <f>IF('FILL ME'!$B$8="ISCO",'FILL ME'!$B$7+'FILL ME'!$B$12+('FILL ME'!$B$13*(G208-'FILL ME'!$B$14)),'FILL ME'!$B$7)</f>
        <v>46100</v>
      </c>
      <c r="G208" s="8">
        <v>15</v>
      </c>
      <c r="H208" s="2" t="str">
        <v>MCSN09</v>
      </c>
      <c r="I208" s="9" t="str">
        <f t="shared" si="13"/>
        <v>MCSN09_15</v>
      </c>
      <c r="J208" s="10" t="str">
        <f t="shared" si="14"/>
        <v>SSFLAT_MCSN09_20260319_15</v>
      </c>
      <c r="K208" s="10" t="str">
        <f t="shared" si="15"/>
        <v>SSFLAT_MCSN09_20260319_</v>
      </c>
      <c r="L208" t="b">
        <f>IF(ROW()-ROW($L$1)+1 &lt;= 'FILL ME'!$E$3, TRUE, FALSE)</f>
        <v>0</v>
      </c>
      <c r="M208" t="b">
        <f>IF(ROW()-ROW($M$1)+1 &lt;= 'FILL ME'!$E$4, TRUE, FALSE)</f>
        <v>1</v>
      </c>
      <c r="N208" t="b">
        <f>IF(ROW()-ROW($N$1)+1 &lt;= 'FILL ME'!$E$5, TRUE, FALSE)</f>
        <v>1</v>
      </c>
      <c r="O208" t="b">
        <f>IF(ROW()-ROW($O$1)+1 &lt;= 'FILL ME'!$E$6, TRUE, FALSE)</f>
        <v>1</v>
      </c>
      <c r="P208" t="b">
        <f>IF(ROW()-ROW($P$1)+1 &lt;= 'FILL ME'!$E$7, TRUE, FALSE)</f>
        <v>1</v>
      </c>
      <c r="Q208" t="b">
        <f>IF(ROW()-ROW($Q$1)+1 &lt;= 'FILL ME'!$E$8, TRUE, FALSE)</f>
        <v>1</v>
      </c>
      <c r="R208" t="b">
        <f>IF(ROW()-ROW($R$1)+1 &lt;= 'FILL ME'!$E$10, TRUE, FALSE)</f>
        <v>1</v>
      </c>
    </row>
    <row r="209" spans="1:18" x14ac:dyDescent="0.25">
      <c r="A209" s="7" t="str">
        <f>'FILL ME'!$B$8</f>
        <v>Grab</v>
      </c>
      <c r="B209" t="str">
        <f>IF('FILL ME'!$B$3 = "", "", 'FILL ME'!$B$3)</f>
        <v>WWS</v>
      </c>
      <c r="C209" t="str">
        <f>IF('FILL ME'!$B$4 = "", "", 'FILL ME'!$B$4)</f>
        <v>SSFLAT</v>
      </c>
      <c r="D209" s="7" t="str">
        <f>TEXT('FILL ME'!$B$7,"yyyymmdd")</f>
        <v>20260319</v>
      </c>
      <c r="E209" s="8" t="str">
        <f t="shared" si="12"/>
        <v/>
      </c>
      <c r="F209" s="7">
        <f>IF('FILL ME'!$B$8="ISCO",'FILL ME'!$B$7+'FILL ME'!$B$12+('FILL ME'!$B$13*(G209-'FILL ME'!$B$14)),'FILL ME'!$B$7)</f>
        <v>46100</v>
      </c>
      <c r="G209" s="8">
        <v>16</v>
      </c>
      <c r="H209" s="2" t="str">
        <v>MCSN09</v>
      </c>
      <c r="I209" s="9" t="str">
        <f t="shared" si="13"/>
        <v>MCSN09_16</v>
      </c>
      <c r="J209" s="10" t="str">
        <f t="shared" si="14"/>
        <v>SSFLAT_MCSN09_20260319_16</v>
      </c>
      <c r="K209" s="10" t="str">
        <f t="shared" si="15"/>
        <v>SSFLAT_MCSN09_20260319_</v>
      </c>
      <c r="L209" t="b">
        <f>IF(ROW()-ROW($L$1)+1 &lt;= 'FILL ME'!$E$3, TRUE, FALSE)</f>
        <v>0</v>
      </c>
      <c r="M209" t="b">
        <f>IF(ROW()-ROW($M$1)+1 &lt;= 'FILL ME'!$E$4, TRUE, FALSE)</f>
        <v>1</v>
      </c>
      <c r="N209" t="b">
        <f>IF(ROW()-ROW($N$1)+1 &lt;= 'FILL ME'!$E$5, TRUE, FALSE)</f>
        <v>1</v>
      </c>
      <c r="O209" t="b">
        <f>IF(ROW()-ROW($O$1)+1 &lt;= 'FILL ME'!$E$6, TRUE, FALSE)</f>
        <v>1</v>
      </c>
      <c r="P209" t="b">
        <f>IF(ROW()-ROW($P$1)+1 &lt;= 'FILL ME'!$E$7, TRUE, FALSE)</f>
        <v>1</v>
      </c>
      <c r="Q209" t="b">
        <f>IF(ROW()-ROW($Q$1)+1 &lt;= 'FILL ME'!$E$8, TRUE, FALSE)</f>
        <v>1</v>
      </c>
      <c r="R209" t="b">
        <f>IF(ROW()-ROW($R$1)+1 &lt;= 'FILL ME'!$E$10, TRUE, FALSE)</f>
        <v>1</v>
      </c>
    </row>
    <row r="210" spans="1:18" x14ac:dyDescent="0.25">
      <c r="A210" s="7" t="str">
        <f>'FILL ME'!$B$8</f>
        <v>Grab</v>
      </c>
      <c r="B210" t="str">
        <f>IF('FILL ME'!$B$3 = "", "", 'FILL ME'!$B$3)</f>
        <v>WWS</v>
      </c>
      <c r="C210" t="str">
        <f>IF('FILL ME'!$B$4 = "", "", 'FILL ME'!$B$4)</f>
        <v>SSFLAT</v>
      </c>
      <c r="D210" s="7" t="str">
        <f>TEXT('FILL ME'!$B$7,"yyyymmdd")</f>
        <v>20260319</v>
      </c>
      <c r="E210" s="8" t="str">
        <f t="shared" si="12"/>
        <v/>
      </c>
      <c r="F210" s="7">
        <f>IF('FILL ME'!$B$8="ISCO",'FILL ME'!$B$7+'FILL ME'!$B$12+('FILL ME'!$B$13*(G210-'FILL ME'!$B$14)),'FILL ME'!$B$7)</f>
        <v>46100</v>
      </c>
      <c r="G210" s="8">
        <v>17</v>
      </c>
      <c r="H210" s="2" t="str">
        <v>MCSN09</v>
      </c>
      <c r="I210" s="9" t="str">
        <f t="shared" si="13"/>
        <v>MCSN09_17</v>
      </c>
      <c r="J210" s="10" t="str">
        <f t="shared" si="14"/>
        <v>SSFLAT_MCSN09_20260319_17</v>
      </c>
      <c r="K210" s="10" t="str">
        <f t="shared" si="15"/>
        <v>SSFLAT_MCSN09_20260319_</v>
      </c>
      <c r="L210" t="b">
        <f>IF(ROW()-ROW($L$1)+1 &lt;= 'FILL ME'!$E$3, TRUE, FALSE)</f>
        <v>0</v>
      </c>
      <c r="M210" t="b">
        <f>IF(ROW()-ROW($M$1)+1 &lt;= 'FILL ME'!$E$4, TRUE, FALSE)</f>
        <v>1</v>
      </c>
      <c r="N210" t="b">
        <f>IF(ROW()-ROW($N$1)+1 &lt;= 'FILL ME'!$E$5, TRUE, FALSE)</f>
        <v>1</v>
      </c>
      <c r="O210" t="b">
        <f>IF(ROW()-ROW($O$1)+1 &lt;= 'FILL ME'!$E$6, TRUE, FALSE)</f>
        <v>1</v>
      </c>
      <c r="P210" t="b">
        <f>IF(ROW()-ROW($P$1)+1 &lt;= 'FILL ME'!$E$7, TRUE, FALSE)</f>
        <v>1</v>
      </c>
      <c r="Q210" t="b">
        <f>IF(ROW()-ROW($Q$1)+1 &lt;= 'FILL ME'!$E$8, TRUE, FALSE)</f>
        <v>1</v>
      </c>
      <c r="R210" t="b">
        <f>IF(ROW()-ROW($R$1)+1 &lt;= 'FILL ME'!$E$10, TRUE, FALSE)</f>
        <v>1</v>
      </c>
    </row>
    <row r="211" spans="1:18" x14ac:dyDescent="0.25">
      <c r="A211" s="7" t="str">
        <f>'FILL ME'!$B$8</f>
        <v>Grab</v>
      </c>
      <c r="B211" t="str">
        <f>IF('FILL ME'!$B$3 = "", "", 'FILL ME'!$B$3)</f>
        <v>WWS</v>
      </c>
      <c r="C211" t="str">
        <f>IF('FILL ME'!$B$4 = "", "", 'FILL ME'!$B$4)</f>
        <v>SSFLAT</v>
      </c>
      <c r="D211" s="7" t="str">
        <f>TEXT('FILL ME'!$B$7,"yyyymmdd")</f>
        <v>20260319</v>
      </c>
      <c r="E211" s="8" t="str">
        <f t="shared" si="12"/>
        <v/>
      </c>
      <c r="F211" s="7">
        <f>IF('FILL ME'!$B$8="ISCO",'FILL ME'!$B$7+'FILL ME'!$B$12+('FILL ME'!$B$13*(G211-'FILL ME'!$B$14)),'FILL ME'!$B$7)</f>
        <v>46100</v>
      </c>
      <c r="G211" s="8">
        <v>18</v>
      </c>
      <c r="H211" s="2" t="str">
        <v>MCSN09</v>
      </c>
      <c r="I211" s="9" t="str">
        <f t="shared" si="13"/>
        <v>MCSN09_18</v>
      </c>
      <c r="J211" s="10" t="str">
        <f t="shared" si="14"/>
        <v>SSFLAT_MCSN09_20260319_18</v>
      </c>
      <c r="K211" s="10" t="str">
        <f t="shared" si="15"/>
        <v>SSFLAT_MCSN09_20260319_</v>
      </c>
      <c r="L211" t="b">
        <f>IF(ROW()-ROW($L$1)+1 &lt;= 'FILL ME'!$E$3, TRUE, FALSE)</f>
        <v>0</v>
      </c>
      <c r="M211" t="b">
        <f>IF(ROW()-ROW($M$1)+1 &lt;= 'FILL ME'!$E$4, TRUE, FALSE)</f>
        <v>1</v>
      </c>
      <c r="N211" t="b">
        <f>IF(ROW()-ROW($N$1)+1 &lt;= 'FILL ME'!$E$5, TRUE, FALSE)</f>
        <v>1</v>
      </c>
      <c r="O211" t="b">
        <f>IF(ROW()-ROW($O$1)+1 &lt;= 'FILL ME'!$E$6, TRUE, FALSE)</f>
        <v>1</v>
      </c>
      <c r="P211" t="b">
        <f>IF(ROW()-ROW($P$1)+1 &lt;= 'FILL ME'!$E$7, TRUE, FALSE)</f>
        <v>1</v>
      </c>
      <c r="Q211" t="b">
        <f>IF(ROW()-ROW($Q$1)+1 &lt;= 'FILL ME'!$E$8, TRUE, FALSE)</f>
        <v>1</v>
      </c>
      <c r="R211" t="b">
        <f>IF(ROW()-ROW($R$1)+1 &lt;= 'FILL ME'!$E$10, TRUE, FALSE)</f>
        <v>1</v>
      </c>
    </row>
    <row r="212" spans="1:18" x14ac:dyDescent="0.25">
      <c r="A212" s="7" t="str">
        <f>'FILL ME'!$B$8</f>
        <v>Grab</v>
      </c>
      <c r="B212" t="str">
        <f>IF('FILL ME'!$B$3 = "", "", 'FILL ME'!$B$3)</f>
        <v>WWS</v>
      </c>
      <c r="C212" t="str">
        <f>IF('FILL ME'!$B$4 = "", "", 'FILL ME'!$B$4)</f>
        <v>SSFLAT</v>
      </c>
      <c r="D212" s="7" t="str">
        <f>TEXT('FILL ME'!$B$7,"yyyymmdd")</f>
        <v>20260319</v>
      </c>
      <c r="E212" s="8" t="str">
        <f t="shared" si="12"/>
        <v/>
      </c>
      <c r="F212" s="7">
        <f>IF('FILL ME'!$B$8="ISCO",'FILL ME'!$B$7+'FILL ME'!$B$12+('FILL ME'!$B$13*(G212-'FILL ME'!$B$14)),'FILL ME'!$B$7)</f>
        <v>46100</v>
      </c>
      <c r="G212" s="8">
        <v>19</v>
      </c>
      <c r="H212" s="2" t="str">
        <v>MCSN09</v>
      </c>
      <c r="I212" s="9" t="str">
        <f t="shared" si="13"/>
        <v>MCSN09_19</v>
      </c>
      <c r="J212" s="10" t="str">
        <f t="shared" si="14"/>
        <v>SSFLAT_MCSN09_20260319_19</v>
      </c>
      <c r="K212" s="10" t="str">
        <f t="shared" si="15"/>
        <v>SSFLAT_MCSN09_20260319_</v>
      </c>
      <c r="L212" t="b">
        <f>IF(ROW()-ROW($L$1)+1 &lt;= 'FILL ME'!$E$3, TRUE, FALSE)</f>
        <v>0</v>
      </c>
      <c r="M212" t="b">
        <f>IF(ROW()-ROW($M$1)+1 &lt;= 'FILL ME'!$E$4, TRUE, FALSE)</f>
        <v>1</v>
      </c>
      <c r="N212" t="b">
        <f>IF(ROW()-ROW($N$1)+1 &lt;= 'FILL ME'!$E$5, TRUE, FALSE)</f>
        <v>1</v>
      </c>
      <c r="O212" t="b">
        <f>IF(ROW()-ROW($O$1)+1 &lt;= 'FILL ME'!$E$6, TRUE, FALSE)</f>
        <v>1</v>
      </c>
      <c r="P212" t="b">
        <f>IF(ROW()-ROW($P$1)+1 &lt;= 'FILL ME'!$E$7, TRUE, FALSE)</f>
        <v>1</v>
      </c>
      <c r="Q212" t="b">
        <f>IF(ROW()-ROW($Q$1)+1 &lt;= 'FILL ME'!$E$8, TRUE, FALSE)</f>
        <v>1</v>
      </c>
      <c r="R212" t="b">
        <f>IF(ROW()-ROW($R$1)+1 &lt;= 'FILL ME'!$E$10, TRUE, FALSE)</f>
        <v>1</v>
      </c>
    </row>
    <row r="213" spans="1:18" x14ac:dyDescent="0.25">
      <c r="A213" s="7" t="str">
        <f>'FILL ME'!$B$8</f>
        <v>Grab</v>
      </c>
      <c r="B213" t="str">
        <f>IF('FILL ME'!$B$3 = "", "", 'FILL ME'!$B$3)</f>
        <v>WWS</v>
      </c>
      <c r="C213" t="str">
        <f>IF('FILL ME'!$B$4 = "", "", 'FILL ME'!$B$4)</f>
        <v>SSFLAT</v>
      </c>
      <c r="D213" s="7" t="str">
        <f>TEXT('FILL ME'!$B$7,"yyyymmdd")</f>
        <v>20260319</v>
      </c>
      <c r="E213" s="8" t="str">
        <f t="shared" si="12"/>
        <v/>
      </c>
      <c r="F213" s="7">
        <f>IF('FILL ME'!$B$8="ISCO",'FILL ME'!$B$7+'FILL ME'!$B$12+('FILL ME'!$B$13*(G213-'FILL ME'!$B$14)),'FILL ME'!$B$7)</f>
        <v>46100</v>
      </c>
      <c r="G213" s="8">
        <v>20</v>
      </c>
      <c r="H213" s="2" t="str">
        <v>MCSN09</v>
      </c>
      <c r="I213" s="9" t="str">
        <f t="shared" si="13"/>
        <v>MCSN09_20</v>
      </c>
      <c r="J213" s="10" t="str">
        <f t="shared" si="14"/>
        <v>SSFLAT_MCSN09_20260319_20</v>
      </c>
      <c r="K213" s="10" t="str">
        <f t="shared" si="15"/>
        <v>SSFLAT_MCSN09_20260319_</v>
      </c>
      <c r="L213" t="b">
        <f>IF(ROW()-ROW($L$1)+1 &lt;= 'FILL ME'!$E$3, TRUE, FALSE)</f>
        <v>0</v>
      </c>
      <c r="M213" t="b">
        <f>IF(ROW()-ROW($M$1)+1 &lt;= 'FILL ME'!$E$4, TRUE, FALSE)</f>
        <v>1</v>
      </c>
      <c r="N213" t="b">
        <f>IF(ROW()-ROW($N$1)+1 &lt;= 'FILL ME'!$E$5, TRUE, FALSE)</f>
        <v>1</v>
      </c>
      <c r="O213" t="b">
        <f>IF(ROW()-ROW($O$1)+1 &lt;= 'FILL ME'!$E$6, TRUE, FALSE)</f>
        <v>1</v>
      </c>
      <c r="P213" t="b">
        <f>IF(ROW()-ROW($P$1)+1 &lt;= 'FILL ME'!$E$7, TRUE, FALSE)</f>
        <v>1</v>
      </c>
      <c r="Q213" t="b">
        <f>IF(ROW()-ROW($Q$1)+1 &lt;= 'FILL ME'!$E$8, TRUE, FALSE)</f>
        <v>1</v>
      </c>
      <c r="R213" t="b">
        <f>IF(ROW()-ROW($R$1)+1 &lt;= 'FILL ME'!$E$10, TRUE, FALSE)</f>
        <v>1</v>
      </c>
    </row>
    <row r="214" spans="1:18" x14ac:dyDescent="0.25">
      <c r="A214" s="7" t="str">
        <f>'FILL ME'!$B$8</f>
        <v>Grab</v>
      </c>
      <c r="B214" t="str">
        <f>IF('FILL ME'!$B$3 = "", "", 'FILL ME'!$B$3)</f>
        <v>WWS</v>
      </c>
      <c r="C214" t="str">
        <f>IF('FILL ME'!$B$4 = "", "", 'FILL ME'!$B$4)</f>
        <v>SSFLAT</v>
      </c>
      <c r="D214" s="7" t="str">
        <f>TEXT('FILL ME'!$B$7,"yyyymmdd")</f>
        <v>20260319</v>
      </c>
      <c r="E214" s="8" t="str">
        <f t="shared" si="12"/>
        <v/>
      </c>
      <c r="F214" s="7">
        <f>IF('FILL ME'!$B$8="ISCO",'FILL ME'!$B$7+'FILL ME'!$B$12+('FILL ME'!$B$13*(G214-'FILL ME'!$B$14)),'FILL ME'!$B$7)</f>
        <v>46100</v>
      </c>
      <c r="G214" s="8">
        <v>21</v>
      </c>
      <c r="H214" s="2" t="str">
        <v>MCSN09</v>
      </c>
      <c r="I214" s="9" t="str">
        <f t="shared" si="13"/>
        <v>MCSN09_21</v>
      </c>
      <c r="J214" s="10" t="str">
        <f t="shared" si="14"/>
        <v>SSFLAT_MCSN09_20260319_21</v>
      </c>
      <c r="K214" s="10" t="str">
        <f t="shared" si="15"/>
        <v>SSFLAT_MCSN09_20260319_</v>
      </c>
      <c r="L214" t="b">
        <f>IF(ROW()-ROW($L$1)+1 &lt;= 'FILL ME'!$E$3, TRUE, FALSE)</f>
        <v>0</v>
      </c>
      <c r="M214" t="b">
        <f>IF(ROW()-ROW($M$1)+1 &lt;= 'FILL ME'!$E$4, TRUE, FALSE)</f>
        <v>1</v>
      </c>
      <c r="N214" t="b">
        <f>IF(ROW()-ROW($N$1)+1 &lt;= 'FILL ME'!$E$5, TRUE, FALSE)</f>
        <v>1</v>
      </c>
      <c r="O214" t="b">
        <f>IF(ROW()-ROW($O$1)+1 &lt;= 'FILL ME'!$E$6, TRUE, FALSE)</f>
        <v>1</v>
      </c>
      <c r="P214" t="b">
        <f>IF(ROW()-ROW($P$1)+1 &lt;= 'FILL ME'!$E$7, TRUE, FALSE)</f>
        <v>1</v>
      </c>
      <c r="Q214" t="b">
        <f>IF(ROW()-ROW($Q$1)+1 &lt;= 'FILL ME'!$E$8, TRUE, FALSE)</f>
        <v>1</v>
      </c>
      <c r="R214" t="b">
        <f>IF(ROW()-ROW($R$1)+1 &lt;= 'FILL ME'!$E$10, TRUE, FALSE)</f>
        <v>1</v>
      </c>
    </row>
    <row r="215" spans="1:18" x14ac:dyDescent="0.25">
      <c r="A215" s="7" t="str">
        <f>'FILL ME'!$B$8</f>
        <v>Grab</v>
      </c>
      <c r="B215" t="str">
        <f>IF('FILL ME'!$B$3 = "", "", 'FILL ME'!$B$3)</f>
        <v>WWS</v>
      </c>
      <c r="C215" t="str">
        <f>IF('FILL ME'!$B$4 = "", "", 'FILL ME'!$B$4)</f>
        <v>SSFLAT</v>
      </c>
      <c r="D215" s="7" t="str">
        <f>TEXT('FILL ME'!$B$7,"yyyymmdd")</f>
        <v>20260319</v>
      </c>
      <c r="E215" s="8" t="str">
        <f t="shared" si="12"/>
        <v/>
      </c>
      <c r="F215" s="7">
        <f>IF('FILL ME'!$B$8="ISCO",'FILL ME'!$B$7+'FILL ME'!$B$12+('FILL ME'!$B$13*(G215-'FILL ME'!$B$14)),'FILL ME'!$B$7)</f>
        <v>46100</v>
      </c>
      <c r="G215" s="8">
        <v>22</v>
      </c>
      <c r="H215" s="2" t="str">
        <v>MCSN09</v>
      </c>
      <c r="I215" s="9" t="str">
        <f t="shared" si="13"/>
        <v>MCSN09_22</v>
      </c>
      <c r="J215" s="10" t="str">
        <f t="shared" si="14"/>
        <v>SSFLAT_MCSN09_20260319_22</v>
      </c>
      <c r="K215" s="10" t="str">
        <f t="shared" si="15"/>
        <v>SSFLAT_MCSN09_20260319_</v>
      </c>
      <c r="L215" t="b">
        <f>IF(ROW()-ROW($L$1)+1 &lt;= 'FILL ME'!$E$3, TRUE, FALSE)</f>
        <v>0</v>
      </c>
      <c r="M215" t="b">
        <f>IF(ROW()-ROW($M$1)+1 &lt;= 'FILL ME'!$E$4, TRUE, FALSE)</f>
        <v>1</v>
      </c>
      <c r="N215" t="b">
        <f>IF(ROW()-ROW($N$1)+1 &lt;= 'FILL ME'!$E$5, TRUE, FALSE)</f>
        <v>1</v>
      </c>
      <c r="O215" t="b">
        <f>IF(ROW()-ROW($O$1)+1 &lt;= 'FILL ME'!$E$6, TRUE, FALSE)</f>
        <v>1</v>
      </c>
      <c r="P215" t="b">
        <f>IF(ROW()-ROW($P$1)+1 &lt;= 'FILL ME'!$E$7, TRUE, FALSE)</f>
        <v>1</v>
      </c>
      <c r="Q215" t="b">
        <f>IF(ROW()-ROW($Q$1)+1 &lt;= 'FILL ME'!$E$8, TRUE, FALSE)</f>
        <v>1</v>
      </c>
      <c r="R215" t="b">
        <f>IF(ROW()-ROW($R$1)+1 &lt;= 'FILL ME'!$E$10, TRUE, FALSE)</f>
        <v>1</v>
      </c>
    </row>
    <row r="216" spans="1:18" x14ac:dyDescent="0.25">
      <c r="A216" s="7" t="str">
        <f>'FILL ME'!$B$8</f>
        <v>Grab</v>
      </c>
      <c r="B216" t="str">
        <f>IF('FILL ME'!$B$3 = "", "", 'FILL ME'!$B$3)</f>
        <v>WWS</v>
      </c>
      <c r="C216" t="str">
        <f>IF('FILL ME'!$B$4 = "", "", 'FILL ME'!$B$4)</f>
        <v>SSFLAT</v>
      </c>
      <c r="D216" s="7" t="str">
        <f>TEXT('FILL ME'!$B$7,"yyyymmdd")</f>
        <v>20260319</v>
      </c>
      <c r="E216" s="8" t="str">
        <f t="shared" si="12"/>
        <v/>
      </c>
      <c r="F216" s="7">
        <f>IF('FILL ME'!$B$8="ISCO",'FILL ME'!$B$7+'FILL ME'!$B$12+('FILL ME'!$B$13*(G216-'FILL ME'!$B$14)),'FILL ME'!$B$7)</f>
        <v>46100</v>
      </c>
      <c r="G216" s="8">
        <v>23</v>
      </c>
      <c r="H216" s="2" t="str">
        <v>MCSN09</v>
      </c>
      <c r="I216" s="9" t="str">
        <f t="shared" si="13"/>
        <v>MCSN09_23</v>
      </c>
      <c r="J216" s="10" t="str">
        <f t="shared" si="14"/>
        <v>SSFLAT_MCSN09_20260319_23</v>
      </c>
      <c r="K216" s="10" t="str">
        <f t="shared" si="15"/>
        <v>SSFLAT_MCSN09_20260319_</v>
      </c>
      <c r="L216" t="b">
        <f>IF(ROW()-ROW($L$1)+1 &lt;= 'FILL ME'!$E$3, TRUE, FALSE)</f>
        <v>0</v>
      </c>
      <c r="M216" t="b">
        <f>IF(ROW()-ROW($M$1)+1 &lt;= 'FILL ME'!$E$4, TRUE, FALSE)</f>
        <v>1</v>
      </c>
      <c r="N216" t="b">
        <f>IF(ROW()-ROW($N$1)+1 &lt;= 'FILL ME'!$E$5, TRUE, FALSE)</f>
        <v>1</v>
      </c>
      <c r="O216" t="b">
        <f>IF(ROW()-ROW($O$1)+1 &lt;= 'FILL ME'!$E$6, TRUE, FALSE)</f>
        <v>1</v>
      </c>
      <c r="P216" t="b">
        <f>IF(ROW()-ROW($P$1)+1 &lt;= 'FILL ME'!$E$7, TRUE, FALSE)</f>
        <v>1</v>
      </c>
      <c r="Q216" t="b">
        <f>IF(ROW()-ROW($Q$1)+1 &lt;= 'FILL ME'!$E$8, TRUE, FALSE)</f>
        <v>1</v>
      </c>
      <c r="R216" t="b">
        <f>IF(ROW()-ROW($R$1)+1 &lt;= 'FILL ME'!$E$10, TRUE, FALSE)</f>
        <v>1</v>
      </c>
    </row>
    <row r="217" spans="1:18" x14ac:dyDescent="0.25">
      <c r="A217" s="7" t="str">
        <f>'FILL ME'!$B$8</f>
        <v>Grab</v>
      </c>
      <c r="B217" t="str">
        <f>IF('FILL ME'!$B$3 = "", "", 'FILL ME'!$B$3)</f>
        <v>WWS</v>
      </c>
      <c r="C217" t="str">
        <f>IF('FILL ME'!$B$4 = "", "", 'FILL ME'!$B$4)</f>
        <v>SSFLAT</v>
      </c>
      <c r="D217" s="7" t="str">
        <f>TEXT('FILL ME'!$B$7,"yyyymmdd")</f>
        <v>20260319</v>
      </c>
      <c r="E217" s="8" t="str">
        <f t="shared" si="12"/>
        <v/>
      </c>
      <c r="F217" s="7">
        <f>IF('FILL ME'!$B$8="ISCO",'FILL ME'!$B$7+'FILL ME'!$B$12+('FILL ME'!$B$13*(G217-'FILL ME'!$B$14)),'FILL ME'!$B$7)</f>
        <v>46100</v>
      </c>
      <c r="G217" s="8">
        <v>24</v>
      </c>
      <c r="H217" s="2" t="str">
        <v>MCSN09</v>
      </c>
      <c r="I217" s="9" t="str">
        <f t="shared" si="13"/>
        <v>MCSN09_24</v>
      </c>
      <c r="J217" s="10" t="str">
        <f t="shared" si="14"/>
        <v>SSFLAT_MCSN09_20260319_24</v>
      </c>
      <c r="K217" s="10" t="str">
        <f t="shared" si="15"/>
        <v>SSFLAT_MCSN09_20260319_</v>
      </c>
      <c r="L217" t="b">
        <f>IF(ROW()-ROW($L$1)+1 &lt;= 'FILL ME'!$E$3, TRUE, FALSE)</f>
        <v>0</v>
      </c>
      <c r="M217" t="b">
        <f>IF(ROW()-ROW($M$1)+1 &lt;= 'FILL ME'!$E$4, TRUE, FALSE)</f>
        <v>1</v>
      </c>
      <c r="N217" t="b">
        <f>IF(ROW()-ROW($N$1)+1 &lt;= 'FILL ME'!$E$5, TRUE, FALSE)</f>
        <v>1</v>
      </c>
      <c r="O217" t="b">
        <f>IF(ROW()-ROW($O$1)+1 &lt;= 'FILL ME'!$E$6, TRUE, FALSE)</f>
        <v>1</v>
      </c>
      <c r="P217" t="b">
        <f>IF(ROW()-ROW($P$1)+1 &lt;= 'FILL ME'!$E$7, TRUE, FALSE)</f>
        <v>1</v>
      </c>
      <c r="Q217" t="b">
        <f>IF(ROW()-ROW($Q$1)+1 &lt;= 'FILL ME'!$E$8, TRUE, FALSE)</f>
        <v>1</v>
      </c>
      <c r="R217" t="b">
        <f>IF(ROW()-ROW($R$1)+1 &lt;= 'FILL ME'!$E$10, TRUE, FALSE)</f>
        <v>1</v>
      </c>
    </row>
    <row r="218" spans="1:18" x14ac:dyDescent="0.25">
      <c r="A218" s="7" t="str">
        <f>'FILL ME'!$B$8</f>
        <v>Grab</v>
      </c>
      <c r="B218" t="str">
        <f>IF('FILL ME'!$B$3 = "", "", 'FILL ME'!$B$3)</f>
        <v>WWS</v>
      </c>
      <c r="C218" t="str">
        <f>IF('FILL ME'!$B$4 = "", "", 'FILL ME'!$B$4)</f>
        <v>SSFLAT</v>
      </c>
      <c r="D218" s="7" t="str">
        <f>TEXT('FILL ME'!$B$7,"yyyymmdd")</f>
        <v>20260319</v>
      </c>
      <c r="E218" s="8" t="str">
        <f t="shared" si="12"/>
        <v/>
      </c>
      <c r="F218" s="7">
        <f>IF('FILL ME'!$B$8="ISCO",'FILL ME'!$B$7+'FILL ME'!$B$12+('FILL ME'!$B$13*(G218-'FILL ME'!$B$14)),'FILL ME'!$B$7)</f>
        <v>46100</v>
      </c>
      <c r="G218" s="8">
        <v>1</v>
      </c>
      <c r="H218" s="2" t="str">
        <v>MCSN10</v>
      </c>
      <c r="I218" s="9" t="str">
        <f t="shared" si="13"/>
        <v>MCSN10_01</v>
      </c>
      <c r="J218" s="10" t="str">
        <f t="shared" si="14"/>
        <v>SSFLAT_MCSN10_20260319_01</v>
      </c>
      <c r="K218" s="10" t="str">
        <f t="shared" si="15"/>
        <v>SSFLAT_MCSN10_20260319_</v>
      </c>
      <c r="L218" t="b">
        <f>IF(ROW()-ROW($L$1)+1 &lt;= 'FILL ME'!$E$3, TRUE, FALSE)</f>
        <v>0</v>
      </c>
      <c r="M218" t="b">
        <f>IF(ROW()-ROW($M$1)+1 &lt;= 'FILL ME'!$E$4, TRUE, FALSE)</f>
        <v>1</v>
      </c>
      <c r="N218" t="b">
        <f>IF(ROW()-ROW($N$1)+1 &lt;= 'FILL ME'!$E$5, TRUE, FALSE)</f>
        <v>1</v>
      </c>
      <c r="O218" t="b">
        <f>IF(ROW()-ROW($O$1)+1 &lt;= 'FILL ME'!$E$6, TRUE, FALSE)</f>
        <v>1</v>
      </c>
      <c r="P218" t="b">
        <f>IF(ROW()-ROW($P$1)+1 &lt;= 'FILL ME'!$E$7, TRUE, FALSE)</f>
        <v>1</v>
      </c>
      <c r="Q218" t="b">
        <f>IF(ROW()-ROW($Q$1)+1 &lt;= 'FILL ME'!$E$8, TRUE, FALSE)</f>
        <v>1</v>
      </c>
      <c r="R218" t="b">
        <f>IF(ROW()-ROW($R$1)+1 &lt;= 'FILL ME'!$E$10, TRUE, FALSE)</f>
        <v>1</v>
      </c>
    </row>
    <row r="219" spans="1:18" x14ac:dyDescent="0.25">
      <c r="A219" s="7" t="str">
        <f>'FILL ME'!$B$8</f>
        <v>Grab</v>
      </c>
      <c r="B219" t="str">
        <f>IF('FILL ME'!$B$3 = "", "", 'FILL ME'!$B$3)</f>
        <v>WWS</v>
      </c>
      <c r="C219" t="str">
        <f>IF('FILL ME'!$B$4 = "", "", 'FILL ME'!$B$4)</f>
        <v>SSFLAT</v>
      </c>
      <c r="D219" s="7" t="str">
        <f>TEXT('FILL ME'!$B$7,"yyyymmdd")</f>
        <v>20260319</v>
      </c>
      <c r="E219" s="8" t="str">
        <f t="shared" si="12"/>
        <v/>
      </c>
      <c r="F219" s="7">
        <f>IF('FILL ME'!$B$8="ISCO",'FILL ME'!$B$7+'FILL ME'!$B$12+('FILL ME'!$B$13*(G219-'FILL ME'!$B$14)),'FILL ME'!$B$7)</f>
        <v>46100</v>
      </c>
      <c r="G219" s="8">
        <v>2</v>
      </c>
      <c r="H219" s="2" t="str">
        <v>MCSN10</v>
      </c>
      <c r="I219" s="9" t="str">
        <f t="shared" si="13"/>
        <v>MCSN10_02</v>
      </c>
      <c r="J219" s="10" t="str">
        <f t="shared" si="14"/>
        <v>SSFLAT_MCSN10_20260319_02</v>
      </c>
      <c r="K219" s="10" t="str">
        <f t="shared" si="15"/>
        <v>SSFLAT_MCSN10_20260319_</v>
      </c>
      <c r="L219" t="b">
        <f>IF(ROW()-ROW($L$1)+1 &lt;= 'FILL ME'!$E$3, TRUE, FALSE)</f>
        <v>0</v>
      </c>
      <c r="M219" t="b">
        <f>IF(ROW()-ROW($M$1)+1 &lt;= 'FILL ME'!$E$4, TRUE, FALSE)</f>
        <v>1</v>
      </c>
      <c r="N219" t="b">
        <f>IF(ROW()-ROW($N$1)+1 &lt;= 'FILL ME'!$E$5, TRUE, FALSE)</f>
        <v>1</v>
      </c>
      <c r="O219" t="b">
        <f>IF(ROW()-ROW($O$1)+1 &lt;= 'FILL ME'!$E$6, TRUE, FALSE)</f>
        <v>1</v>
      </c>
      <c r="P219" t="b">
        <f>IF(ROW()-ROW($P$1)+1 &lt;= 'FILL ME'!$E$7, TRUE, FALSE)</f>
        <v>1</v>
      </c>
      <c r="Q219" t="b">
        <f>IF(ROW()-ROW($Q$1)+1 &lt;= 'FILL ME'!$E$8, TRUE, FALSE)</f>
        <v>1</v>
      </c>
      <c r="R219" t="b">
        <f>IF(ROW()-ROW($R$1)+1 &lt;= 'FILL ME'!$E$10, TRUE, FALSE)</f>
        <v>1</v>
      </c>
    </row>
    <row r="220" spans="1:18" x14ac:dyDescent="0.25">
      <c r="A220" s="7" t="str">
        <f>'FILL ME'!$B$8</f>
        <v>Grab</v>
      </c>
      <c r="B220" t="str">
        <f>IF('FILL ME'!$B$3 = "", "", 'FILL ME'!$B$3)</f>
        <v>WWS</v>
      </c>
      <c r="C220" t="str">
        <f>IF('FILL ME'!$B$4 = "", "", 'FILL ME'!$B$4)</f>
        <v>SSFLAT</v>
      </c>
      <c r="D220" s="7" t="str">
        <f>TEXT('FILL ME'!$B$7,"yyyymmdd")</f>
        <v>20260319</v>
      </c>
      <c r="E220" s="8" t="str">
        <f t="shared" si="12"/>
        <v/>
      </c>
      <c r="F220" s="7">
        <f>IF('FILL ME'!$B$8="ISCO",'FILL ME'!$B$7+'FILL ME'!$B$12+('FILL ME'!$B$13*(G220-'FILL ME'!$B$14)),'FILL ME'!$B$7)</f>
        <v>46100</v>
      </c>
      <c r="G220" s="8">
        <v>3</v>
      </c>
      <c r="H220" s="2" t="str">
        <v>MCSN10</v>
      </c>
      <c r="I220" s="9" t="str">
        <f t="shared" si="13"/>
        <v>MCSN10_03</v>
      </c>
      <c r="J220" s="10" t="str">
        <f t="shared" si="14"/>
        <v>SSFLAT_MCSN10_20260319_03</v>
      </c>
      <c r="K220" s="10" t="str">
        <f t="shared" si="15"/>
        <v>SSFLAT_MCSN10_20260319_</v>
      </c>
      <c r="L220" t="b">
        <f>IF(ROW()-ROW($L$1)+1 &lt;= 'FILL ME'!$E$3, TRUE, FALSE)</f>
        <v>0</v>
      </c>
      <c r="M220" t="b">
        <f>IF(ROW()-ROW($M$1)+1 &lt;= 'FILL ME'!$E$4, TRUE, FALSE)</f>
        <v>1</v>
      </c>
      <c r="N220" t="b">
        <f>IF(ROW()-ROW($N$1)+1 &lt;= 'FILL ME'!$E$5, TRUE, FALSE)</f>
        <v>1</v>
      </c>
      <c r="O220" t="b">
        <f>IF(ROW()-ROW($O$1)+1 &lt;= 'FILL ME'!$E$6, TRUE, FALSE)</f>
        <v>1</v>
      </c>
      <c r="P220" t="b">
        <f>IF(ROW()-ROW($P$1)+1 &lt;= 'FILL ME'!$E$7, TRUE, FALSE)</f>
        <v>1</v>
      </c>
      <c r="Q220" t="b">
        <f>IF(ROW()-ROW($Q$1)+1 &lt;= 'FILL ME'!$E$8, TRUE, FALSE)</f>
        <v>1</v>
      </c>
      <c r="R220" t="b">
        <f>IF(ROW()-ROW($R$1)+1 &lt;= 'FILL ME'!$E$10, TRUE, FALSE)</f>
        <v>1</v>
      </c>
    </row>
    <row r="221" spans="1:18" x14ac:dyDescent="0.25">
      <c r="A221" s="7" t="str">
        <f>'FILL ME'!$B$8</f>
        <v>Grab</v>
      </c>
      <c r="B221" t="str">
        <f>IF('FILL ME'!$B$3 = "", "", 'FILL ME'!$B$3)</f>
        <v>WWS</v>
      </c>
      <c r="C221" t="str">
        <f>IF('FILL ME'!$B$4 = "", "", 'FILL ME'!$B$4)</f>
        <v>SSFLAT</v>
      </c>
      <c r="D221" s="7" t="str">
        <f>TEXT('FILL ME'!$B$7,"yyyymmdd")</f>
        <v>20260319</v>
      </c>
      <c r="E221" s="8" t="str">
        <f t="shared" si="12"/>
        <v/>
      </c>
      <c r="F221" s="7">
        <f>IF('FILL ME'!$B$8="ISCO",'FILL ME'!$B$7+'FILL ME'!$B$12+('FILL ME'!$B$13*(G221-'FILL ME'!$B$14)),'FILL ME'!$B$7)</f>
        <v>46100</v>
      </c>
      <c r="G221" s="8">
        <v>4</v>
      </c>
      <c r="H221" s="2" t="str">
        <v>MCSN10</v>
      </c>
      <c r="I221" s="9" t="str">
        <f t="shared" si="13"/>
        <v>MCSN10_04</v>
      </c>
      <c r="J221" s="10" t="str">
        <f t="shared" si="14"/>
        <v>SSFLAT_MCSN10_20260319_04</v>
      </c>
      <c r="K221" s="10" t="str">
        <f t="shared" si="15"/>
        <v>SSFLAT_MCSN10_20260319_</v>
      </c>
      <c r="L221" t="b">
        <f>IF(ROW()-ROW($L$1)+1 &lt;= 'FILL ME'!$E$3, TRUE, FALSE)</f>
        <v>0</v>
      </c>
      <c r="M221" t="b">
        <f>IF(ROW()-ROW($M$1)+1 &lt;= 'FILL ME'!$E$4, TRUE, FALSE)</f>
        <v>1</v>
      </c>
      <c r="N221" t="b">
        <f>IF(ROW()-ROW($N$1)+1 &lt;= 'FILL ME'!$E$5, TRUE, FALSE)</f>
        <v>1</v>
      </c>
      <c r="O221" t="b">
        <f>IF(ROW()-ROW($O$1)+1 &lt;= 'FILL ME'!$E$6, TRUE, FALSE)</f>
        <v>1</v>
      </c>
      <c r="P221" t="b">
        <f>IF(ROW()-ROW($P$1)+1 &lt;= 'FILL ME'!$E$7, TRUE, FALSE)</f>
        <v>1</v>
      </c>
      <c r="Q221" t="b">
        <f>IF(ROW()-ROW($Q$1)+1 &lt;= 'FILL ME'!$E$8, TRUE, FALSE)</f>
        <v>1</v>
      </c>
      <c r="R221" t="b">
        <f>IF(ROW()-ROW($R$1)+1 &lt;= 'FILL ME'!$E$10, TRUE, FALSE)</f>
        <v>1</v>
      </c>
    </row>
    <row r="222" spans="1:18" x14ac:dyDescent="0.25">
      <c r="A222" s="7" t="str">
        <f>'FILL ME'!$B$8</f>
        <v>Grab</v>
      </c>
      <c r="B222" t="str">
        <f>IF('FILL ME'!$B$3 = "", "", 'FILL ME'!$B$3)</f>
        <v>WWS</v>
      </c>
      <c r="C222" t="str">
        <f>IF('FILL ME'!$B$4 = "", "", 'FILL ME'!$B$4)</f>
        <v>SSFLAT</v>
      </c>
      <c r="D222" s="7" t="str">
        <f>TEXT('FILL ME'!$B$7,"yyyymmdd")</f>
        <v>20260319</v>
      </c>
      <c r="E222" s="8" t="str">
        <f t="shared" si="12"/>
        <v/>
      </c>
      <c r="F222" s="7">
        <f>IF('FILL ME'!$B$8="ISCO",'FILL ME'!$B$7+'FILL ME'!$B$12+('FILL ME'!$B$13*(G222-'FILL ME'!$B$14)),'FILL ME'!$B$7)</f>
        <v>46100</v>
      </c>
      <c r="G222" s="8">
        <v>5</v>
      </c>
      <c r="H222" s="2" t="str">
        <v>MCSN10</v>
      </c>
      <c r="I222" s="9" t="str">
        <f t="shared" si="13"/>
        <v>MCSN10_05</v>
      </c>
      <c r="J222" s="10" t="str">
        <f t="shared" si="14"/>
        <v>SSFLAT_MCSN10_20260319_05</v>
      </c>
      <c r="K222" s="10" t="str">
        <f t="shared" si="15"/>
        <v>SSFLAT_MCSN10_20260319_</v>
      </c>
      <c r="L222" t="b">
        <f>IF(ROW()-ROW($L$1)+1 &lt;= 'FILL ME'!$E$3, TRUE, FALSE)</f>
        <v>0</v>
      </c>
      <c r="M222" t="b">
        <f>IF(ROW()-ROW($M$1)+1 &lt;= 'FILL ME'!$E$4, TRUE, FALSE)</f>
        <v>1</v>
      </c>
      <c r="N222" t="b">
        <f>IF(ROW()-ROW($N$1)+1 &lt;= 'FILL ME'!$E$5, TRUE, FALSE)</f>
        <v>1</v>
      </c>
      <c r="O222" t="b">
        <f>IF(ROW()-ROW($O$1)+1 &lt;= 'FILL ME'!$E$6, TRUE, FALSE)</f>
        <v>1</v>
      </c>
      <c r="P222" t="b">
        <f>IF(ROW()-ROW($P$1)+1 &lt;= 'FILL ME'!$E$7, TRUE, FALSE)</f>
        <v>1</v>
      </c>
      <c r="Q222" t="b">
        <f>IF(ROW()-ROW($Q$1)+1 &lt;= 'FILL ME'!$E$8, TRUE, FALSE)</f>
        <v>1</v>
      </c>
      <c r="R222" t="b">
        <f>IF(ROW()-ROW($R$1)+1 &lt;= 'FILL ME'!$E$10, TRUE, FALSE)</f>
        <v>1</v>
      </c>
    </row>
    <row r="223" spans="1:18" x14ac:dyDescent="0.25">
      <c r="A223" s="7" t="str">
        <f>'FILL ME'!$B$8</f>
        <v>Grab</v>
      </c>
      <c r="B223" t="str">
        <f>IF('FILL ME'!$B$3 = "", "", 'FILL ME'!$B$3)</f>
        <v>WWS</v>
      </c>
      <c r="C223" t="str">
        <f>IF('FILL ME'!$B$4 = "", "", 'FILL ME'!$B$4)</f>
        <v>SSFLAT</v>
      </c>
      <c r="D223" s="7" t="str">
        <f>TEXT('FILL ME'!$B$7,"yyyymmdd")</f>
        <v>20260319</v>
      </c>
      <c r="E223" s="8" t="str">
        <f t="shared" si="12"/>
        <v/>
      </c>
      <c r="F223" s="7">
        <f>IF('FILL ME'!$B$8="ISCO",'FILL ME'!$B$7+'FILL ME'!$B$12+('FILL ME'!$B$13*(G223-'FILL ME'!$B$14)),'FILL ME'!$B$7)</f>
        <v>46100</v>
      </c>
      <c r="G223" s="8">
        <v>6</v>
      </c>
      <c r="H223" s="2" t="str">
        <v>MCSN10</v>
      </c>
      <c r="I223" s="9" t="str">
        <f t="shared" si="13"/>
        <v>MCSN10_06</v>
      </c>
      <c r="J223" s="10" t="str">
        <f t="shared" si="14"/>
        <v>SSFLAT_MCSN10_20260319_06</v>
      </c>
      <c r="K223" s="10" t="str">
        <f t="shared" si="15"/>
        <v>SSFLAT_MCSN10_20260319_</v>
      </c>
      <c r="L223" t="b">
        <f>IF(ROW()-ROW($L$1)+1 &lt;= 'FILL ME'!$E$3, TRUE, FALSE)</f>
        <v>0</v>
      </c>
      <c r="M223" t="b">
        <f>IF(ROW()-ROW($M$1)+1 &lt;= 'FILL ME'!$E$4, TRUE, FALSE)</f>
        <v>1</v>
      </c>
      <c r="N223" t="b">
        <f>IF(ROW()-ROW($N$1)+1 &lt;= 'FILL ME'!$E$5, TRUE, FALSE)</f>
        <v>1</v>
      </c>
      <c r="O223" t="b">
        <f>IF(ROW()-ROW($O$1)+1 &lt;= 'FILL ME'!$E$6, TRUE, FALSE)</f>
        <v>1</v>
      </c>
      <c r="P223" t="b">
        <f>IF(ROW()-ROW($P$1)+1 &lt;= 'FILL ME'!$E$7, TRUE, FALSE)</f>
        <v>1</v>
      </c>
      <c r="Q223" t="b">
        <f>IF(ROW()-ROW($Q$1)+1 &lt;= 'FILL ME'!$E$8, TRUE, FALSE)</f>
        <v>1</v>
      </c>
      <c r="R223" t="b">
        <f>IF(ROW()-ROW($R$1)+1 &lt;= 'FILL ME'!$E$10, TRUE, FALSE)</f>
        <v>1</v>
      </c>
    </row>
    <row r="224" spans="1:18" x14ac:dyDescent="0.25">
      <c r="A224" s="7" t="str">
        <f>'FILL ME'!$B$8</f>
        <v>Grab</v>
      </c>
      <c r="B224" t="str">
        <f>IF('FILL ME'!$B$3 = "", "", 'FILL ME'!$B$3)</f>
        <v>WWS</v>
      </c>
      <c r="C224" t="str">
        <f>IF('FILL ME'!$B$4 = "", "", 'FILL ME'!$B$4)</f>
        <v>SSFLAT</v>
      </c>
      <c r="D224" s="7" t="str">
        <f>TEXT('FILL ME'!$B$7,"yyyymmdd")</f>
        <v>20260319</v>
      </c>
      <c r="E224" s="8" t="str">
        <f t="shared" si="12"/>
        <v/>
      </c>
      <c r="F224" s="7">
        <f>IF('FILL ME'!$B$8="ISCO",'FILL ME'!$B$7+'FILL ME'!$B$12+('FILL ME'!$B$13*(G224-'FILL ME'!$B$14)),'FILL ME'!$B$7)</f>
        <v>46100</v>
      </c>
      <c r="G224" s="8">
        <v>7</v>
      </c>
      <c r="H224" s="2" t="str">
        <v>MCSN10</v>
      </c>
      <c r="I224" s="9" t="str">
        <f t="shared" si="13"/>
        <v>MCSN10_07</v>
      </c>
      <c r="J224" s="10" t="str">
        <f t="shared" si="14"/>
        <v>SSFLAT_MCSN10_20260319_07</v>
      </c>
      <c r="K224" s="10" t="str">
        <f t="shared" si="15"/>
        <v>SSFLAT_MCSN10_20260319_</v>
      </c>
      <c r="L224" t="b">
        <f>IF(ROW()-ROW($L$1)+1 &lt;= 'FILL ME'!$E$3, TRUE, FALSE)</f>
        <v>0</v>
      </c>
      <c r="M224" t="b">
        <f>IF(ROW()-ROW($M$1)+1 &lt;= 'FILL ME'!$E$4, TRUE, FALSE)</f>
        <v>1</v>
      </c>
      <c r="N224" t="b">
        <f>IF(ROW()-ROW($N$1)+1 &lt;= 'FILL ME'!$E$5, TRUE, FALSE)</f>
        <v>1</v>
      </c>
      <c r="O224" t="b">
        <f>IF(ROW()-ROW($O$1)+1 &lt;= 'FILL ME'!$E$6, TRUE, FALSE)</f>
        <v>1</v>
      </c>
      <c r="P224" t="b">
        <f>IF(ROW()-ROW($P$1)+1 &lt;= 'FILL ME'!$E$7, TRUE, FALSE)</f>
        <v>1</v>
      </c>
      <c r="Q224" t="b">
        <f>IF(ROW()-ROW($Q$1)+1 &lt;= 'FILL ME'!$E$8, TRUE, FALSE)</f>
        <v>1</v>
      </c>
      <c r="R224" t="b">
        <f>IF(ROW()-ROW($R$1)+1 &lt;= 'FILL ME'!$E$10, TRUE, FALSE)</f>
        <v>1</v>
      </c>
    </row>
    <row r="225" spans="1:18" x14ac:dyDescent="0.25">
      <c r="A225" s="7" t="str">
        <f>'FILL ME'!$B$8</f>
        <v>Grab</v>
      </c>
      <c r="B225" t="str">
        <f>IF('FILL ME'!$B$3 = "", "", 'FILL ME'!$B$3)</f>
        <v>WWS</v>
      </c>
      <c r="C225" t="str">
        <f>IF('FILL ME'!$B$4 = "", "", 'FILL ME'!$B$4)</f>
        <v>SSFLAT</v>
      </c>
      <c r="D225" s="7" t="str">
        <f>TEXT('FILL ME'!$B$7,"yyyymmdd")</f>
        <v>20260319</v>
      </c>
      <c r="E225" s="8" t="str">
        <f t="shared" si="12"/>
        <v/>
      </c>
      <c r="F225" s="7">
        <f>IF('FILL ME'!$B$8="ISCO",'FILL ME'!$B$7+'FILL ME'!$B$12+('FILL ME'!$B$13*(G225-'FILL ME'!$B$14)),'FILL ME'!$B$7)</f>
        <v>46100</v>
      </c>
      <c r="G225" s="8">
        <v>8</v>
      </c>
      <c r="H225" s="2" t="str">
        <v>MCSN10</v>
      </c>
      <c r="I225" s="9" t="str">
        <f t="shared" si="13"/>
        <v>MCSN10_08</v>
      </c>
      <c r="J225" s="10" t="str">
        <f t="shared" si="14"/>
        <v>SSFLAT_MCSN10_20260319_08</v>
      </c>
      <c r="K225" s="10" t="str">
        <f t="shared" si="15"/>
        <v>SSFLAT_MCSN10_20260319_</v>
      </c>
      <c r="L225" t="b">
        <f>IF(ROW()-ROW($L$1)+1 &lt;= 'FILL ME'!$E$3, TRUE, FALSE)</f>
        <v>0</v>
      </c>
      <c r="M225" t="b">
        <f>IF(ROW()-ROW($M$1)+1 &lt;= 'FILL ME'!$E$4, TRUE, FALSE)</f>
        <v>1</v>
      </c>
      <c r="N225" t="b">
        <f>IF(ROW()-ROW($N$1)+1 &lt;= 'FILL ME'!$E$5, TRUE, FALSE)</f>
        <v>1</v>
      </c>
      <c r="O225" t="b">
        <f>IF(ROW()-ROW($O$1)+1 &lt;= 'FILL ME'!$E$6, TRUE, FALSE)</f>
        <v>1</v>
      </c>
      <c r="P225" t="b">
        <f>IF(ROW()-ROW($P$1)+1 &lt;= 'FILL ME'!$E$7, TRUE, FALSE)</f>
        <v>1</v>
      </c>
      <c r="Q225" t="b">
        <f>IF(ROW()-ROW($Q$1)+1 &lt;= 'FILL ME'!$E$8, TRUE, FALSE)</f>
        <v>1</v>
      </c>
      <c r="R225" t="b">
        <f>IF(ROW()-ROW($R$1)+1 &lt;= 'FILL ME'!$E$10, TRUE, FALSE)</f>
        <v>1</v>
      </c>
    </row>
    <row r="226" spans="1:18" x14ac:dyDescent="0.25">
      <c r="A226" s="7" t="str">
        <f>'FILL ME'!$B$8</f>
        <v>Grab</v>
      </c>
      <c r="B226" t="str">
        <f>IF('FILL ME'!$B$3 = "", "", 'FILL ME'!$B$3)</f>
        <v>WWS</v>
      </c>
      <c r="C226" t="str">
        <f>IF('FILL ME'!$B$4 = "", "", 'FILL ME'!$B$4)</f>
        <v>SSFLAT</v>
      </c>
      <c r="D226" s="7" t="str">
        <f>TEXT('FILL ME'!$B$7,"yyyymmdd")</f>
        <v>20260319</v>
      </c>
      <c r="E226" s="8" t="str">
        <f t="shared" si="12"/>
        <v/>
      </c>
      <c r="F226" s="7">
        <f>IF('FILL ME'!$B$8="ISCO",'FILL ME'!$B$7+'FILL ME'!$B$12+('FILL ME'!$B$13*(G226-'FILL ME'!$B$14)),'FILL ME'!$B$7)</f>
        <v>46100</v>
      </c>
      <c r="G226" s="8">
        <v>9</v>
      </c>
      <c r="H226" s="2" t="str">
        <v>MCSN10</v>
      </c>
      <c r="I226" s="9" t="str">
        <f t="shared" si="13"/>
        <v>MCSN10_09</v>
      </c>
      <c r="J226" s="10" t="str">
        <f t="shared" si="14"/>
        <v>SSFLAT_MCSN10_20260319_09</v>
      </c>
      <c r="K226" s="10" t="str">
        <f t="shared" si="15"/>
        <v>SSFLAT_MCSN10_20260319_</v>
      </c>
      <c r="L226" t="b">
        <f>IF(ROW()-ROW($L$1)+1 &lt;= 'FILL ME'!$E$3, TRUE, FALSE)</f>
        <v>0</v>
      </c>
      <c r="M226" t="b">
        <f>IF(ROW()-ROW($M$1)+1 &lt;= 'FILL ME'!$E$4, TRUE, FALSE)</f>
        <v>1</v>
      </c>
      <c r="N226" t="b">
        <f>IF(ROW()-ROW($N$1)+1 &lt;= 'FILL ME'!$E$5, TRUE, FALSE)</f>
        <v>1</v>
      </c>
      <c r="O226" t="b">
        <f>IF(ROW()-ROW($O$1)+1 &lt;= 'FILL ME'!$E$6, TRUE, FALSE)</f>
        <v>1</v>
      </c>
      <c r="P226" t="b">
        <f>IF(ROW()-ROW($P$1)+1 &lt;= 'FILL ME'!$E$7, TRUE, FALSE)</f>
        <v>1</v>
      </c>
      <c r="Q226" t="b">
        <f>IF(ROW()-ROW($Q$1)+1 &lt;= 'FILL ME'!$E$8, TRUE, FALSE)</f>
        <v>1</v>
      </c>
      <c r="R226" t="b">
        <f>IF(ROW()-ROW($R$1)+1 &lt;= 'FILL ME'!$E$10, TRUE, FALSE)</f>
        <v>1</v>
      </c>
    </row>
    <row r="227" spans="1:18" x14ac:dyDescent="0.25">
      <c r="A227" s="7" t="str">
        <f>'FILL ME'!$B$8</f>
        <v>Grab</v>
      </c>
      <c r="B227" t="str">
        <f>IF('FILL ME'!$B$3 = "", "", 'FILL ME'!$B$3)</f>
        <v>WWS</v>
      </c>
      <c r="C227" t="str">
        <f>IF('FILL ME'!$B$4 = "", "", 'FILL ME'!$B$4)</f>
        <v>SSFLAT</v>
      </c>
      <c r="D227" s="7" t="str">
        <f>TEXT('FILL ME'!$B$7,"yyyymmdd")</f>
        <v>20260319</v>
      </c>
      <c r="E227" s="8" t="str">
        <f t="shared" si="12"/>
        <v/>
      </c>
      <c r="F227" s="7">
        <f>IF('FILL ME'!$B$8="ISCO",'FILL ME'!$B$7+'FILL ME'!$B$12+('FILL ME'!$B$13*(G227-'FILL ME'!$B$14)),'FILL ME'!$B$7)</f>
        <v>46100</v>
      </c>
      <c r="G227" s="8">
        <v>10</v>
      </c>
      <c r="H227" s="2" t="str">
        <v>MCSN10</v>
      </c>
      <c r="I227" s="9" t="str">
        <f t="shared" si="13"/>
        <v>MCSN10_10</v>
      </c>
      <c r="J227" s="10" t="str">
        <f t="shared" si="14"/>
        <v>SSFLAT_MCSN10_20260319_10</v>
      </c>
      <c r="K227" s="10" t="str">
        <f t="shared" si="15"/>
        <v>SSFLAT_MCSN10_20260319_</v>
      </c>
      <c r="L227" t="b">
        <f>IF(ROW()-ROW($L$1)+1 &lt;= 'FILL ME'!$E$3, TRUE, FALSE)</f>
        <v>0</v>
      </c>
      <c r="M227" t="b">
        <f>IF(ROW()-ROW($M$1)+1 &lt;= 'FILL ME'!$E$4, TRUE, FALSE)</f>
        <v>1</v>
      </c>
      <c r="N227" t="b">
        <f>IF(ROW()-ROW($N$1)+1 &lt;= 'FILL ME'!$E$5, TRUE, FALSE)</f>
        <v>1</v>
      </c>
      <c r="O227" t="b">
        <f>IF(ROW()-ROW($O$1)+1 &lt;= 'FILL ME'!$E$6, TRUE, FALSE)</f>
        <v>1</v>
      </c>
      <c r="P227" t="b">
        <f>IF(ROW()-ROW($P$1)+1 &lt;= 'FILL ME'!$E$7, TRUE, FALSE)</f>
        <v>1</v>
      </c>
      <c r="Q227" t="b">
        <f>IF(ROW()-ROW($Q$1)+1 &lt;= 'FILL ME'!$E$8, TRUE, FALSE)</f>
        <v>1</v>
      </c>
      <c r="R227" t="b">
        <f>IF(ROW()-ROW($R$1)+1 &lt;= 'FILL ME'!$E$10, TRUE, FALSE)</f>
        <v>1</v>
      </c>
    </row>
    <row r="228" spans="1:18" x14ac:dyDescent="0.25">
      <c r="A228" s="7" t="str">
        <f>'FILL ME'!$B$8</f>
        <v>Grab</v>
      </c>
      <c r="B228" t="str">
        <f>IF('FILL ME'!$B$3 = "", "", 'FILL ME'!$B$3)</f>
        <v>WWS</v>
      </c>
      <c r="C228" t="str">
        <f>IF('FILL ME'!$B$4 = "", "", 'FILL ME'!$B$4)</f>
        <v>SSFLAT</v>
      </c>
      <c r="D228" s="7" t="str">
        <f>TEXT('FILL ME'!$B$7,"yyyymmdd")</f>
        <v>20260319</v>
      </c>
      <c r="E228" s="8" t="str">
        <f t="shared" si="12"/>
        <v/>
      </c>
      <c r="F228" s="7">
        <f>IF('FILL ME'!$B$8="ISCO",'FILL ME'!$B$7+'FILL ME'!$B$12+('FILL ME'!$B$13*(G228-'FILL ME'!$B$14)),'FILL ME'!$B$7)</f>
        <v>46100</v>
      </c>
      <c r="G228" s="8">
        <v>11</v>
      </c>
      <c r="H228" s="2" t="str">
        <v>MCSN10</v>
      </c>
      <c r="I228" s="9" t="str">
        <f t="shared" si="13"/>
        <v>MCSN10_11</v>
      </c>
      <c r="J228" s="10" t="str">
        <f t="shared" si="14"/>
        <v>SSFLAT_MCSN10_20260319_11</v>
      </c>
      <c r="K228" s="10" t="str">
        <f t="shared" si="15"/>
        <v>SSFLAT_MCSN10_20260319_</v>
      </c>
      <c r="L228" t="b">
        <f>IF(ROW()-ROW($L$1)+1 &lt;= 'FILL ME'!$E$3, TRUE, FALSE)</f>
        <v>0</v>
      </c>
      <c r="M228" t="b">
        <f>IF(ROW()-ROW($M$1)+1 &lt;= 'FILL ME'!$E$4, TRUE, FALSE)</f>
        <v>1</v>
      </c>
      <c r="N228" t="b">
        <f>IF(ROW()-ROW($N$1)+1 &lt;= 'FILL ME'!$E$5, TRUE, FALSE)</f>
        <v>1</v>
      </c>
      <c r="O228" t="b">
        <f>IF(ROW()-ROW($O$1)+1 &lt;= 'FILL ME'!$E$6, TRUE, FALSE)</f>
        <v>1</v>
      </c>
      <c r="P228" t="b">
        <f>IF(ROW()-ROW($P$1)+1 &lt;= 'FILL ME'!$E$7, TRUE, FALSE)</f>
        <v>1</v>
      </c>
      <c r="Q228" t="b">
        <f>IF(ROW()-ROW($Q$1)+1 &lt;= 'FILL ME'!$E$8, TRUE, FALSE)</f>
        <v>1</v>
      </c>
      <c r="R228" t="b">
        <f>IF(ROW()-ROW($R$1)+1 &lt;= 'FILL ME'!$E$10, TRUE, FALSE)</f>
        <v>1</v>
      </c>
    </row>
    <row r="229" spans="1:18" x14ac:dyDescent="0.25">
      <c r="A229" s="7" t="str">
        <f>'FILL ME'!$B$8</f>
        <v>Grab</v>
      </c>
      <c r="B229" t="str">
        <f>IF('FILL ME'!$B$3 = "", "", 'FILL ME'!$B$3)</f>
        <v>WWS</v>
      </c>
      <c r="C229" t="str">
        <f>IF('FILL ME'!$B$4 = "", "", 'FILL ME'!$B$4)</f>
        <v>SSFLAT</v>
      </c>
      <c r="D229" s="7" t="str">
        <f>TEXT('FILL ME'!$B$7,"yyyymmdd")</f>
        <v>20260319</v>
      </c>
      <c r="E229" s="8" t="str">
        <f t="shared" si="12"/>
        <v/>
      </c>
      <c r="F229" s="7">
        <f>IF('FILL ME'!$B$8="ISCO",'FILL ME'!$B$7+'FILL ME'!$B$12+('FILL ME'!$B$13*(G229-'FILL ME'!$B$14)),'FILL ME'!$B$7)</f>
        <v>46100</v>
      </c>
      <c r="G229" s="8">
        <v>12</v>
      </c>
      <c r="H229" s="2" t="str">
        <v>MCSN10</v>
      </c>
      <c r="I229" s="9" t="str">
        <f t="shared" si="13"/>
        <v>MCSN10_12</v>
      </c>
      <c r="J229" s="10" t="str">
        <f t="shared" si="14"/>
        <v>SSFLAT_MCSN10_20260319_12</v>
      </c>
      <c r="K229" s="10" t="str">
        <f t="shared" si="15"/>
        <v>SSFLAT_MCSN10_20260319_</v>
      </c>
      <c r="L229" t="b">
        <f>IF(ROW()-ROW($L$1)+1 &lt;= 'FILL ME'!$E$3, TRUE, FALSE)</f>
        <v>0</v>
      </c>
      <c r="M229" t="b">
        <f>IF(ROW()-ROW($M$1)+1 &lt;= 'FILL ME'!$E$4, TRUE, FALSE)</f>
        <v>1</v>
      </c>
      <c r="N229" t="b">
        <f>IF(ROW()-ROW($N$1)+1 &lt;= 'FILL ME'!$E$5, TRUE, FALSE)</f>
        <v>1</v>
      </c>
      <c r="O229" t="b">
        <f>IF(ROW()-ROW($O$1)+1 &lt;= 'FILL ME'!$E$6, TRUE, FALSE)</f>
        <v>1</v>
      </c>
      <c r="P229" t="b">
        <f>IF(ROW()-ROW($P$1)+1 &lt;= 'FILL ME'!$E$7, TRUE, FALSE)</f>
        <v>1</v>
      </c>
      <c r="Q229" t="b">
        <f>IF(ROW()-ROW($Q$1)+1 &lt;= 'FILL ME'!$E$8, TRUE, FALSE)</f>
        <v>1</v>
      </c>
      <c r="R229" t="b">
        <f>IF(ROW()-ROW($R$1)+1 &lt;= 'FILL ME'!$E$10, TRUE, FALSE)</f>
        <v>1</v>
      </c>
    </row>
    <row r="230" spans="1:18" x14ac:dyDescent="0.25">
      <c r="A230" s="7" t="str">
        <f>'FILL ME'!$B$8</f>
        <v>Grab</v>
      </c>
      <c r="B230" t="str">
        <f>IF('FILL ME'!$B$3 = "", "", 'FILL ME'!$B$3)</f>
        <v>WWS</v>
      </c>
      <c r="C230" t="str">
        <f>IF('FILL ME'!$B$4 = "", "", 'FILL ME'!$B$4)</f>
        <v>SSFLAT</v>
      </c>
      <c r="D230" s="7" t="str">
        <f>TEXT('FILL ME'!$B$7,"yyyymmdd")</f>
        <v>20260319</v>
      </c>
      <c r="E230" s="8" t="str">
        <f t="shared" si="12"/>
        <v/>
      </c>
      <c r="F230" s="7">
        <f>IF('FILL ME'!$B$8="ISCO",'FILL ME'!$B$7+'FILL ME'!$B$12+('FILL ME'!$B$13*(G230-'FILL ME'!$B$14)),'FILL ME'!$B$7)</f>
        <v>46100</v>
      </c>
      <c r="G230" s="8">
        <v>13</v>
      </c>
      <c r="H230" s="2" t="str">
        <v>MCSN10</v>
      </c>
      <c r="I230" s="9" t="str">
        <f t="shared" si="13"/>
        <v>MCSN10_13</v>
      </c>
      <c r="J230" s="10" t="str">
        <f t="shared" si="14"/>
        <v>SSFLAT_MCSN10_20260319_13</v>
      </c>
      <c r="K230" s="10" t="str">
        <f t="shared" si="15"/>
        <v>SSFLAT_MCSN10_20260319_</v>
      </c>
      <c r="L230" t="b">
        <f>IF(ROW()-ROW($L$1)+1 &lt;= 'FILL ME'!$E$3, TRUE, FALSE)</f>
        <v>0</v>
      </c>
      <c r="M230" t="b">
        <f>IF(ROW()-ROW($M$1)+1 &lt;= 'FILL ME'!$E$4, TRUE, FALSE)</f>
        <v>1</v>
      </c>
      <c r="N230" t="b">
        <f>IF(ROW()-ROW($N$1)+1 &lt;= 'FILL ME'!$E$5, TRUE, FALSE)</f>
        <v>1</v>
      </c>
      <c r="O230" t="b">
        <f>IF(ROW()-ROW($O$1)+1 &lt;= 'FILL ME'!$E$6, TRUE, FALSE)</f>
        <v>1</v>
      </c>
      <c r="P230" t="b">
        <f>IF(ROW()-ROW($P$1)+1 &lt;= 'FILL ME'!$E$7, TRUE, FALSE)</f>
        <v>1</v>
      </c>
      <c r="Q230" t="b">
        <f>IF(ROW()-ROW($Q$1)+1 &lt;= 'FILL ME'!$E$8, TRUE, FALSE)</f>
        <v>1</v>
      </c>
      <c r="R230" t="b">
        <f>IF(ROW()-ROW($R$1)+1 &lt;= 'FILL ME'!$E$10, TRUE, FALSE)</f>
        <v>1</v>
      </c>
    </row>
    <row r="231" spans="1:18" x14ac:dyDescent="0.25">
      <c r="A231" s="7" t="str">
        <f>'FILL ME'!$B$8</f>
        <v>Grab</v>
      </c>
      <c r="B231" t="str">
        <f>IF('FILL ME'!$B$3 = "", "", 'FILL ME'!$B$3)</f>
        <v>WWS</v>
      </c>
      <c r="C231" t="str">
        <f>IF('FILL ME'!$B$4 = "", "", 'FILL ME'!$B$4)</f>
        <v>SSFLAT</v>
      </c>
      <c r="D231" s="7" t="str">
        <f>TEXT('FILL ME'!$B$7,"yyyymmdd")</f>
        <v>20260319</v>
      </c>
      <c r="E231" s="8" t="str">
        <f t="shared" si="12"/>
        <v/>
      </c>
      <c r="F231" s="7">
        <f>IF('FILL ME'!$B$8="ISCO",'FILL ME'!$B$7+'FILL ME'!$B$12+('FILL ME'!$B$13*(G231-'FILL ME'!$B$14)),'FILL ME'!$B$7)</f>
        <v>46100</v>
      </c>
      <c r="G231" s="8">
        <v>14</v>
      </c>
      <c r="H231" s="2" t="str">
        <v>MCSN10</v>
      </c>
      <c r="I231" s="9" t="str">
        <f t="shared" si="13"/>
        <v>MCSN10_14</v>
      </c>
      <c r="J231" s="10" t="str">
        <f t="shared" si="14"/>
        <v>SSFLAT_MCSN10_20260319_14</v>
      </c>
      <c r="K231" s="10" t="str">
        <f t="shared" si="15"/>
        <v>SSFLAT_MCSN10_20260319_</v>
      </c>
      <c r="L231" t="b">
        <f>IF(ROW()-ROW($L$1)+1 &lt;= 'FILL ME'!$E$3, TRUE, FALSE)</f>
        <v>0</v>
      </c>
      <c r="M231" t="b">
        <f>IF(ROW()-ROW($M$1)+1 &lt;= 'FILL ME'!$E$4, TRUE, FALSE)</f>
        <v>1</v>
      </c>
      <c r="N231" t="b">
        <f>IF(ROW()-ROW($N$1)+1 &lt;= 'FILL ME'!$E$5, TRUE, FALSE)</f>
        <v>1</v>
      </c>
      <c r="O231" t="b">
        <f>IF(ROW()-ROW($O$1)+1 &lt;= 'FILL ME'!$E$6, TRUE, FALSE)</f>
        <v>1</v>
      </c>
      <c r="P231" t="b">
        <f>IF(ROW()-ROW($P$1)+1 &lt;= 'FILL ME'!$E$7, TRUE, FALSE)</f>
        <v>1</v>
      </c>
      <c r="Q231" t="b">
        <f>IF(ROW()-ROW($Q$1)+1 &lt;= 'FILL ME'!$E$8, TRUE, FALSE)</f>
        <v>1</v>
      </c>
      <c r="R231" t="b">
        <f>IF(ROW()-ROW($R$1)+1 &lt;= 'FILL ME'!$E$10, TRUE, FALSE)</f>
        <v>1</v>
      </c>
    </row>
    <row r="232" spans="1:18" x14ac:dyDescent="0.25">
      <c r="A232" s="7" t="str">
        <f>'FILL ME'!$B$8</f>
        <v>Grab</v>
      </c>
      <c r="B232" t="str">
        <f>IF('FILL ME'!$B$3 = "", "", 'FILL ME'!$B$3)</f>
        <v>WWS</v>
      </c>
      <c r="C232" t="str">
        <f>IF('FILL ME'!$B$4 = "", "", 'FILL ME'!$B$4)</f>
        <v>SSFLAT</v>
      </c>
      <c r="D232" s="7" t="str">
        <f>TEXT('FILL ME'!$B$7,"yyyymmdd")</f>
        <v>20260319</v>
      </c>
      <c r="E232" s="8" t="str">
        <f t="shared" si="12"/>
        <v/>
      </c>
      <c r="F232" s="7">
        <f>IF('FILL ME'!$B$8="ISCO",'FILL ME'!$B$7+'FILL ME'!$B$12+('FILL ME'!$B$13*(G232-'FILL ME'!$B$14)),'FILL ME'!$B$7)</f>
        <v>46100</v>
      </c>
      <c r="G232" s="8">
        <v>15</v>
      </c>
      <c r="H232" s="2" t="str">
        <v>MCSN10</v>
      </c>
      <c r="I232" s="9" t="str">
        <f t="shared" si="13"/>
        <v>MCSN10_15</v>
      </c>
      <c r="J232" s="10" t="str">
        <f t="shared" si="14"/>
        <v>SSFLAT_MCSN10_20260319_15</v>
      </c>
      <c r="K232" s="10" t="str">
        <f t="shared" si="15"/>
        <v>SSFLAT_MCSN10_20260319_</v>
      </c>
      <c r="L232" t="b">
        <f>IF(ROW()-ROW($L$1)+1 &lt;= 'FILL ME'!$E$3, TRUE, FALSE)</f>
        <v>0</v>
      </c>
      <c r="M232" t="b">
        <f>IF(ROW()-ROW($M$1)+1 &lt;= 'FILL ME'!$E$4, TRUE, FALSE)</f>
        <v>1</v>
      </c>
      <c r="N232" t="b">
        <f>IF(ROW()-ROW($N$1)+1 &lt;= 'FILL ME'!$E$5, TRUE, FALSE)</f>
        <v>1</v>
      </c>
      <c r="O232" t="b">
        <f>IF(ROW()-ROW($O$1)+1 &lt;= 'FILL ME'!$E$6, TRUE, FALSE)</f>
        <v>1</v>
      </c>
      <c r="P232" t="b">
        <f>IF(ROW()-ROW($P$1)+1 &lt;= 'FILL ME'!$E$7, TRUE, FALSE)</f>
        <v>1</v>
      </c>
      <c r="Q232" t="b">
        <f>IF(ROW()-ROW($Q$1)+1 &lt;= 'FILL ME'!$E$8, TRUE, FALSE)</f>
        <v>1</v>
      </c>
      <c r="R232" t="b">
        <f>IF(ROW()-ROW($R$1)+1 &lt;= 'FILL ME'!$E$10, TRUE, FALSE)</f>
        <v>1</v>
      </c>
    </row>
    <row r="233" spans="1:18" x14ac:dyDescent="0.25">
      <c r="A233" s="7" t="str">
        <f>'FILL ME'!$B$8</f>
        <v>Grab</v>
      </c>
      <c r="B233" t="str">
        <f>IF('FILL ME'!$B$3 = "", "", 'FILL ME'!$B$3)</f>
        <v>WWS</v>
      </c>
      <c r="C233" t="str">
        <f>IF('FILL ME'!$B$4 = "", "", 'FILL ME'!$B$4)</f>
        <v>SSFLAT</v>
      </c>
      <c r="D233" s="7" t="str">
        <f>TEXT('FILL ME'!$B$7,"yyyymmdd")</f>
        <v>20260319</v>
      </c>
      <c r="E233" s="8" t="str">
        <f t="shared" si="12"/>
        <v/>
      </c>
      <c r="F233" s="7">
        <f>IF('FILL ME'!$B$8="ISCO",'FILL ME'!$B$7+'FILL ME'!$B$12+('FILL ME'!$B$13*(G233-'FILL ME'!$B$14)),'FILL ME'!$B$7)</f>
        <v>46100</v>
      </c>
      <c r="G233" s="8">
        <v>16</v>
      </c>
      <c r="H233" s="2" t="str">
        <v>MCSN10</v>
      </c>
      <c r="I233" s="9" t="str">
        <f t="shared" si="13"/>
        <v>MCSN10_16</v>
      </c>
      <c r="J233" s="10" t="str">
        <f t="shared" si="14"/>
        <v>SSFLAT_MCSN10_20260319_16</v>
      </c>
      <c r="K233" s="10" t="str">
        <f t="shared" si="15"/>
        <v>SSFLAT_MCSN10_20260319_</v>
      </c>
      <c r="L233" t="b">
        <f>IF(ROW()-ROW($L$1)+1 &lt;= 'FILL ME'!$E$3, TRUE, FALSE)</f>
        <v>0</v>
      </c>
      <c r="M233" t="b">
        <f>IF(ROW()-ROW($M$1)+1 &lt;= 'FILL ME'!$E$4, TRUE, FALSE)</f>
        <v>1</v>
      </c>
      <c r="N233" t="b">
        <f>IF(ROW()-ROW($N$1)+1 &lt;= 'FILL ME'!$E$5, TRUE, FALSE)</f>
        <v>1</v>
      </c>
      <c r="O233" t="b">
        <f>IF(ROW()-ROW($O$1)+1 &lt;= 'FILL ME'!$E$6, TRUE, FALSE)</f>
        <v>1</v>
      </c>
      <c r="P233" t="b">
        <f>IF(ROW()-ROW($P$1)+1 &lt;= 'FILL ME'!$E$7, TRUE, FALSE)</f>
        <v>1</v>
      </c>
      <c r="Q233" t="b">
        <f>IF(ROW()-ROW($Q$1)+1 &lt;= 'FILL ME'!$E$8, TRUE, FALSE)</f>
        <v>1</v>
      </c>
      <c r="R233" t="b">
        <f>IF(ROW()-ROW($R$1)+1 &lt;= 'FILL ME'!$E$10, TRUE, FALSE)</f>
        <v>1</v>
      </c>
    </row>
    <row r="234" spans="1:18" x14ac:dyDescent="0.25">
      <c r="A234" s="7" t="str">
        <f>'FILL ME'!$B$8</f>
        <v>Grab</v>
      </c>
      <c r="B234" t="str">
        <f>IF('FILL ME'!$B$3 = "", "", 'FILL ME'!$B$3)</f>
        <v>WWS</v>
      </c>
      <c r="C234" t="str">
        <f>IF('FILL ME'!$B$4 = "", "", 'FILL ME'!$B$4)</f>
        <v>SSFLAT</v>
      </c>
      <c r="D234" s="7" t="str">
        <f>TEXT('FILL ME'!$B$7,"yyyymmdd")</f>
        <v>20260319</v>
      </c>
      <c r="E234" s="8" t="str">
        <f t="shared" si="12"/>
        <v/>
      </c>
      <c r="F234" s="7">
        <f>IF('FILL ME'!$B$8="ISCO",'FILL ME'!$B$7+'FILL ME'!$B$12+('FILL ME'!$B$13*(G234-'FILL ME'!$B$14)),'FILL ME'!$B$7)</f>
        <v>46100</v>
      </c>
      <c r="G234" s="8">
        <v>17</v>
      </c>
      <c r="H234" s="2" t="str">
        <v>MCSN10</v>
      </c>
      <c r="I234" s="9" t="str">
        <f t="shared" si="13"/>
        <v>MCSN10_17</v>
      </c>
      <c r="J234" s="10" t="str">
        <f t="shared" si="14"/>
        <v>SSFLAT_MCSN10_20260319_17</v>
      </c>
      <c r="K234" s="10" t="str">
        <f t="shared" si="15"/>
        <v>SSFLAT_MCSN10_20260319_</v>
      </c>
      <c r="L234" t="b">
        <f>IF(ROW()-ROW($L$1)+1 &lt;= 'FILL ME'!$E$3, TRUE, FALSE)</f>
        <v>0</v>
      </c>
      <c r="M234" t="b">
        <f>IF(ROW()-ROW($M$1)+1 &lt;= 'FILL ME'!$E$4, TRUE, FALSE)</f>
        <v>1</v>
      </c>
      <c r="N234" t="b">
        <f>IF(ROW()-ROW($N$1)+1 &lt;= 'FILL ME'!$E$5, TRUE, FALSE)</f>
        <v>1</v>
      </c>
      <c r="O234" t="b">
        <f>IF(ROW()-ROW($O$1)+1 &lt;= 'FILL ME'!$E$6, TRUE, FALSE)</f>
        <v>1</v>
      </c>
      <c r="P234" t="b">
        <f>IF(ROW()-ROW($P$1)+1 &lt;= 'FILL ME'!$E$7, TRUE, FALSE)</f>
        <v>1</v>
      </c>
      <c r="Q234" t="b">
        <f>IF(ROW()-ROW($Q$1)+1 &lt;= 'FILL ME'!$E$8, TRUE, FALSE)</f>
        <v>1</v>
      </c>
      <c r="R234" t="b">
        <f>IF(ROW()-ROW($R$1)+1 &lt;= 'FILL ME'!$E$10, TRUE, FALSE)</f>
        <v>1</v>
      </c>
    </row>
    <row r="235" spans="1:18" x14ac:dyDescent="0.25">
      <c r="A235" s="7" t="str">
        <f>'FILL ME'!$B$8</f>
        <v>Grab</v>
      </c>
      <c r="B235" t="str">
        <f>IF('FILL ME'!$B$3 = "", "", 'FILL ME'!$B$3)</f>
        <v>WWS</v>
      </c>
      <c r="C235" t="str">
        <f>IF('FILL ME'!$B$4 = "", "", 'FILL ME'!$B$4)</f>
        <v>SSFLAT</v>
      </c>
      <c r="D235" s="7" t="str">
        <f>TEXT('FILL ME'!$B$7,"yyyymmdd")</f>
        <v>20260319</v>
      </c>
      <c r="E235" s="8" t="str">
        <f t="shared" si="12"/>
        <v/>
      </c>
      <c r="F235" s="7">
        <f>IF('FILL ME'!$B$8="ISCO",'FILL ME'!$B$7+'FILL ME'!$B$12+('FILL ME'!$B$13*(G235-'FILL ME'!$B$14)),'FILL ME'!$B$7)</f>
        <v>46100</v>
      </c>
      <c r="G235" s="8">
        <v>18</v>
      </c>
      <c r="H235" s="2" t="str">
        <v>MCSN10</v>
      </c>
      <c r="I235" s="9" t="str">
        <f t="shared" si="13"/>
        <v>MCSN10_18</v>
      </c>
      <c r="J235" s="10" t="str">
        <f t="shared" si="14"/>
        <v>SSFLAT_MCSN10_20260319_18</v>
      </c>
      <c r="K235" s="10" t="str">
        <f t="shared" si="15"/>
        <v>SSFLAT_MCSN10_20260319_</v>
      </c>
      <c r="L235" t="b">
        <f>IF(ROW()-ROW($L$1)+1 &lt;= 'FILL ME'!$E$3, TRUE, FALSE)</f>
        <v>0</v>
      </c>
      <c r="M235" t="b">
        <f>IF(ROW()-ROW($M$1)+1 &lt;= 'FILL ME'!$E$4, TRUE, FALSE)</f>
        <v>1</v>
      </c>
      <c r="N235" t="b">
        <f>IF(ROW()-ROW($N$1)+1 &lt;= 'FILL ME'!$E$5, TRUE, FALSE)</f>
        <v>1</v>
      </c>
      <c r="O235" t="b">
        <f>IF(ROW()-ROW($O$1)+1 &lt;= 'FILL ME'!$E$6, TRUE, FALSE)</f>
        <v>1</v>
      </c>
      <c r="P235" t="b">
        <f>IF(ROW()-ROW($P$1)+1 &lt;= 'FILL ME'!$E$7, TRUE, FALSE)</f>
        <v>1</v>
      </c>
      <c r="Q235" t="b">
        <f>IF(ROW()-ROW($Q$1)+1 &lt;= 'FILL ME'!$E$8, TRUE, FALSE)</f>
        <v>1</v>
      </c>
      <c r="R235" t="b">
        <f>IF(ROW()-ROW($R$1)+1 &lt;= 'FILL ME'!$E$10, TRUE, FALSE)</f>
        <v>1</v>
      </c>
    </row>
    <row r="236" spans="1:18" x14ac:dyDescent="0.25">
      <c r="A236" s="7" t="str">
        <f>'FILL ME'!$B$8</f>
        <v>Grab</v>
      </c>
      <c r="B236" t="str">
        <f>IF('FILL ME'!$B$3 = "", "", 'FILL ME'!$B$3)</f>
        <v>WWS</v>
      </c>
      <c r="C236" t="str">
        <f>IF('FILL ME'!$B$4 = "", "", 'FILL ME'!$B$4)</f>
        <v>SSFLAT</v>
      </c>
      <c r="D236" s="7" t="str">
        <f>TEXT('FILL ME'!$B$7,"yyyymmdd")</f>
        <v>20260319</v>
      </c>
      <c r="E236" s="8" t="str">
        <f t="shared" si="12"/>
        <v/>
      </c>
      <c r="F236" s="7">
        <f>IF('FILL ME'!$B$8="ISCO",'FILL ME'!$B$7+'FILL ME'!$B$12+('FILL ME'!$B$13*(G236-'FILL ME'!$B$14)),'FILL ME'!$B$7)</f>
        <v>46100</v>
      </c>
      <c r="G236" s="8">
        <v>19</v>
      </c>
      <c r="H236" s="2" t="str">
        <v>MCSN10</v>
      </c>
      <c r="I236" s="9" t="str">
        <f t="shared" si="13"/>
        <v>MCSN10_19</v>
      </c>
      <c r="J236" s="10" t="str">
        <f t="shared" si="14"/>
        <v>SSFLAT_MCSN10_20260319_19</v>
      </c>
      <c r="K236" s="10" t="str">
        <f t="shared" si="15"/>
        <v>SSFLAT_MCSN10_20260319_</v>
      </c>
      <c r="L236" t="b">
        <f>IF(ROW()-ROW($L$1)+1 &lt;= 'FILL ME'!$E$3, TRUE, FALSE)</f>
        <v>0</v>
      </c>
      <c r="M236" t="b">
        <f>IF(ROW()-ROW($M$1)+1 &lt;= 'FILL ME'!$E$4, TRUE, FALSE)</f>
        <v>1</v>
      </c>
      <c r="N236" t="b">
        <f>IF(ROW()-ROW($N$1)+1 &lt;= 'FILL ME'!$E$5, TRUE, FALSE)</f>
        <v>1</v>
      </c>
      <c r="O236" t="b">
        <f>IF(ROW()-ROW($O$1)+1 &lt;= 'FILL ME'!$E$6, TRUE, FALSE)</f>
        <v>1</v>
      </c>
      <c r="P236" t="b">
        <f>IF(ROW()-ROW($P$1)+1 &lt;= 'FILL ME'!$E$7, TRUE, FALSE)</f>
        <v>1</v>
      </c>
      <c r="Q236" t="b">
        <f>IF(ROW()-ROW($Q$1)+1 &lt;= 'FILL ME'!$E$8, TRUE, FALSE)</f>
        <v>1</v>
      </c>
      <c r="R236" t="b">
        <f>IF(ROW()-ROW($R$1)+1 &lt;= 'FILL ME'!$E$10, TRUE, FALSE)</f>
        <v>1</v>
      </c>
    </row>
    <row r="237" spans="1:18" x14ac:dyDescent="0.25">
      <c r="A237" s="7" t="str">
        <f>'FILL ME'!$B$8</f>
        <v>Grab</v>
      </c>
      <c r="B237" t="str">
        <f>IF('FILL ME'!$B$3 = "", "", 'FILL ME'!$B$3)</f>
        <v>WWS</v>
      </c>
      <c r="C237" t="str">
        <f>IF('FILL ME'!$B$4 = "", "", 'FILL ME'!$B$4)</f>
        <v>SSFLAT</v>
      </c>
      <c r="D237" s="7" t="str">
        <f>TEXT('FILL ME'!$B$7,"yyyymmdd")</f>
        <v>20260319</v>
      </c>
      <c r="E237" s="8" t="str">
        <f t="shared" si="12"/>
        <v/>
      </c>
      <c r="F237" s="7">
        <f>IF('FILL ME'!$B$8="ISCO",'FILL ME'!$B$7+'FILL ME'!$B$12+('FILL ME'!$B$13*(G237-'FILL ME'!$B$14)),'FILL ME'!$B$7)</f>
        <v>46100</v>
      </c>
      <c r="G237" s="8">
        <v>20</v>
      </c>
      <c r="H237" s="2" t="str">
        <v>MCSN10</v>
      </c>
      <c r="I237" s="9" t="str">
        <f t="shared" si="13"/>
        <v>MCSN10_20</v>
      </c>
      <c r="J237" s="10" t="str">
        <f t="shared" si="14"/>
        <v>SSFLAT_MCSN10_20260319_20</v>
      </c>
      <c r="K237" s="10" t="str">
        <f t="shared" si="15"/>
        <v>SSFLAT_MCSN10_20260319_</v>
      </c>
      <c r="L237" t="b">
        <f>IF(ROW()-ROW($L$1)+1 &lt;= 'FILL ME'!$E$3, TRUE, FALSE)</f>
        <v>0</v>
      </c>
      <c r="M237" t="b">
        <f>IF(ROW()-ROW($M$1)+1 &lt;= 'FILL ME'!$E$4, TRUE, FALSE)</f>
        <v>1</v>
      </c>
      <c r="N237" t="b">
        <f>IF(ROW()-ROW($N$1)+1 &lt;= 'FILL ME'!$E$5, TRUE, FALSE)</f>
        <v>1</v>
      </c>
      <c r="O237" t="b">
        <f>IF(ROW()-ROW($O$1)+1 &lt;= 'FILL ME'!$E$6, TRUE, FALSE)</f>
        <v>1</v>
      </c>
      <c r="P237" t="b">
        <f>IF(ROW()-ROW($P$1)+1 &lt;= 'FILL ME'!$E$7, TRUE, FALSE)</f>
        <v>1</v>
      </c>
      <c r="Q237" t="b">
        <f>IF(ROW()-ROW($Q$1)+1 &lt;= 'FILL ME'!$E$8, TRUE, FALSE)</f>
        <v>1</v>
      </c>
      <c r="R237" t="b">
        <f>IF(ROW()-ROW($R$1)+1 &lt;= 'FILL ME'!$E$10, TRUE, FALSE)</f>
        <v>1</v>
      </c>
    </row>
    <row r="238" spans="1:18" x14ac:dyDescent="0.25">
      <c r="A238" s="7" t="str">
        <f>'FILL ME'!$B$8</f>
        <v>Grab</v>
      </c>
      <c r="B238" t="str">
        <f>IF('FILL ME'!$B$3 = "", "", 'FILL ME'!$B$3)</f>
        <v>WWS</v>
      </c>
      <c r="C238" t="str">
        <f>IF('FILL ME'!$B$4 = "", "", 'FILL ME'!$B$4)</f>
        <v>SSFLAT</v>
      </c>
      <c r="D238" s="7" t="str">
        <f>TEXT('FILL ME'!$B$7,"yyyymmdd")</f>
        <v>20260319</v>
      </c>
      <c r="E238" s="8" t="str">
        <f t="shared" si="12"/>
        <v/>
      </c>
      <c r="F238" s="7">
        <f>IF('FILL ME'!$B$8="ISCO",'FILL ME'!$B$7+'FILL ME'!$B$12+('FILL ME'!$B$13*(G238-'FILL ME'!$B$14)),'FILL ME'!$B$7)</f>
        <v>46100</v>
      </c>
      <c r="G238" s="8">
        <v>21</v>
      </c>
      <c r="H238" s="2" t="str">
        <v>MCSN10</v>
      </c>
      <c r="I238" s="9" t="str">
        <f t="shared" si="13"/>
        <v>MCSN10_21</v>
      </c>
      <c r="J238" s="10" t="str">
        <f t="shared" si="14"/>
        <v>SSFLAT_MCSN10_20260319_21</v>
      </c>
      <c r="K238" s="10" t="str">
        <f t="shared" si="15"/>
        <v>SSFLAT_MCSN10_20260319_</v>
      </c>
      <c r="L238" t="b">
        <f>IF(ROW()-ROW($L$1)+1 &lt;= 'FILL ME'!$E$3, TRUE, FALSE)</f>
        <v>0</v>
      </c>
      <c r="M238" t="b">
        <f>IF(ROW()-ROW($M$1)+1 &lt;= 'FILL ME'!$E$4, TRUE, FALSE)</f>
        <v>1</v>
      </c>
      <c r="N238" t="b">
        <f>IF(ROW()-ROW($N$1)+1 &lt;= 'FILL ME'!$E$5, TRUE, FALSE)</f>
        <v>1</v>
      </c>
      <c r="O238" t="b">
        <f>IF(ROW()-ROW($O$1)+1 &lt;= 'FILL ME'!$E$6, TRUE, FALSE)</f>
        <v>1</v>
      </c>
      <c r="P238" t="b">
        <f>IF(ROW()-ROW($P$1)+1 &lt;= 'FILL ME'!$E$7, TRUE, FALSE)</f>
        <v>1</v>
      </c>
      <c r="Q238" t="b">
        <f>IF(ROW()-ROW($Q$1)+1 &lt;= 'FILL ME'!$E$8, TRUE, FALSE)</f>
        <v>1</v>
      </c>
      <c r="R238" t="b">
        <f>IF(ROW()-ROW($R$1)+1 &lt;= 'FILL ME'!$E$10, TRUE, FALSE)</f>
        <v>1</v>
      </c>
    </row>
    <row r="239" spans="1:18" x14ac:dyDescent="0.25">
      <c r="A239" s="7" t="str">
        <f>'FILL ME'!$B$8</f>
        <v>Grab</v>
      </c>
      <c r="B239" t="str">
        <f>IF('FILL ME'!$B$3 = "", "", 'FILL ME'!$B$3)</f>
        <v>WWS</v>
      </c>
      <c r="C239" t="str">
        <f>IF('FILL ME'!$B$4 = "", "", 'FILL ME'!$B$4)</f>
        <v>SSFLAT</v>
      </c>
      <c r="D239" s="7" t="str">
        <f>TEXT('FILL ME'!$B$7,"yyyymmdd")</f>
        <v>20260319</v>
      </c>
      <c r="E239" s="8" t="str">
        <f t="shared" si="12"/>
        <v/>
      </c>
      <c r="F239" s="7">
        <f>IF('FILL ME'!$B$8="ISCO",'FILL ME'!$B$7+'FILL ME'!$B$12+('FILL ME'!$B$13*(G239-'FILL ME'!$B$14)),'FILL ME'!$B$7)</f>
        <v>46100</v>
      </c>
      <c r="G239" s="8">
        <v>22</v>
      </c>
      <c r="H239" s="2" t="str">
        <v>MCSN10</v>
      </c>
      <c r="I239" s="9" t="str">
        <f t="shared" si="13"/>
        <v>MCSN10_22</v>
      </c>
      <c r="J239" s="10" t="str">
        <f t="shared" si="14"/>
        <v>SSFLAT_MCSN10_20260319_22</v>
      </c>
      <c r="K239" s="10" t="str">
        <f t="shared" si="15"/>
        <v>SSFLAT_MCSN10_20260319_</v>
      </c>
      <c r="L239" t="b">
        <f>IF(ROW()-ROW($L$1)+1 &lt;= 'FILL ME'!$E$3, TRUE, FALSE)</f>
        <v>0</v>
      </c>
      <c r="M239" t="b">
        <f>IF(ROW()-ROW($M$1)+1 &lt;= 'FILL ME'!$E$4, TRUE, FALSE)</f>
        <v>1</v>
      </c>
      <c r="N239" t="b">
        <f>IF(ROW()-ROW($N$1)+1 &lt;= 'FILL ME'!$E$5, TRUE, FALSE)</f>
        <v>1</v>
      </c>
      <c r="O239" t="b">
        <f>IF(ROW()-ROW($O$1)+1 &lt;= 'FILL ME'!$E$6, TRUE, FALSE)</f>
        <v>1</v>
      </c>
      <c r="P239" t="b">
        <f>IF(ROW()-ROW($P$1)+1 &lt;= 'FILL ME'!$E$7, TRUE, FALSE)</f>
        <v>1</v>
      </c>
      <c r="Q239" t="b">
        <f>IF(ROW()-ROW($Q$1)+1 &lt;= 'FILL ME'!$E$8, TRUE, FALSE)</f>
        <v>1</v>
      </c>
      <c r="R239" t="b">
        <f>IF(ROW()-ROW($R$1)+1 &lt;= 'FILL ME'!$E$10, TRUE, FALSE)</f>
        <v>1</v>
      </c>
    </row>
    <row r="240" spans="1:18" x14ac:dyDescent="0.25">
      <c r="A240" s="7" t="str">
        <f>'FILL ME'!$B$8</f>
        <v>Grab</v>
      </c>
      <c r="B240" t="str">
        <f>IF('FILL ME'!$B$3 = "", "", 'FILL ME'!$B$3)</f>
        <v>WWS</v>
      </c>
      <c r="C240" t="str">
        <f>IF('FILL ME'!$B$4 = "", "", 'FILL ME'!$B$4)</f>
        <v>SSFLAT</v>
      </c>
      <c r="D240" s="7" t="str">
        <f>TEXT('FILL ME'!$B$7,"yyyymmdd")</f>
        <v>20260319</v>
      </c>
      <c r="E240" s="8" t="str">
        <f t="shared" si="12"/>
        <v/>
      </c>
      <c r="F240" s="7">
        <f>IF('FILL ME'!$B$8="ISCO",'FILL ME'!$B$7+'FILL ME'!$B$12+('FILL ME'!$B$13*(G240-'FILL ME'!$B$14)),'FILL ME'!$B$7)</f>
        <v>46100</v>
      </c>
      <c r="G240" s="8">
        <v>23</v>
      </c>
      <c r="H240" s="2" t="str">
        <v>MCSN10</v>
      </c>
      <c r="I240" s="9" t="str">
        <f t="shared" si="13"/>
        <v>MCSN10_23</v>
      </c>
      <c r="J240" s="10" t="str">
        <f t="shared" si="14"/>
        <v>SSFLAT_MCSN10_20260319_23</v>
      </c>
      <c r="K240" s="10" t="str">
        <f t="shared" si="15"/>
        <v>SSFLAT_MCSN10_20260319_</v>
      </c>
      <c r="L240" t="b">
        <f>IF(ROW()-ROW($L$1)+1 &lt;= 'FILL ME'!$E$3, TRUE, FALSE)</f>
        <v>0</v>
      </c>
      <c r="M240" t="b">
        <f>IF(ROW()-ROW($M$1)+1 &lt;= 'FILL ME'!$E$4, TRUE, FALSE)</f>
        <v>1</v>
      </c>
      <c r="N240" t="b">
        <f>IF(ROW()-ROW($N$1)+1 &lt;= 'FILL ME'!$E$5, TRUE, FALSE)</f>
        <v>1</v>
      </c>
      <c r="O240" t="b">
        <f>IF(ROW()-ROW($O$1)+1 &lt;= 'FILL ME'!$E$6, TRUE, FALSE)</f>
        <v>1</v>
      </c>
      <c r="P240" t="b">
        <f>IF(ROW()-ROW($P$1)+1 &lt;= 'FILL ME'!$E$7, TRUE, FALSE)</f>
        <v>1</v>
      </c>
      <c r="Q240" t="b">
        <f>IF(ROW()-ROW($Q$1)+1 &lt;= 'FILL ME'!$E$8, TRUE, FALSE)</f>
        <v>1</v>
      </c>
      <c r="R240" t="b">
        <f>IF(ROW()-ROW($R$1)+1 &lt;= 'FILL ME'!$E$10, TRUE, FALSE)</f>
        <v>1</v>
      </c>
    </row>
    <row r="241" spans="1:18" x14ac:dyDescent="0.25">
      <c r="A241" s="7" t="str">
        <f>'FILL ME'!$B$8</f>
        <v>Grab</v>
      </c>
      <c r="B241" t="str">
        <f>IF('FILL ME'!$B$3 = "", "", 'FILL ME'!$B$3)</f>
        <v>WWS</v>
      </c>
      <c r="C241" t="str">
        <f>IF('FILL ME'!$B$4 = "", "", 'FILL ME'!$B$4)</f>
        <v>SSFLAT</v>
      </c>
      <c r="D241" s="7" t="str">
        <f>TEXT('FILL ME'!$B$7,"yyyymmdd")</f>
        <v>20260319</v>
      </c>
      <c r="E241" s="8" t="str">
        <f t="shared" si="12"/>
        <v/>
      </c>
      <c r="F241" s="7">
        <f>IF('FILL ME'!$B$8="ISCO",'FILL ME'!$B$7+'FILL ME'!$B$12+('FILL ME'!$B$13*(G241-'FILL ME'!$B$14)),'FILL ME'!$B$7)</f>
        <v>46100</v>
      </c>
      <c r="G241" s="8">
        <v>24</v>
      </c>
      <c r="H241" s="2" t="str">
        <v>MCSN10</v>
      </c>
      <c r="I241" s="9" t="str">
        <f t="shared" si="13"/>
        <v>MCSN10_24</v>
      </c>
      <c r="J241" s="10" t="str">
        <f t="shared" si="14"/>
        <v>SSFLAT_MCSN10_20260319_24</v>
      </c>
      <c r="K241" s="10" t="str">
        <f t="shared" si="15"/>
        <v>SSFLAT_MCSN10_20260319_</v>
      </c>
      <c r="L241" t="b">
        <f>IF(ROW()-ROW($L$1)+1 &lt;= 'FILL ME'!$E$3, TRUE, FALSE)</f>
        <v>0</v>
      </c>
      <c r="M241" t="b">
        <f>IF(ROW()-ROW($M$1)+1 &lt;= 'FILL ME'!$E$4, TRUE, FALSE)</f>
        <v>0</v>
      </c>
      <c r="N241" t="b">
        <f>IF(ROW()-ROW($N$1)+1 &lt;= 'FILL ME'!$E$5, TRUE, FALSE)</f>
        <v>0</v>
      </c>
      <c r="O241" t="b">
        <f>IF(ROW()-ROW($O$1)+1 &lt;= 'FILL ME'!$E$6, TRUE, FALSE)</f>
        <v>0</v>
      </c>
      <c r="P241" t="b">
        <f>IF(ROW()-ROW($P$1)+1 &lt;= 'FILL ME'!$E$7, TRUE, FALSE)</f>
        <v>0</v>
      </c>
      <c r="Q241" t="b">
        <f>IF(ROW()-ROW($Q$1)+1 &lt;= 'FILL ME'!$E$8, TRUE, FALSE)</f>
        <v>0</v>
      </c>
      <c r="R241" t="b">
        <f>IF(ROW()-ROW($R$1)+1 &lt;= 'FILL ME'!$E$10, TRUE, FALSE)</f>
        <v>0</v>
      </c>
    </row>
    <row r="242" spans="1:18" x14ac:dyDescent="0.25">
      <c r="A242" s="7" t="str">
        <f>'FILL ME'!$B$8</f>
        <v>Grab</v>
      </c>
      <c r="B242" t="str">
        <f>IF('FILL ME'!$B$3 = "", "", 'FILL ME'!$B$3)</f>
        <v>WWS</v>
      </c>
      <c r="C242" t="str">
        <f>IF('FILL ME'!$B$4 = "", "", 'FILL ME'!$B$4)</f>
        <v>SSFLAT</v>
      </c>
      <c r="D242" s="7" t="str">
        <f>TEXT('FILL ME'!$B$7,"yyyymmdd")</f>
        <v>20260319</v>
      </c>
      <c r="E242" s="8" t="str">
        <f t="shared" si="12"/>
        <v/>
      </c>
      <c r="F242" s="7">
        <f>IF('FILL ME'!$B$8="ISCO",'FILL ME'!$B$7+'FILL ME'!$B$12+('FILL ME'!$B$13*(G242-'FILL ME'!$B$14)),'FILL ME'!$B$7)</f>
        <v>46100</v>
      </c>
      <c r="G242" s="8"/>
      <c r="I242" s="9" t="str">
        <f t="shared" si="13"/>
        <v>_00</v>
      </c>
      <c r="J242" s="10" t="str">
        <f t="shared" si="14"/>
        <v>SSFLAT__20260319_00</v>
      </c>
      <c r="K242" s="10" t="str">
        <f t="shared" si="15"/>
        <v>SSFLAT__20260319_</v>
      </c>
      <c r="L242" t="b">
        <f>IF(ROW()-ROW($L$1)+1 &lt;= 'FILL ME'!$E$3, TRUE, FALSE)</f>
        <v>0</v>
      </c>
      <c r="M242" t="b">
        <f>IF(ROW()-ROW($M$1)+1 &lt;= 'FILL ME'!$E$4, TRUE, FALSE)</f>
        <v>0</v>
      </c>
      <c r="N242" t="b">
        <f>IF(ROW()-ROW($N$1)+1 &lt;= 'FILL ME'!$E$5, TRUE, FALSE)</f>
        <v>0</v>
      </c>
      <c r="O242" t="b">
        <f>IF(ROW()-ROW($O$1)+1 &lt;= 'FILL ME'!$E$6, TRUE, FALSE)</f>
        <v>0</v>
      </c>
      <c r="P242" t="b">
        <f>IF(ROW()-ROW($P$1)+1 &lt;= 'FILL ME'!$E$7, TRUE, FALSE)</f>
        <v>0</v>
      </c>
      <c r="Q242" t="b">
        <f>IF(ROW()-ROW($Q$1)+1 &lt;= 'FILL ME'!$E$8, TRUE, FALSE)</f>
        <v>0</v>
      </c>
      <c r="R242" t="b">
        <f>IF(ROW()-ROW($R$1)+1 &lt;= 'FILL ME'!$E$10, TRUE, FALSE)</f>
        <v>0</v>
      </c>
    </row>
    <row r="243" spans="1:18" x14ac:dyDescent="0.25">
      <c r="A243" s="7" t="str">
        <f>'FILL ME'!$B$8</f>
        <v>Grab</v>
      </c>
      <c r="B243" t="str">
        <f>IF('FILL ME'!$B$3 = "", "", 'FILL ME'!$B$3)</f>
        <v>WWS</v>
      </c>
      <c r="C243" t="str">
        <f>IF('FILL ME'!$B$4 = "", "", 'FILL ME'!$B$4)</f>
        <v>SSFLAT</v>
      </c>
      <c r="D243" s="7" t="str">
        <f>TEXT('FILL ME'!$B$7,"yyyymmdd")</f>
        <v>20260319</v>
      </c>
      <c r="E243" s="8" t="str">
        <f t="shared" si="12"/>
        <v/>
      </c>
      <c r="F243" s="7">
        <f>IF('FILL ME'!$B$8="ISCO",'FILL ME'!$B$7+'FILL ME'!$B$12+('FILL ME'!$B$13*(G243-'FILL ME'!$B$14)),'FILL ME'!$B$7)</f>
        <v>46100</v>
      </c>
      <c r="G243" s="8"/>
      <c r="I243" s="9" t="str">
        <f t="shared" si="13"/>
        <v>_00</v>
      </c>
      <c r="J243" s="10" t="str">
        <f t="shared" si="14"/>
        <v>SSFLAT__20260319_00</v>
      </c>
      <c r="K243" s="10" t="str">
        <f t="shared" si="15"/>
        <v>SSFLAT__20260319_</v>
      </c>
      <c r="L243" t="b">
        <f>IF(ROW()-ROW($L$1)+1 &lt;= 'FILL ME'!$E$3, TRUE, FALSE)</f>
        <v>0</v>
      </c>
      <c r="M243" t="b">
        <f>IF(ROW()-ROW($M$1)+1 &lt;= 'FILL ME'!$E$4, TRUE, FALSE)</f>
        <v>0</v>
      </c>
      <c r="N243" t="b">
        <f>IF(ROW()-ROW($N$1)+1 &lt;= 'FILL ME'!$E$5, TRUE, FALSE)</f>
        <v>0</v>
      </c>
      <c r="O243" t="b">
        <f>IF(ROW()-ROW($O$1)+1 &lt;= 'FILL ME'!$E$6, TRUE, FALSE)</f>
        <v>0</v>
      </c>
      <c r="P243" t="b">
        <f>IF(ROW()-ROW($P$1)+1 &lt;= 'FILL ME'!$E$7, TRUE, FALSE)</f>
        <v>0</v>
      </c>
      <c r="Q243" t="b">
        <f>IF(ROW()-ROW($Q$1)+1 &lt;= 'FILL ME'!$E$8, TRUE, FALSE)</f>
        <v>0</v>
      </c>
      <c r="R243" t="b">
        <f>IF(ROW()-ROW($R$1)+1 &lt;= 'FILL ME'!$E$10, TRUE, FALSE)</f>
        <v>0</v>
      </c>
    </row>
    <row r="244" spans="1:18" x14ac:dyDescent="0.25">
      <c r="A244" s="7" t="str">
        <f>'FILL ME'!$B$8</f>
        <v>Grab</v>
      </c>
      <c r="B244" t="str">
        <f>IF('FILL ME'!$B$3 = "", "", 'FILL ME'!$B$3)</f>
        <v>WWS</v>
      </c>
      <c r="C244" t="str">
        <f>IF('FILL ME'!$B$4 = "", "", 'FILL ME'!$B$4)</f>
        <v>SSFLAT</v>
      </c>
      <c r="D244" s="7" t="str">
        <f>TEXT('FILL ME'!$B$7,"yyyymmdd")</f>
        <v>20260319</v>
      </c>
      <c r="E244" s="8" t="str">
        <f t="shared" si="12"/>
        <v/>
      </c>
      <c r="F244" s="7">
        <f>IF('FILL ME'!$B$8="ISCO",'FILL ME'!$B$7+'FILL ME'!$B$12+('FILL ME'!$B$13*(G244-'FILL ME'!$B$14)),'FILL ME'!$B$7)</f>
        <v>46100</v>
      </c>
      <c r="G244" s="8"/>
      <c r="I244" s="9" t="str">
        <f t="shared" si="13"/>
        <v>_00</v>
      </c>
      <c r="J244" s="10" t="str">
        <f t="shared" si="14"/>
        <v>SSFLAT__20260319_00</v>
      </c>
      <c r="K244" s="10" t="str">
        <f t="shared" si="15"/>
        <v>SSFLAT__20260319_</v>
      </c>
      <c r="L244" t="b">
        <f>IF(ROW()-ROW($L$1)+1 &lt;= 'FILL ME'!$E$3, TRUE, FALSE)</f>
        <v>0</v>
      </c>
      <c r="M244" t="b">
        <f>IF(ROW()-ROW($M$1)+1 &lt;= 'FILL ME'!$E$4, TRUE, FALSE)</f>
        <v>0</v>
      </c>
      <c r="N244" t="b">
        <f>IF(ROW()-ROW($N$1)+1 &lt;= 'FILL ME'!$E$5, TRUE, FALSE)</f>
        <v>0</v>
      </c>
      <c r="O244" t="b">
        <f>IF(ROW()-ROW($O$1)+1 &lt;= 'FILL ME'!$E$6, TRUE, FALSE)</f>
        <v>0</v>
      </c>
      <c r="P244" t="b">
        <f>IF(ROW()-ROW($P$1)+1 &lt;= 'FILL ME'!$E$7, TRUE, FALSE)</f>
        <v>0</v>
      </c>
      <c r="Q244" t="b">
        <f>IF(ROW()-ROW($Q$1)+1 &lt;= 'FILL ME'!$E$8, TRUE, FALSE)</f>
        <v>0</v>
      </c>
      <c r="R244" t="b">
        <f>IF(ROW()-ROW($R$1)+1 &lt;= 'FILL ME'!$E$10, TRUE, FALSE)</f>
        <v>0</v>
      </c>
    </row>
    <row r="245" spans="1:18" x14ac:dyDescent="0.25">
      <c r="A245" s="7" t="str">
        <f>'FILL ME'!$B$8</f>
        <v>Grab</v>
      </c>
      <c r="B245" t="str">
        <f>IF('FILL ME'!$B$3 = "", "", 'FILL ME'!$B$3)</f>
        <v>WWS</v>
      </c>
      <c r="C245" t="str">
        <f>IF('FILL ME'!$B$4 = "", "", 'FILL ME'!$B$4)</f>
        <v>SSFLAT</v>
      </c>
      <c r="D245" s="7" t="str">
        <f>TEXT('FILL ME'!$B$7,"yyyymmdd")</f>
        <v>20260319</v>
      </c>
      <c r="E245" s="8" t="str">
        <f t="shared" si="12"/>
        <v/>
      </c>
      <c r="F245" s="7">
        <f>IF('FILL ME'!$B$8="ISCO",'FILL ME'!$B$7+'FILL ME'!$B$12+('FILL ME'!$B$13*(G245-'FILL ME'!$B$14)),'FILL ME'!$B$7)</f>
        <v>46100</v>
      </c>
      <c r="G245" s="8"/>
      <c r="I245" s="9" t="str">
        <f t="shared" si="13"/>
        <v>_00</v>
      </c>
      <c r="J245" s="10" t="str">
        <f t="shared" si="14"/>
        <v>SSFLAT__20260319_00</v>
      </c>
      <c r="K245" s="10" t="str">
        <f t="shared" si="15"/>
        <v>SSFLAT__20260319_</v>
      </c>
      <c r="L245" t="b">
        <f>IF(ROW()-ROW($L$1)+1 &lt;= 'FILL ME'!$E$3, TRUE, FALSE)</f>
        <v>0</v>
      </c>
      <c r="M245" t="b">
        <f>IF(ROW()-ROW($M$1)+1 &lt;= 'FILL ME'!$E$4, TRUE, FALSE)</f>
        <v>0</v>
      </c>
      <c r="N245" t="b">
        <f>IF(ROW()-ROW($N$1)+1 &lt;= 'FILL ME'!$E$5, TRUE, FALSE)</f>
        <v>0</v>
      </c>
      <c r="O245" t="b">
        <f>IF(ROW()-ROW($O$1)+1 &lt;= 'FILL ME'!$E$6, TRUE, FALSE)</f>
        <v>0</v>
      </c>
      <c r="P245" t="b">
        <f>IF(ROW()-ROW($P$1)+1 &lt;= 'FILL ME'!$E$7, TRUE, FALSE)</f>
        <v>0</v>
      </c>
      <c r="Q245" t="b">
        <f>IF(ROW()-ROW($Q$1)+1 &lt;= 'FILL ME'!$E$8, TRUE, FALSE)</f>
        <v>0</v>
      </c>
      <c r="R245" t="b">
        <f>IF(ROW()-ROW($R$1)+1 &lt;= 'FILL ME'!$E$10, TRUE, FALSE)</f>
        <v>0</v>
      </c>
    </row>
    <row r="246" spans="1:18" x14ac:dyDescent="0.25">
      <c r="A246" s="7" t="str">
        <f>'FILL ME'!$B$8</f>
        <v>Grab</v>
      </c>
      <c r="B246" t="str">
        <f>IF('FILL ME'!$B$3 = "", "", 'FILL ME'!$B$3)</f>
        <v>WWS</v>
      </c>
      <c r="C246" t="str">
        <f>IF('FILL ME'!$B$4 = "", "", 'FILL ME'!$B$4)</f>
        <v>SSFLAT</v>
      </c>
      <c r="D246" s="7" t="str">
        <f>TEXT('FILL ME'!$B$7,"yyyymmdd")</f>
        <v>20260319</v>
      </c>
      <c r="E246" s="8" t="str">
        <f t="shared" si="12"/>
        <v/>
      </c>
      <c r="F246" s="7">
        <f>IF('FILL ME'!$B$8="ISCO",'FILL ME'!$B$7+'FILL ME'!$B$12+('FILL ME'!$B$13*(G246-'FILL ME'!$B$14)),'FILL ME'!$B$7)</f>
        <v>46100</v>
      </c>
      <c r="G246" s="8"/>
      <c r="I246" s="9" t="str">
        <f t="shared" si="13"/>
        <v>_00</v>
      </c>
      <c r="J246" s="10" t="str">
        <f t="shared" si="14"/>
        <v>SSFLAT__20260319_00</v>
      </c>
      <c r="K246" s="10" t="str">
        <f t="shared" si="15"/>
        <v>SSFLAT__20260319_</v>
      </c>
      <c r="L246" t="b">
        <f>IF(ROW()-ROW($L$1)+1 &lt;= 'FILL ME'!$E$3, TRUE, FALSE)</f>
        <v>0</v>
      </c>
      <c r="M246" t="b">
        <f>IF(ROW()-ROW($M$1)+1 &lt;= 'FILL ME'!$E$4, TRUE, FALSE)</f>
        <v>0</v>
      </c>
      <c r="N246" t="b">
        <f>IF(ROW()-ROW($N$1)+1 &lt;= 'FILL ME'!$E$5, TRUE, FALSE)</f>
        <v>0</v>
      </c>
      <c r="O246" t="b">
        <f>IF(ROW()-ROW($O$1)+1 &lt;= 'FILL ME'!$E$6, TRUE, FALSE)</f>
        <v>0</v>
      </c>
      <c r="P246" t="b">
        <f>IF(ROW()-ROW($P$1)+1 &lt;= 'FILL ME'!$E$7, TRUE, FALSE)</f>
        <v>0</v>
      </c>
      <c r="Q246" t="b">
        <f>IF(ROW()-ROW($Q$1)+1 &lt;= 'FILL ME'!$E$8, TRUE, FALSE)</f>
        <v>0</v>
      </c>
      <c r="R246" t="b">
        <f>IF(ROW()-ROW($R$1)+1 &lt;= 'FILL ME'!$E$10, TRUE, FALSE)</f>
        <v>0</v>
      </c>
    </row>
    <row r="247" spans="1:18" x14ac:dyDescent="0.25">
      <c r="A247" s="7" t="str">
        <f>'FILL ME'!$B$8</f>
        <v>Grab</v>
      </c>
      <c r="B247" t="str">
        <f>IF('FILL ME'!$B$3 = "", "", 'FILL ME'!$B$3)</f>
        <v>WWS</v>
      </c>
      <c r="C247" t="str">
        <f>IF('FILL ME'!$B$4 = "", "", 'FILL ME'!$B$4)</f>
        <v>SSFLAT</v>
      </c>
      <c r="D247" s="7" t="str">
        <f>TEXT('FILL ME'!$B$7,"yyyymmdd")</f>
        <v>20260319</v>
      </c>
      <c r="E247" s="8" t="str">
        <f t="shared" si="12"/>
        <v/>
      </c>
      <c r="F247" s="7">
        <f>IF('FILL ME'!$B$8="ISCO",'FILL ME'!$B$7+'FILL ME'!$B$12+('FILL ME'!$B$13*(G247-'FILL ME'!$B$14)),'FILL ME'!$B$7)</f>
        <v>46100</v>
      </c>
      <c r="G247" s="8"/>
      <c r="I247" s="9" t="str">
        <f t="shared" si="13"/>
        <v>_00</v>
      </c>
      <c r="J247" s="10" t="str">
        <f t="shared" si="14"/>
        <v>SSFLAT__20260319_00</v>
      </c>
      <c r="K247" s="10" t="str">
        <f t="shared" si="15"/>
        <v>SSFLAT__20260319_</v>
      </c>
      <c r="L247" t="b">
        <f>IF(ROW()-ROW($L$1)+1 &lt;= 'FILL ME'!$E$3, TRUE, FALSE)</f>
        <v>0</v>
      </c>
      <c r="M247" t="b">
        <f>IF(ROW()-ROW($M$1)+1 &lt;= 'FILL ME'!$E$4, TRUE, FALSE)</f>
        <v>0</v>
      </c>
      <c r="N247" t="b">
        <f>IF(ROW()-ROW($N$1)+1 &lt;= 'FILL ME'!$E$5, TRUE, FALSE)</f>
        <v>0</v>
      </c>
      <c r="O247" t="b">
        <f>IF(ROW()-ROW($O$1)+1 &lt;= 'FILL ME'!$E$6, TRUE, FALSE)</f>
        <v>0</v>
      </c>
      <c r="P247" t="b">
        <f>IF(ROW()-ROW($P$1)+1 &lt;= 'FILL ME'!$E$7, TRUE, FALSE)</f>
        <v>0</v>
      </c>
      <c r="Q247" t="b">
        <f>IF(ROW()-ROW($Q$1)+1 &lt;= 'FILL ME'!$E$8, TRUE, FALSE)</f>
        <v>0</v>
      </c>
      <c r="R247" t="b">
        <f>IF(ROW()-ROW($R$1)+1 &lt;= 'FILL ME'!$E$10, TRUE, FALSE)</f>
        <v>0</v>
      </c>
    </row>
    <row r="248" spans="1:18" x14ac:dyDescent="0.25">
      <c r="A248" s="7" t="str">
        <f>'FILL ME'!$B$8</f>
        <v>Grab</v>
      </c>
      <c r="B248" t="str">
        <f>IF('FILL ME'!$B$3 = "", "", 'FILL ME'!$B$3)</f>
        <v>WWS</v>
      </c>
      <c r="C248" t="str">
        <f>IF('FILL ME'!$B$4 = "", "", 'FILL ME'!$B$4)</f>
        <v>SSFLAT</v>
      </c>
      <c r="D248" s="7" t="str">
        <f>TEXT('FILL ME'!$B$7,"yyyymmdd")</f>
        <v>20260319</v>
      </c>
      <c r="E248" s="8" t="str">
        <f t="shared" si="12"/>
        <v/>
      </c>
      <c r="F248" s="7">
        <f>IF('FILL ME'!$B$8="ISCO",'FILL ME'!$B$7+'FILL ME'!$B$12+('FILL ME'!$B$13*(G248-'FILL ME'!$B$14)),'FILL ME'!$B$7)</f>
        <v>46100</v>
      </c>
      <c r="G248" s="8"/>
      <c r="I248" s="9" t="str">
        <f t="shared" si="13"/>
        <v>_00</v>
      </c>
      <c r="J248" s="10" t="str">
        <f t="shared" si="14"/>
        <v>SSFLAT__20260319_00</v>
      </c>
      <c r="K248" s="10" t="str">
        <f t="shared" si="15"/>
        <v>SSFLAT__20260319_</v>
      </c>
      <c r="L248" t="b">
        <f>IF(ROW()-ROW($L$1)+1 &lt;= 'FILL ME'!$E$3, TRUE, FALSE)</f>
        <v>0</v>
      </c>
      <c r="M248" t="b">
        <f>IF(ROW()-ROW($M$1)+1 &lt;= 'FILL ME'!$E$4, TRUE, FALSE)</f>
        <v>0</v>
      </c>
      <c r="N248" t="b">
        <f>IF(ROW()-ROW($N$1)+1 &lt;= 'FILL ME'!$E$5, TRUE, FALSE)</f>
        <v>0</v>
      </c>
      <c r="O248" t="b">
        <f>IF(ROW()-ROW($O$1)+1 &lt;= 'FILL ME'!$E$6, TRUE, FALSE)</f>
        <v>0</v>
      </c>
      <c r="P248" t="b">
        <f>IF(ROW()-ROW($P$1)+1 &lt;= 'FILL ME'!$E$7, TRUE, FALSE)</f>
        <v>0</v>
      </c>
      <c r="Q248" t="b">
        <f>IF(ROW()-ROW($Q$1)+1 &lt;= 'FILL ME'!$E$8, TRUE, FALSE)</f>
        <v>0</v>
      </c>
      <c r="R248" t="b">
        <f>IF(ROW()-ROW($R$1)+1 &lt;= 'FILL ME'!$E$10, TRUE, FALSE)</f>
        <v>0</v>
      </c>
    </row>
    <row r="249" spans="1:18" x14ac:dyDescent="0.25">
      <c r="A249" s="7" t="str">
        <f>'FILL ME'!$B$8</f>
        <v>Grab</v>
      </c>
      <c r="B249" t="str">
        <f>IF('FILL ME'!$B$3 = "", "", 'FILL ME'!$B$3)</f>
        <v>WWS</v>
      </c>
      <c r="C249" t="str">
        <f>IF('FILL ME'!$B$4 = "", "", 'FILL ME'!$B$4)</f>
        <v>SSFLAT</v>
      </c>
      <c r="D249" s="7" t="str">
        <f>TEXT('FILL ME'!$B$7,"yyyymmdd")</f>
        <v>20260319</v>
      </c>
      <c r="E249" s="8" t="str">
        <f t="shared" si="12"/>
        <v/>
      </c>
      <c r="F249" s="7">
        <f>IF('FILL ME'!$B$8="ISCO",'FILL ME'!$B$7+'FILL ME'!$B$12+('FILL ME'!$B$13*(G249-'FILL ME'!$B$14)),'FILL ME'!$B$7)</f>
        <v>46100</v>
      </c>
      <c r="G249" s="8"/>
      <c r="I249" s="9" t="str">
        <f t="shared" si="13"/>
        <v>_00</v>
      </c>
      <c r="J249" s="10" t="str">
        <f t="shared" si="14"/>
        <v>SSFLAT__20260319_00</v>
      </c>
      <c r="K249" s="10" t="str">
        <f t="shared" si="15"/>
        <v>SSFLAT__20260319_</v>
      </c>
      <c r="L249" t="b">
        <f>IF(ROW()-ROW($L$1)+1 &lt;= 'FILL ME'!$E$3, TRUE, FALSE)</f>
        <v>0</v>
      </c>
      <c r="M249" t="b">
        <f>IF(ROW()-ROW($M$1)+1 &lt;= 'FILL ME'!$E$4, TRUE, FALSE)</f>
        <v>0</v>
      </c>
      <c r="N249" t="b">
        <f>IF(ROW()-ROW($N$1)+1 &lt;= 'FILL ME'!$E$5, TRUE, FALSE)</f>
        <v>0</v>
      </c>
      <c r="O249" t="b">
        <f>IF(ROW()-ROW($O$1)+1 &lt;= 'FILL ME'!$E$6, TRUE, FALSE)</f>
        <v>0</v>
      </c>
      <c r="P249" t="b">
        <f>IF(ROW()-ROW($P$1)+1 &lt;= 'FILL ME'!$E$7, TRUE, FALSE)</f>
        <v>0</v>
      </c>
      <c r="Q249" t="b">
        <f>IF(ROW()-ROW($Q$1)+1 &lt;= 'FILL ME'!$E$8, TRUE, FALSE)</f>
        <v>0</v>
      </c>
      <c r="R249" t="b">
        <f>IF(ROW()-ROW($R$1)+1 &lt;= 'FILL ME'!$E$10, TRUE, FALSE)</f>
        <v>0</v>
      </c>
    </row>
    <row r="250" spans="1:18" x14ac:dyDescent="0.25">
      <c r="A250" s="7" t="str">
        <f>'FILL ME'!$B$8</f>
        <v>Grab</v>
      </c>
      <c r="B250" t="str">
        <f>IF('FILL ME'!$B$3 = "", "", 'FILL ME'!$B$3)</f>
        <v>WWS</v>
      </c>
      <c r="C250" t="str">
        <f>IF('FILL ME'!$B$4 = "", "", 'FILL ME'!$B$4)</f>
        <v>SSFLAT</v>
      </c>
      <c r="D250" s="7" t="str">
        <f>TEXT('FILL ME'!$B$7,"yyyymmdd")</f>
        <v>20260319</v>
      </c>
      <c r="E250" s="8" t="str">
        <f t="shared" si="12"/>
        <v/>
      </c>
      <c r="F250" s="7">
        <f>IF('FILL ME'!$B$8="ISCO",'FILL ME'!$B$7+'FILL ME'!$B$12+('FILL ME'!$B$13*(G250-'FILL ME'!$B$14)),'FILL ME'!$B$7)</f>
        <v>46100</v>
      </c>
      <c r="G250" s="8"/>
      <c r="I250" s="9" t="str">
        <f t="shared" si="13"/>
        <v>_00</v>
      </c>
      <c r="J250" s="10" t="str">
        <f t="shared" si="14"/>
        <v>SSFLAT__20260319_00</v>
      </c>
      <c r="K250" s="10" t="str">
        <f t="shared" si="15"/>
        <v>SSFLAT__20260319_</v>
      </c>
      <c r="L250" t="b">
        <f>IF(ROW()-ROW($L$1)+1 &lt;= 'FILL ME'!$E$3, TRUE, FALSE)</f>
        <v>0</v>
      </c>
      <c r="M250" t="b">
        <f>IF(ROW()-ROW($M$1)+1 &lt;= 'FILL ME'!$E$4, TRUE, FALSE)</f>
        <v>0</v>
      </c>
      <c r="N250" t="b">
        <f>IF(ROW()-ROW($N$1)+1 &lt;= 'FILL ME'!$E$5, TRUE, FALSE)</f>
        <v>0</v>
      </c>
      <c r="O250" t="b">
        <f>IF(ROW()-ROW($O$1)+1 &lt;= 'FILL ME'!$E$6, TRUE, FALSE)</f>
        <v>0</v>
      </c>
      <c r="P250" t="b">
        <f>IF(ROW()-ROW($P$1)+1 &lt;= 'FILL ME'!$E$7, TRUE, FALSE)</f>
        <v>0</v>
      </c>
      <c r="Q250" t="b">
        <f>IF(ROW()-ROW($Q$1)+1 &lt;= 'FILL ME'!$E$8, TRUE, FALSE)</f>
        <v>0</v>
      </c>
      <c r="R250" t="b">
        <f>IF(ROW()-ROW($R$1)+1 &lt;= 'FILL ME'!$E$10, TRUE, FALSE)</f>
        <v>0</v>
      </c>
    </row>
    <row r="251" spans="1:18" x14ac:dyDescent="0.25">
      <c r="A251" s="7" t="str">
        <f>'FILL ME'!$B$8</f>
        <v>Grab</v>
      </c>
      <c r="B251" t="str">
        <f>IF('FILL ME'!$B$3 = "", "", 'FILL ME'!$B$3)</f>
        <v>WWS</v>
      </c>
      <c r="C251" t="str">
        <f>IF('FILL ME'!$B$4 = "", "", 'FILL ME'!$B$4)</f>
        <v>SSFLAT</v>
      </c>
      <c r="D251" s="7" t="str">
        <f>TEXT('FILL ME'!$B$7,"yyyymmdd")</f>
        <v>20260319</v>
      </c>
      <c r="E251" s="8" t="str">
        <f t="shared" si="12"/>
        <v/>
      </c>
      <c r="F251" s="7">
        <f>IF('FILL ME'!$B$8="ISCO",'FILL ME'!$B$7+'FILL ME'!$B$12+('FILL ME'!$B$13*(G251-'FILL ME'!$B$14)),'FILL ME'!$B$7)</f>
        <v>46100</v>
      </c>
      <c r="G251" s="8"/>
      <c r="I251" s="9" t="str">
        <f t="shared" si="13"/>
        <v>_00</v>
      </c>
      <c r="J251" s="10" t="str">
        <f t="shared" si="14"/>
        <v>SSFLAT__20260319_00</v>
      </c>
      <c r="K251" s="10" t="str">
        <f t="shared" si="15"/>
        <v>SSFLAT__20260319_</v>
      </c>
      <c r="L251" t="b">
        <f>IF(ROW()-ROW($L$1)+1 &lt;= 'FILL ME'!$E$3, TRUE, FALSE)</f>
        <v>0</v>
      </c>
      <c r="M251" t="b">
        <f>IF(ROW()-ROW($M$1)+1 &lt;= 'FILL ME'!$E$4, TRUE, FALSE)</f>
        <v>0</v>
      </c>
      <c r="N251" t="b">
        <f>IF(ROW()-ROW($N$1)+1 &lt;= 'FILL ME'!$E$5, TRUE, FALSE)</f>
        <v>0</v>
      </c>
      <c r="O251" t="b">
        <f>IF(ROW()-ROW($O$1)+1 &lt;= 'FILL ME'!$E$6, TRUE, FALSE)</f>
        <v>0</v>
      </c>
      <c r="P251" t="b">
        <f>IF(ROW()-ROW($P$1)+1 &lt;= 'FILL ME'!$E$7, TRUE, FALSE)</f>
        <v>0</v>
      </c>
      <c r="Q251" t="b">
        <f>IF(ROW()-ROW($Q$1)+1 &lt;= 'FILL ME'!$E$8, TRUE, FALSE)</f>
        <v>0</v>
      </c>
      <c r="R251" t="b">
        <f>IF(ROW()-ROW($R$1)+1 &lt;= 'FILL ME'!$E$10, TRUE, FALSE)</f>
        <v>0</v>
      </c>
    </row>
    <row r="252" spans="1:18" x14ac:dyDescent="0.25">
      <c r="A252" s="7" t="str">
        <f>'FILL ME'!$B$8</f>
        <v>Grab</v>
      </c>
      <c r="B252" t="str">
        <f>IF('FILL ME'!$B$3 = "", "", 'FILL ME'!$B$3)</f>
        <v>WWS</v>
      </c>
      <c r="C252" t="str">
        <f>IF('FILL ME'!$B$4 = "", "", 'FILL ME'!$B$4)</f>
        <v>SSFLAT</v>
      </c>
      <c r="D252" s="7" t="str">
        <f>TEXT('FILL ME'!$B$7,"yyyymmdd")</f>
        <v>20260319</v>
      </c>
      <c r="E252" s="8" t="str">
        <f t="shared" si="12"/>
        <v/>
      </c>
      <c r="F252" s="7">
        <f>IF('FILL ME'!$B$8="ISCO",'FILL ME'!$B$7+'FILL ME'!$B$12+('FILL ME'!$B$13*(G252-'FILL ME'!$B$14)),'FILL ME'!$B$7)</f>
        <v>46100</v>
      </c>
      <c r="G252" s="8"/>
      <c r="I252" s="9" t="str">
        <f t="shared" si="13"/>
        <v>_00</v>
      </c>
      <c r="J252" s="10" t="str">
        <f t="shared" si="14"/>
        <v>SSFLAT__20260319_00</v>
      </c>
      <c r="K252" s="10" t="str">
        <f t="shared" si="15"/>
        <v>SSFLAT__20260319_</v>
      </c>
      <c r="L252" t="b">
        <f>IF(ROW()-ROW($L$1)+1 &lt;= 'FILL ME'!$E$3, TRUE, FALSE)</f>
        <v>0</v>
      </c>
      <c r="M252" t="b">
        <f>IF(ROW()-ROW($M$1)+1 &lt;= 'FILL ME'!$E$4, TRUE, FALSE)</f>
        <v>0</v>
      </c>
      <c r="N252" t="b">
        <f>IF(ROW()-ROW($N$1)+1 &lt;= 'FILL ME'!$E$5, TRUE, FALSE)</f>
        <v>0</v>
      </c>
      <c r="O252" t="b">
        <f>IF(ROW()-ROW($O$1)+1 &lt;= 'FILL ME'!$E$6, TRUE, FALSE)</f>
        <v>0</v>
      </c>
      <c r="P252" t="b">
        <f>IF(ROW()-ROW($P$1)+1 &lt;= 'FILL ME'!$E$7, TRUE, FALSE)</f>
        <v>0</v>
      </c>
      <c r="Q252" t="b">
        <f>IF(ROW()-ROW($Q$1)+1 &lt;= 'FILL ME'!$E$8, TRUE, FALSE)</f>
        <v>0</v>
      </c>
      <c r="R252" t="b">
        <f>IF(ROW()-ROW($R$1)+1 &lt;= 'FILL ME'!$E$10, TRUE, FALSE)</f>
        <v>0</v>
      </c>
    </row>
    <row r="253" spans="1:18" x14ac:dyDescent="0.25">
      <c r="A253" s="7" t="str">
        <f>'FILL ME'!$B$8</f>
        <v>Grab</v>
      </c>
      <c r="B253" t="str">
        <f>IF('FILL ME'!$B$3 = "", "", 'FILL ME'!$B$3)</f>
        <v>WWS</v>
      </c>
      <c r="C253" t="str">
        <f>IF('FILL ME'!$B$4 = "", "", 'FILL ME'!$B$4)</f>
        <v>SSFLAT</v>
      </c>
      <c r="D253" s="7" t="str">
        <f>TEXT('FILL ME'!$B$7,"yyyymmdd")</f>
        <v>20260319</v>
      </c>
      <c r="E253" s="8" t="str">
        <f t="shared" si="12"/>
        <v/>
      </c>
      <c r="F253" s="7">
        <f>IF('FILL ME'!$B$8="ISCO",'FILL ME'!$B$7+'FILL ME'!$B$12+('FILL ME'!$B$13*(G253-'FILL ME'!$B$14)),'FILL ME'!$B$7)</f>
        <v>46100</v>
      </c>
      <c r="G253" s="8"/>
      <c r="I253" s="9" t="str">
        <f t="shared" si="13"/>
        <v>_00</v>
      </c>
      <c r="J253" s="10" t="str">
        <f t="shared" si="14"/>
        <v>SSFLAT__20260319_00</v>
      </c>
      <c r="K253" s="10" t="str">
        <f t="shared" si="15"/>
        <v>SSFLAT__20260319_</v>
      </c>
      <c r="L253" t="b">
        <f>IF(ROW()-ROW($L$1)+1 &lt;= 'FILL ME'!$E$3, TRUE, FALSE)</f>
        <v>0</v>
      </c>
      <c r="M253" t="b">
        <f>IF(ROW()-ROW($M$1)+1 &lt;= 'FILL ME'!$E$4, TRUE, FALSE)</f>
        <v>0</v>
      </c>
      <c r="N253" t="b">
        <f>IF(ROW()-ROW($N$1)+1 &lt;= 'FILL ME'!$E$5, TRUE, FALSE)</f>
        <v>0</v>
      </c>
      <c r="O253" t="b">
        <f>IF(ROW()-ROW($O$1)+1 &lt;= 'FILL ME'!$E$6, TRUE, FALSE)</f>
        <v>0</v>
      </c>
      <c r="P253" t="b">
        <f>IF(ROW()-ROW($P$1)+1 &lt;= 'FILL ME'!$E$7, TRUE, FALSE)</f>
        <v>0</v>
      </c>
      <c r="Q253" t="b">
        <f>IF(ROW()-ROW($Q$1)+1 &lt;= 'FILL ME'!$E$8, TRUE, FALSE)</f>
        <v>0</v>
      </c>
      <c r="R253" t="b">
        <f>IF(ROW()-ROW($R$1)+1 &lt;= 'FILL ME'!$E$10, TRUE, FALSE)</f>
        <v>0</v>
      </c>
    </row>
    <row r="254" spans="1:18" x14ac:dyDescent="0.25">
      <c r="A254" s="7" t="str">
        <f>'FILL ME'!$B$8</f>
        <v>Grab</v>
      </c>
      <c r="B254" t="str">
        <f>IF('FILL ME'!$B$3 = "", "", 'FILL ME'!$B$3)</f>
        <v>WWS</v>
      </c>
      <c r="C254" t="str">
        <f>IF('FILL ME'!$B$4 = "", "", 'FILL ME'!$B$4)</f>
        <v>SSFLAT</v>
      </c>
      <c r="D254" s="7" t="str">
        <f>TEXT('FILL ME'!$B$7,"yyyymmdd")</f>
        <v>20260319</v>
      </c>
      <c r="E254" s="8" t="str">
        <f t="shared" si="12"/>
        <v/>
      </c>
      <c r="F254" s="7">
        <f>IF('FILL ME'!$B$8="ISCO",'FILL ME'!$B$7+'FILL ME'!$B$12+('FILL ME'!$B$13*(G254-'FILL ME'!$B$14)),'FILL ME'!$B$7)</f>
        <v>46100</v>
      </c>
      <c r="G254" s="8"/>
      <c r="I254" s="9" t="str">
        <f t="shared" si="13"/>
        <v>_00</v>
      </c>
      <c r="J254" s="10" t="str">
        <f t="shared" si="14"/>
        <v>SSFLAT__20260319_00</v>
      </c>
      <c r="K254" s="10" t="str">
        <f t="shared" si="15"/>
        <v>SSFLAT__20260319_</v>
      </c>
      <c r="L254" t="b">
        <f>IF(ROW()-ROW($L$1)+1 &lt;= 'FILL ME'!$E$3, TRUE, FALSE)</f>
        <v>0</v>
      </c>
      <c r="M254" t="b">
        <f>IF(ROW()-ROW($M$1)+1 &lt;= 'FILL ME'!$E$4, TRUE, FALSE)</f>
        <v>0</v>
      </c>
      <c r="N254" t="b">
        <f>IF(ROW()-ROW($N$1)+1 &lt;= 'FILL ME'!$E$5, TRUE, FALSE)</f>
        <v>0</v>
      </c>
      <c r="O254" t="b">
        <f>IF(ROW()-ROW($O$1)+1 &lt;= 'FILL ME'!$E$6, TRUE, FALSE)</f>
        <v>0</v>
      </c>
      <c r="P254" t="b">
        <f>IF(ROW()-ROW($P$1)+1 &lt;= 'FILL ME'!$E$7, TRUE, FALSE)</f>
        <v>0</v>
      </c>
      <c r="Q254" t="b">
        <f>IF(ROW()-ROW($Q$1)+1 &lt;= 'FILL ME'!$E$8, TRUE, FALSE)</f>
        <v>0</v>
      </c>
      <c r="R254" t="b">
        <f>IF(ROW()-ROW($R$1)+1 &lt;= 'FILL ME'!$E$10, TRUE, FALSE)</f>
        <v>0</v>
      </c>
    </row>
    <row r="255" spans="1:18" x14ac:dyDescent="0.25">
      <c r="A255" s="7" t="str">
        <f>'FILL ME'!$B$8</f>
        <v>Grab</v>
      </c>
      <c r="B255" t="str">
        <f>IF('FILL ME'!$B$3 = "", "", 'FILL ME'!$B$3)</f>
        <v>WWS</v>
      </c>
      <c r="C255" t="str">
        <f>IF('FILL ME'!$B$4 = "", "", 'FILL ME'!$B$4)</f>
        <v>SSFLAT</v>
      </c>
      <c r="D255" s="7" t="str">
        <f>TEXT('FILL ME'!$B$7,"yyyymmdd")</f>
        <v>20260319</v>
      </c>
      <c r="E255" s="8" t="str">
        <f t="shared" si="12"/>
        <v/>
      </c>
      <c r="F255" s="7">
        <f>IF('FILL ME'!$B$8="ISCO",'FILL ME'!$B$7+'FILL ME'!$B$12+('FILL ME'!$B$13*(G255-'FILL ME'!$B$14)),'FILL ME'!$B$7)</f>
        <v>46100</v>
      </c>
      <c r="G255" s="8"/>
      <c r="I255" s="9" t="str">
        <f t="shared" si="13"/>
        <v>_00</v>
      </c>
      <c r="J255" s="10" t="str">
        <f t="shared" si="14"/>
        <v>SSFLAT__20260319_00</v>
      </c>
      <c r="K255" s="10" t="str">
        <f t="shared" si="15"/>
        <v>SSFLAT__20260319_</v>
      </c>
      <c r="L255" t="b">
        <f>IF(ROW()-ROW($L$1)+1 &lt;= 'FILL ME'!$E$3, TRUE, FALSE)</f>
        <v>0</v>
      </c>
      <c r="M255" t="b">
        <f>IF(ROW()-ROW($M$1)+1 &lt;= 'FILL ME'!$E$4, TRUE, FALSE)</f>
        <v>0</v>
      </c>
      <c r="N255" t="b">
        <f>IF(ROW()-ROW($N$1)+1 &lt;= 'FILL ME'!$E$5, TRUE, FALSE)</f>
        <v>0</v>
      </c>
      <c r="O255" t="b">
        <f>IF(ROW()-ROW($O$1)+1 &lt;= 'FILL ME'!$E$6, TRUE, FALSE)</f>
        <v>0</v>
      </c>
      <c r="P255" t="b">
        <f>IF(ROW()-ROW($P$1)+1 &lt;= 'FILL ME'!$E$7, TRUE, FALSE)</f>
        <v>0</v>
      </c>
      <c r="Q255" t="b">
        <f>IF(ROW()-ROW($Q$1)+1 &lt;= 'FILL ME'!$E$8, TRUE, FALSE)</f>
        <v>0</v>
      </c>
      <c r="R255" t="b">
        <f>IF(ROW()-ROW($R$1)+1 &lt;= 'FILL ME'!$E$10, TRUE, FALSE)</f>
        <v>0</v>
      </c>
    </row>
    <row r="256" spans="1:18" x14ac:dyDescent="0.25">
      <c r="A256" s="7" t="str">
        <f>'FILL ME'!$B$8</f>
        <v>Grab</v>
      </c>
      <c r="B256" t="str">
        <f>IF('FILL ME'!$B$3 = "", "", 'FILL ME'!$B$3)</f>
        <v>WWS</v>
      </c>
      <c r="C256" t="str">
        <f>IF('FILL ME'!$B$4 = "", "", 'FILL ME'!$B$4)</f>
        <v>SSFLAT</v>
      </c>
      <c r="D256" s="7" t="str">
        <f>TEXT('FILL ME'!$B$7,"yyyymmdd")</f>
        <v>20260319</v>
      </c>
      <c r="E256" s="8" t="str">
        <f t="shared" si="12"/>
        <v/>
      </c>
      <c r="F256" s="7">
        <f>IF('FILL ME'!$B$8="ISCO",'FILL ME'!$B$7+'FILL ME'!$B$12+('FILL ME'!$B$13*(G256-'FILL ME'!$B$14)),'FILL ME'!$B$7)</f>
        <v>46100</v>
      </c>
      <c r="G256" s="8"/>
      <c r="I256" s="9" t="str">
        <f t="shared" si="13"/>
        <v>_00</v>
      </c>
      <c r="J256" s="10" t="str">
        <f t="shared" si="14"/>
        <v>SSFLAT__20260319_00</v>
      </c>
      <c r="K256" s="10" t="str">
        <f t="shared" si="15"/>
        <v>SSFLAT__20260319_</v>
      </c>
      <c r="L256" t="b">
        <f>IF(ROW()-ROW($L$1)+1 &lt;= 'FILL ME'!$E$3, TRUE, FALSE)</f>
        <v>0</v>
      </c>
      <c r="M256" t="b">
        <f>IF(ROW()-ROW($M$1)+1 &lt;= 'FILL ME'!$E$4, TRUE, FALSE)</f>
        <v>0</v>
      </c>
      <c r="N256" t="b">
        <f>IF(ROW()-ROW($N$1)+1 &lt;= 'FILL ME'!$E$5, TRUE, FALSE)</f>
        <v>0</v>
      </c>
      <c r="O256" t="b">
        <f>IF(ROW()-ROW($O$1)+1 &lt;= 'FILL ME'!$E$6, TRUE, FALSE)</f>
        <v>0</v>
      </c>
      <c r="P256" t="b">
        <f>IF(ROW()-ROW($P$1)+1 &lt;= 'FILL ME'!$E$7, TRUE, FALSE)</f>
        <v>0</v>
      </c>
      <c r="Q256" t="b">
        <f>IF(ROW()-ROW($Q$1)+1 &lt;= 'FILL ME'!$E$8, TRUE, FALSE)</f>
        <v>0</v>
      </c>
      <c r="R256" t="b">
        <f>IF(ROW()-ROW($R$1)+1 &lt;= 'FILL ME'!$E$10, TRUE, FALSE)</f>
        <v>0</v>
      </c>
    </row>
    <row r="257" spans="1:18" x14ac:dyDescent="0.25">
      <c r="A257" s="7" t="str">
        <f>'FILL ME'!$B$8</f>
        <v>Grab</v>
      </c>
      <c r="B257" t="str">
        <f>IF('FILL ME'!$B$3 = "", "", 'FILL ME'!$B$3)</f>
        <v>WWS</v>
      </c>
      <c r="C257" t="str">
        <f>IF('FILL ME'!$B$4 = "", "", 'FILL ME'!$B$4)</f>
        <v>SSFLAT</v>
      </c>
      <c r="D257" s="7" t="str">
        <f>TEXT('FILL ME'!$B$7,"yyyymmdd")</f>
        <v>20260319</v>
      </c>
      <c r="E257" s="8" t="str">
        <f t="shared" si="12"/>
        <v/>
      </c>
      <c r="F257" s="7">
        <f>IF('FILL ME'!$B$8="ISCO",'FILL ME'!$B$7+'FILL ME'!$B$12+('FILL ME'!$B$13*(G257-'FILL ME'!$B$14)),'FILL ME'!$B$7)</f>
        <v>46100</v>
      </c>
      <c r="G257" s="8"/>
      <c r="I257" s="9" t="str">
        <f t="shared" si="13"/>
        <v>_00</v>
      </c>
      <c r="J257" s="10" t="str">
        <f t="shared" si="14"/>
        <v>SSFLAT__20260319_00</v>
      </c>
      <c r="K257" s="10" t="str">
        <f t="shared" si="15"/>
        <v>SSFLAT__20260319_</v>
      </c>
      <c r="L257" t="b">
        <f>IF(ROW()-ROW($L$1)+1 &lt;= 'FILL ME'!$E$3, TRUE, FALSE)</f>
        <v>0</v>
      </c>
      <c r="M257" t="b">
        <f>IF(ROW()-ROW($M$1)+1 &lt;= 'FILL ME'!$E$4, TRUE, FALSE)</f>
        <v>0</v>
      </c>
      <c r="N257" t="b">
        <f>IF(ROW()-ROW($N$1)+1 &lt;= 'FILL ME'!$E$5, TRUE, FALSE)</f>
        <v>0</v>
      </c>
      <c r="O257" t="b">
        <f>IF(ROW()-ROW($O$1)+1 &lt;= 'FILL ME'!$E$6, TRUE, FALSE)</f>
        <v>0</v>
      </c>
      <c r="P257" t="b">
        <f>IF(ROW()-ROW($P$1)+1 &lt;= 'FILL ME'!$E$7, TRUE, FALSE)</f>
        <v>0</v>
      </c>
      <c r="Q257" t="b">
        <f>IF(ROW()-ROW($Q$1)+1 &lt;= 'FILL ME'!$E$8, TRUE, FALSE)</f>
        <v>0</v>
      </c>
      <c r="R257" t="b">
        <f>IF(ROW()-ROW($R$1)+1 &lt;= 'FILL ME'!$E$10, TRUE, FALSE)</f>
        <v>0</v>
      </c>
    </row>
    <row r="258" spans="1:18" x14ac:dyDescent="0.25">
      <c r="A258" s="7" t="str">
        <f>'FILL ME'!$B$8</f>
        <v>Grab</v>
      </c>
      <c r="B258" t="str">
        <f>IF('FILL ME'!$B$3 = "", "", 'FILL ME'!$B$3)</f>
        <v>WWS</v>
      </c>
      <c r="C258" t="str">
        <f>IF('FILL ME'!$B$4 = "", "", 'FILL ME'!$B$4)</f>
        <v>SSFLAT</v>
      </c>
      <c r="D258" s="7" t="str">
        <f>TEXT('FILL ME'!$B$7,"yyyymmdd")</f>
        <v>20260319</v>
      </c>
      <c r="E258" s="8" t="str">
        <f t="shared" ref="E258:E321" si="16">IF(A258="Grab","",TEXT(F258,"hh:mm"))</f>
        <v/>
      </c>
      <c r="F258" s="7">
        <f>IF('FILL ME'!$B$8="ISCO",'FILL ME'!$B$7+'FILL ME'!$B$12+('FILL ME'!$B$13*(G258-'FILL ME'!$B$14)),'FILL ME'!$B$7)</f>
        <v>46100</v>
      </c>
      <c r="G258" s="8"/>
      <c r="I258" s="9" t="str">
        <f t="shared" si="13"/>
        <v>_00</v>
      </c>
      <c r="J258" s="10" t="str">
        <f t="shared" si="14"/>
        <v>SSFLAT__20260319_00</v>
      </c>
      <c r="K258" s="10" t="str">
        <f t="shared" si="15"/>
        <v>SSFLAT__20260319_</v>
      </c>
      <c r="L258" t="b">
        <f>IF(ROW()-ROW($L$1)+1 &lt;= 'FILL ME'!$E$3, TRUE, FALSE)</f>
        <v>0</v>
      </c>
      <c r="M258" t="b">
        <f>IF(ROW()-ROW($M$1)+1 &lt;= 'FILL ME'!$E$4, TRUE, FALSE)</f>
        <v>0</v>
      </c>
      <c r="N258" t="b">
        <f>IF(ROW()-ROW($N$1)+1 &lt;= 'FILL ME'!$E$5, TRUE, FALSE)</f>
        <v>0</v>
      </c>
      <c r="O258" t="b">
        <f>IF(ROW()-ROW($O$1)+1 &lt;= 'FILL ME'!$E$6, TRUE, FALSE)</f>
        <v>0</v>
      </c>
      <c r="P258" t="b">
        <f>IF(ROW()-ROW($P$1)+1 &lt;= 'FILL ME'!$E$7, TRUE, FALSE)</f>
        <v>0</v>
      </c>
      <c r="Q258" t="b">
        <f>IF(ROW()-ROW($Q$1)+1 &lt;= 'FILL ME'!$E$8, TRUE, FALSE)</f>
        <v>0</v>
      </c>
      <c r="R258" t="b">
        <f>IF(ROW()-ROW($R$1)+1 &lt;= 'FILL ME'!$E$10, TRUE, FALSE)</f>
        <v>0</v>
      </c>
    </row>
    <row r="259" spans="1:18" x14ac:dyDescent="0.25">
      <c r="A259" s="7" t="str">
        <f>'FILL ME'!$B$8</f>
        <v>Grab</v>
      </c>
      <c r="B259" t="str">
        <f>IF('FILL ME'!$B$3 = "", "", 'FILL ME'!$B$3)</f>
        <v>WWS</v>
      </c>
      <c r="C259" t="str">
        <f>IF('FILL ME'!$B$4 = "", "", 'FILL ME'!$B$4)</f>
        <v>SSFLAT</v>
      </c>
      <c r="D259" s="7" t="str">
        <f>TEXT('FILL ME'!$B$7,"yyyymmdd")</f>
        <v>20260319</v>
      </c>
      <c r="E259" s="8" t="str">
        <f t="shared" si="16"/>
        <v/>
      </c>
      <c r="F259" s="7">
        <f>IF('FILL ME'!$B$8="ISCO",'FILL ME'!$B$7+'FILL ME'!$B$12+('FILL ME'!$B$13*(G259-'FILL ME'!$B$14)),'FILL ME'!$B$7)</f>
        <v>46100</v>
      </c>
      <c r="G259" s="8"/>
      <c r="I259" s="9" t="str">
        <f t="shared" ref="I259:I321" si="17">CONCATENATE(H259,"_",TEXT(G259,"00"))</f>
        <v>_00</v>
      </c>
      <c r="J259" s="10" t="str">
        <f t="shared" ref="J259:J321" si="18">CONCATENATE(C259,"_", H259,"_",D259,"_",TEXT(G259,"00"))</f>
        <v>SSFLAT__20260319_00</v>
      </c>
      <c r="K259" s="10" t="str">
        <f t="shared" ref="K259:K321" si="19">CONCATENATE(C259,"_", H259,"_",TEXT(F259, "yyyymmdd"),"_",TEXT(E259, "hhmm"))</f>
        <v>SSFLAT__20260319_</v>
      </c>
      <c r="L259" t="b">
        <f>IF(ROW()-ROW($L$1)+1 &lt;= 'FILL ME'!$E$3, TRUE, FALSE)</f>
        <v>0</v>
      </c>
      <c r="M259" t="b">
        <f>IF(ROW()-ROW($M$1)+1 &lt;= 'FILL ME'!$E$4, TRUE, FALSE)</f>
        <v>0</v>
      </c>
      <c r="N259" t="b">
        <f>IF(ROW()-ROW($N$1)+1 &lt;= 'FILL ME'!$E$5, TRUE, FALSE)</f>
        <v>0</v>
      </c>
      <c r="O259" t="b">
        <f>IF(ROW()-ROW($O$1)+1 &lt;= 'FILL ME'!$E$6, TRUE, FALSE)</f>
        <v>0</v>
      </c>
      <c r="P259" t="b">
        <f>IF(ROW()-ROW($P$1)+1 &lt;= 'FILL ME'!$E$7, TRUE, FALSE)</f>
        <v>0</v>
      </c>
      <c r="Q259" t="b">
        <f>IF(ROW()-ROW($Q$1)+1 &lt;= 'FILL ME'!$E$8, TRUE, FALSE)</f>
        <v>0</v>
      </c>
      <c r="R259" t="b">
        <f>IF(ROW()-ROW($R$1)+1 &lt;= 'FILL ME'!$E$10, TRUE, FALSE)</f>
        <v>0</v>
      </c>
    </row>
    <row r="260" spans="1:18" x14ac:dyDescent="0.25">
      <c r="A260" s="7" t="str">
        <f>'FILL ME'!$B$8</f>
        <v>Grab</v>
      </c>
      <c r="B260" t="str">
        <f>IF('FILL ME'!$B$3 = "", "", 'FILL ME'!$B$3)</f>
        <v>WWS</v>
      </c>
      <c r="C260" t="str">
        <f>IF('FILL ME'!$B$4 = "", "", 'FILL ME'!$B$4)</f>
        <v>SSFLAT</v>
      </c>
      <c r="D260" s="7" t="str">
        <f>TEXT('FILL ME'!$B$7,"yyyymmdd")</f>
        <v>20260319</v>
      </c>
      <c r="E260" s="8" t="str">
        <f t="shared" si="16"/>
        <v/>
      </c>
      <c r="F260" s="7">
        <f>IF('FILL ME'!$B$8="ISCO",'FILL ME'!$B$7+'FILL ME'!$B$12+('FILL ME'!$B$13*(G260-'FILL ME'!$B$14)),'FILL ME'!$B$7)</f>
        <v>46100</v>
      </c>
      <c r="G260" s="8"/>
      <c r="I260" s="9" t="str">
        <f t="shared" si="17"/>
        <v>_00</v>
      </c>
      <c r="J260" s="10" t="str">
        <f t="shared" si="18"/>
        <v>SSFLAT__20260319_00</v>
      </c>
      <c r="K260" s="10" t="str">
        <f t="shared" si="19"/>
        <v>SSFLAT__20260319_</v>
      </c>
      <c r="L260" t="b">
        <f>IF(ROW()-ROW($L$1)+1 &lt;= 'FILL ME'!$E$3, TRUE, FALSE)</f>
        <v>0</v>
      </c>
      <c r="M260" t="b">
        <f>IF(ROW()-ROW($M$1)+1 &lt;= 'FILL ME'!$E$4, TRUE, FALSE)</f>
        <v>0</v>
      </c>
      <c r="N260" t="b">
        <f>IF(ROW()-ROW($N$1)+1 &lt;= 'FILL ME'!$E$5, TRUE, FALSE)</f>
        <v>0</v>
      </c>
      <c r="O260" t="b">
        <f>IF(ROW()-ROW($O$1)+1 &lt;= 'FILL ME'!$E$6, TRUE, FALSE)</f>
        <v>0</v>
      </c>
      <c r="P260" t="b">
        <f>IF(ROW()-ROW($P$1)+1 &lt;= 'FILL ME'!$E$7, TRUE, FALSE)</f>
        <v>0</v>
      </c>
      <c r="Q260" t="b">
        <f>IF(ROW()-ROW($Q$1)+1 &lt;= 'FILL ME'!$E$8, TRUE, FALSE)</f>
        <v>0</v>
      </c>
      <c r="R260" t="b">
        <f>IF(ROW()-ROW($R$1)+1 &lt;= 'FILL ME'!$E$10, TRUE, FALSE)</f>
        <v>0</v>
      </c>
    </row>
    <row r="261" spans="1:18" x14ac:dyDescent="0.25">
      <c r="A261" s="7" t="str">
        <f>'FILL ME'!$B$8</f>
        <v>Grab</v>
      </c>
      <c r="B261" t="str">
        <f>IF('FILL ME'!$B$3 = "", "", 'FILL ME'!$B$3)</f>
        <v>WWS</v>
      </c>
      <c r="C261" t="str">
        <f>IF('FILL ME'!$B$4 = "", "", 'FILL ME'!$B$4)</f>
        <v>SSFLAT</v>
      </c>
      <c r="D261" s="7" t="str">
        <f>TEXT('FILL ME'!$B$7,"yyyymmdd")</f>
        <v>20260319</v>
      </c>
      <c r="E261" s="8" t="str">
        <f t="shared" si="16"/>
        <v/>
      </c>
      <c r="F261" s="7">
        <f>IF('FILL ME'!$B$8="ISCO",'FILL ME'!$B$7+'FILL ME'!$B$12+('FILL ME'!$B$13*(G261-'FILL ME'!$B$14)),'FILL ME'!$B$7)</f>
        <v>46100</v>
      </c>
      <c r="G261" s="8"/>
      <c r="I261" s="9" t="str">
        <f t="shared" si="17"/>
        <v>_00</v>
      </c>
      <c r="J261" s="10" t="str">
        <f t="shared" si="18"/>
        <v>SSFLAT__20260319_00</v>
      </c>
      <c r="K261" s="10" t="str">
        <f t="shared" si="19"/>
        <v>SSFLAT__20260319_</v>
      </c>
      <c r="L261" t="b">
        <f>IF(ROW()-ROW($L$1)+1 &lt;= 'FILL ME'!$E$3, TRUE, FALSE)</f>
        <v>0</v>
      </c>
      <c r="M261" t="b">
        <f>IF(ROW()-ROW($M$1)+1 &lt;= 'FILL ME'!$E$4, TRUE, FALSE)</f>
        <v>0</v>
      </c>
      <c r="N261" t="b">
        <f>IF(ROW()-ROW($N$1)+1 &lt;= 'FILL ME'!$E$5, TRUE, FALSE)</f>
        <v>0</v>
      </c>
      <c r="O261" t="b">
        <f>IF(ROW()-ROW($O$1)+1 &lt;= 'FILL ME'!$E$6, TRUE, FALSE)</f>
        <v>0</v>
      </c>
      <c r="P261" t="b">
        <f>IF(ROW()-ROW($P$1)+1 &lt;= 'FILL ME'!$E$7, TRUE, FALSE)</f>
        <v>0</v>
      </c>
      <c r="Q261" t="b">
        <f>IF(ROW()-ROW($Q$1)+1 &lt;= 'FILL ME'!$E$8, TRUE, FALSE)</f>
        <v>0</v>
      </c>
      <c r="R261" t="b">
        <f>IF(ROW()-ROW($R$1)+1 &lt;= 'FILL ME'!$E$10, TRUE, FALSE)</f>
        <v>0</v>
      </c>
    </row>
    <row r="262" spans="1:18" x14ac:dyDescent="0.25">
      <c r="A262" s="7" t="str">
        <f>'FILL ME'!$B$8</f>
        <v>Grab</v>
      </c>
      <c r="B262" t="str">
        <f>IF('FILL ME'!$B$3 = "", "", 'FILL ME'!$B$3)</f>
        <v>WWS</v>
      </c>
      <c r="C262" t="str">
        <f>IF('FILL ME'!$B$4 = "", "", 'FILL ME'!$B$4)</f>
        <v>SSFLAT</v>
      </c>
      <c r="D262" s="7" t="str">
        <f>TEXT('FILL ME'!$B$7,"yyyymmdd")</f>
        <v>20260319</v>
      </c>
      <c r="E262" s="8" t="str">
        <f t="shared" si="16"/>
        <v/>
      </c>
      <c r="F262" s="7">
        <f>IF('FILL ME'!$B$8="ISCO",'FILL ME'!$B$7+'FILL ME'!$B$12+('FILL ME'!$B$13*(G262-'FILL ME'!$B$14)),'FILL ME'!$B$7)</f>
        <v>46100</v>
      </c>
      <c r="G262" s="8"/>
      <c r="I262" s="9" t="str">
        <f t="shared" si="17"/>
        <v>_00</v>
      </c>
      <c r="J262" s="10" t="str">
        <f t="shared" si="18"/>
        <v>SSFLAT__20260319_00</v>
      </c>
      <c r="K262" s="10" t="str">
        <f t="shared" si="19"/>
        <v>SSFLAT__20260319_</v>
      </c>
      <c r="L262" t="b">
        <f>IF(ROW()-ROW($L$1)+1 &lt;= 'FILL ME'!$E$3, TRUE, FALSE)</f>
        <v>0</v>
      </c>
      <c r="M262" t="b">
        <f>IF(ROW()-ROW($M$1)+1 &lt;= 'FILL ME'!$E$4, TRUE, FALSE)</f>
        <v>0</v>
      </c>
      <c r="N262" t="b">
        <f>IF(ROW()-ROW($N$1)+1 &lt;= 'FILL ME'!$E$5, TRUE, FALSE)</f>
        <v>0</v>
      </c>
      <c r="O262" t="b">
        <f>IF(ROW()-ROW($O$1)+1 &lt;= 'FILL ME'!$E$6, TRUE, FALSE)</f>
        <v>0</v>
      </c>
      <c r="P262" t="b">
        <f>IF(ROW()-ROW($P$1)+1 &lt;= 'FILL ME'!$E$7, TRUE, FALSE)</f>
        <v>0</v>
      </c>
      <c r="Q262" t="b">
        <f>IF(ROW()-ROW($Q$1)+1 &lt;= 'FILL ME'!$E$8, TRUE, FALSE)</f>
        <v>0</v>
      </c>
      <c r="R262" t="b">
        <f>IF(ROW()-ROW($R$1)+1 &lt;= 'FILL ME'!$E$10, TRUE, FALSE)</f>
        <v>0</v>
      </c>
    </row>
    <row r="263" spans="1:18" x14ac:dyDescent="0.25">
      <c r="A263" s="7" t="str">
        <f>'FILL ME'!$B$8</f>
        <v>Grab</v>
      </c>
      <c r="B263" t="str">
        <f>IF('FILL ME'!$B$3 = "", "", 'FILL ME'!$B$3)</f>
        <v>WWS</v>
      </c>
      <c r="C263" t="str">
        <f>IF('FILL ME'!$B$4 = "", "", 'FILL ME'!$B$4)</f>
        <v>SSFLAT</v>
      </c>
      <c r="D263" s="7" t="str">
        <f>TEXT('FILL ME'!$B$7,"yyyymmdd")</f>
        <v>20260319</v>
      </c>
      <c r="E263" s="8" t="str">
        <f t="shared" si="16"/>
        <v/>
      </c>
      <c r="F263" s="7">
        <f>IF('FILL ME'!$B$8="ISCO",'FILL ME'!$B$7+'FILL ME'!$B$12+('FILL ME'!$B$13*(G263-'FILL ME'!$B$14)),'FILL ME'!$B$7)</f>
        <v>46100</v>
      </c>
      <c r="G263" s="8"/>
      <c r="I263" s="9" t="str">
        <f t="shared" si="17"/>
        <v>_00</v>
      </c>
      <c r="J263" s="10" t="str">
        <f t="shared" si="18"/>
        <v>SSFLAT__20260319_00</v>
      </c>
      <c r="K263" s="10" t="str">
        <f t="shared" si="19"/>
        <v>SSFLAT__20260319_</v>
      </c>
      <c r="L263" t="b">
        <f>IF(ROW()-ROW($L$1)+1 &lt;= 'FILL ME'!$E$3, TRUE, FALSE)</f>
        <v>0</v>
      </c>
      <c r="M263" t="b">
        <f>IF(ROW()-ROW($M$1)+1 &lt;= 'FILL ME'!$E$4, TRUE, FALSE)</f>
        <v>0</v>
      </c>
      <c r="N263" t="b">
        <f>IF(ROW()-ROW($N$1)+1 &lt;= 'FILL ME'!$E$5, TRUE, FALSE)</f>
        <v>0</v>
      </c>
      <c r="O263" t="b">
        <f>IF(ROW()-ROW($O$1)+1 &lt;= 'FILL ME'!$E$6, TRUE, FALSE)</f>
        <v>0</v>
      </c>
      <c r="P263" t="b">
        <f>IF(ROW()-ROW($P$1)+1 &lt;= 'FILL ME'!$E$7, TRUE, FALSE)</f>
        <v>0</v>
      </c>
      <c r="Q263" t="b">
        <f>IF(ROW()-ROW($Q$1)+1 &lt;= 'FILL ME'!$E$8, TRUE, FALSE)</f>
        <v>0</v>
      </c>
      <c r="R263" t="b">
        <f>IF(ROW()-ROW($R$1)+1 &lt;= 'FILL ME'!$E$10, TRUE, FALSE)</f>
        <v>0</v>
      </c>
    </row>
    <row r="264" spans="1:18" x14ac:dyDescent="0.25">
      <c r="A264" s="7" t="str">
        <f>'FILL ME'!$B$8</f>
        <v>Grab</v>
      </c>
      <c r="B264" t="str">
        <f>IF('FILL ME'!$B$3 = "", "", 'FILL ME'!$B$3)</f>
        <v>WWS</v>
      </c>
      <c r="C264" t="str">
        <f>IF('FILL ME'!$B$4 = "", "", 'FILL ME'!$B$4)</f>
        <v>SSFLAT</v>
      </c>
      <c r="D264" s="7" t="str">
        <f>TEXT('FILL ME'!$B$7,"yyyymmdd")</f>
        <v>20260319</v>
      </c>
      <c r="E264" s="8" t="str">
        <f t="shared" si="16"/>
        <v/>
      </c>
      <c r="F264" s="7">
        <f>IF('FILL ME'!$B$8="ISCO",'FILL ME'!$B$7+'FILL ME'!$B$12+('FILL ME'!$B$13*(G264-'FILL ME'!$B$14)),'FILL ME'!$B$7)</f>
        <v>46100</v>
      </c>
      <c r="G264" s="8"/>
      <c r="I264" s="9" t="str">
        <f t="shared" si="17"/>
        <v>_00</v>
      </c>
      <c r="J264" s="10" t="str">
        <f t="shared" si="18"/>
        <v>SSFLAT__20260319_00</v>
      </c>
      <c r="K264" s="10" t="str">
        <f t="shared" si="19"/>
        <v>SSFLAT__20260319_</v>
      </c>
      <c r="L264" t="b">
        <f>IF(ROW()-ROW($L$1)+1 &lt;= 'FILL ME'!$E$3, TRUE, FALSE)</f>
        <v>0</v>
      </c>
      <c r="M264" t="b">
        <f>IF(ROW()-ROW($M$1)+1 &lt;= 'FILL ME'!$E$4, TRUE, FALSE)</f>
        <v>0</v>
      </c>
      <c r="N264" t="b">
        <f>IF(ROW()-ROW($N$1)+1 &lt;= 'FILL ME'!$E$5, TRUE, FALSE)</f>
        <v>0</v>
      </c>
      <c r="O264" t="b">
        <f>IF(ROW()-ROW($O$1)+1 &lt;= 'FILL ME'!$E$6, TRUE, FALSE)</f>
        <v>0</v>
      </c>
      <c r="P264" t="b">
        <f>IF(ROW()-ROW($P$1)+1 &lt;= 'FILL ME'!$E$7, TRUE, FALSE)</f>
        <v>0</v>
      </c>
      <c r="Q264" t="b">
        <f>IF(ROW()-ROW($Q$1)+1 &lt;= 'FILL ME'!$E$8, TRUE, FALSE)</f>
        <v>0</v>
      </c>
      <c r="R264" t="b">
        <f>IF(ROW()-ROW($R$1)+1 &lt;= 'FILL ME'!$E$10, TRUE, FALSE)</f>
        <v>0</v>
      </c>
    </row>
    <row r="265" spans="1:18" x14ac:dyDescent="0.25">
      <c r="A265" s="7" t="str">
        <f>'FILL ME'!$B$8</f>
        <v>Grab</v>
      </c>
      <c r="B265" t="str">
        <f>IF('FILL ME'!$B$3 = "", "", 'FILL ME'!$B$3)</f>
        <v>WWS</v>
      </c>
      <c r="C265" t="str">
        <f>IF('FILL ME'!$B$4 = "", "", 'FILL ME'!$B$4)</f>
        <v>SSFLAT</v>
      </c>
      <c r="D265" s="7" t="str">
        <f>TEXT('FILL ME'!$B$7,"yyyymmdd")</f>
        <v>20260319</v>
      </c>
      <c r="E265" s="8" t="str">
        <f t="shared" si="16"/>
        <v/>
      </c>
      <c r="F265" s="7">
        <f>IF('FILL ME'!$B$8="ISCO",'FILL ME'!$B$7+'FILL ME'!$B$12+('FILL ME'!$B$13*(G265-'FILL ME'!$B$14)),'FILL ME'!$B$7)</f>
        <v>46100</v>
      </c>
      <c r="G265" s="8"/>
      <c r="I265" s="9" t="str">
        <f t="shared" si="17"/>
        <v>_00</v>
      </c>
      <c r="J265" s="10" t="str">
        <f t="shared" si="18"/>
        <v>SSFLAT__20260319_00</v>
      </c>
      <c r="K265" s="10" t="str">
        <f t="shared" si="19"/>
        <v>SSFLAT__20260319_</v>
      </c>
      <c r="L265" t="b">
        <f>IF(ROW()-ROW($L$1)+1 &lt;= 'FILL ME'!$E$3, TRUE, FALSE)</f>
        <v>0</v>
      </c>
      <c r="M265" t="b">
        <f>IF(ROW()-ROW($M$1)+1 &lt;= 'FILL ME'!$E$4, TRUE, FALSE)</f>
        <v>0</v>
      </c>
      <c r="N265" t="b">
        <f>IF(ROW()-ROW($N$1)+1 &lt;= 'FILL ME'!$E$5, TRUE, FALSE)</f>
        <v>0</v>
      </c>
      <c r="O265" t="b">
        <f>IF(ROW()-ROW($O$1)+1 &lt;= 'FILL ME'!$E$6, TRUE, FALSE)</f>
        <v>0</v>
      </c>
      <c r="P265" t="b">
        <f>IF(ROW()-ROW($P$1)+1 &lt;= 'FILL ME'!$E$7, TRUE, FALSE)</f>
        <v>0</v>
      </c>
      <c r="Q265" t="b">
        <f>IF(ROW()-ROW($Q$1)+1 &lt;= 'FILL ME'!$E$8, TRUE, FALSE)</f>
        <v>0</v>
      </c>
      <c r="R265" t="b">
        <f>IF(ROW()-ROW($R$1)+1 &lt;= 'FILL ME'!$E$10, TRUE, FALSE)</f>
        <v>0</v>
      </c>
    </row>
    <row r="266" spans="1:18" x14ac:dyDescent="0.25">
      <c r="A266" s="7" t="str">
        <f>'FILL ME'!$B$8</f>
        <v>Grab</v>
      </c>
      <c r="B266" t="str">
        <f>IF('FILL ME'!$B$3 = "", "", 'FILL ME'!$B$3)</f>
        <v>WWS</v>
      </c>
      <c r="C266" t="str">
        <f>IF('FILL ME'!$B$4 = "", "", 'FILL ME'!$B$4)</f>
        <v>SSFLAT</v>
      </c>
      <c r="D266" s="7" t="str">
        <f>TEXT('FILL ME'!$B$7,"yyyymmdd")</f>
        <v>20260319</v>
      </c>
      <c r="E266" s="8" t="str">
        <f t="shared" si="16"/>
        <v/>
      </c>
      <c r="F266" s="7">
        <f>IF('FILL ME'!$B$8="ISCO",'FILL ME'!$B$7+'FILL ME'!$B$12+('FILL ME'!$B$13*(G266-'FILL ME'!$B$14)),'FILL ME'!$B$7)</f>
        <v>46100</v>
      </c>
      <c r="G266" s="8"/>
      <c r="I266" s="9" t="str">
        <f t="shared" si="17"/>
        <v>_00</v>
      </c>
      <c r="J266" s="10" t="str">
        <f t="shared" si="18"/>
        <v>SSFLAT__20260319_00</v>
      </c>
      <c r="K266" s="10" t="str">
        <f t="shared" si="19"/>
        <v>SSFLAT__20260319_</v>
      </c>
      <c r="L266" t="b">
        <f>IF(ROW()-ROW($L$1)+1 &lt;= 'FILL ME'!$E$3, TRUE, FALSE)</f>
        <v>0</v>
      </c>
      <c r="M266" t="b">
        <f>IF(ROW()-ROW($M$1)+1 &lt;= 'FILL ME'!$E$4, TRUE, FALSE)</f>
        <v>0</v>
      </c>
      <c r="N266" t="b">
        <f>IF(ROW()-ROW($N$1)+1 &lt;= 'FILL ME'!$E$5, TRUE, FALSE)</f>
        <v>0</v>
      </c>
      <c r="O266" t="b">
        <f>IF(ROW()-ROW($O$1)+1 &lt;= 'FILL ME'!$E$6, TRUE, FALSE)</f>
        <v>0</v>
      </c>
      <c r="P266" t="b">
        <f>IF(ROW()-ROW($P$1)+1 &lt;= 'FILL ME'!$E$7, TRUE, FALSE)</f>
        <v>0</v>
      </c>
      <c r="Q266" t="b">
        <f>IF(ROW()-ROW($Q$1)+1 &lt;= 'FILL ME'!$E$8, TRUE, FALSE)</f>
        <v>0</v>
      </c>
      <c r="R266" t="b">
        <f>IF(ROW()-ROW($R$1)+1 &lt;= 'FILL ME'!$E$10, TRUE, FALSE)</f>
        <v>0</v>
      </c>
    </row>
    <row r="267" spans="1:18" x14ac:dyDescent="0.25">
      <c r="A267" s="7" t="str">
        <f>'FILL ME'!$B$8</f>
        <v>Grab</v>
      </c>
      <c r="B267" t="str">
        <f>IF('FILL ME'!$B$3 = "", "", 'FILL ME'!$B$3)</f>
        <v>WWS</v>
      </c>
      <c r="C267" t="str">
        <f>IF('FILL ME'!$B$4 = "", "", 'FILL ME'!$B$4)</f>
        <v>SSFLAT</v>
      </c>
      <c r="D267" s="7" t="str">
        <f>TEXT('FILL ME'!$B$7,"yyyymmdd")</f>
        <v>20260319</v>
      </c>
      <c r="E267" s="8" t="str">
        <f t="shared" si="16"/>
        <v/>
      </c>
      <c r="F267" s="7">
        <f>IF('FILL ME'!$B$8="ISCO",'FILL ME'!$B$7+'FILL ME'!$B$12+('FILL ME'!$B$13*(G267-'FILL ME'!$B$14)),'FILL ME'!$B$7)</f>
        <v>46100</v>
      </c>
      <c r="G267" s="8"/>
      <c r="I267" s="9" t="str">
        <f t="shared" si="17"/>
        <v>_00</v>
      </c>
      <c r="J267" s="10" t="str">
        <f t="shared" si="18"/>
        <v>SSFLAT__20260319_00</v>
      </c>
      <c r="K267" s="10" t="str">
        <f t="shared" si="19"/>
        <v>SSFLAT__20260319_</v>
      </c>
      <c r="L267" t="b">
        <f>IF(ROW()-ROW($L$1)+1 &lt;= 'FILL ME'!$E$3, TRUE, FALSE)</f>
        <v>0</v>
      </c>
      <c r="M267" t="b">
        <f>IF(ROW()-ROW($M$1)+1 &lt;= 'FILL ME'!$E$4, TRUE, FALSE)</f>
        <v>0</v>
      </c>
      <c r="N267" t="b">
        <f>IF(ROW()-ROW($N$1)+1 &lt;= 'FILL ME'!$E$5, TRUE, FALSE)</f>
        <v>0</v>
      </c>
      <c r="O267" t="b">
        <f>IF(ROW()-ROW($O$1)+1 &lt;= 'FILL ME'!$E$6, TRUE, FALSE)</f>
        <v>0</v>
      </c>
      <c r="P267" t="b">
        <f>IF(ROW()-ROW($P$1)+1 &lt;= 'FILL ME'!$E$7, TRUE, FALSE)</f>
        <v>0</v>
      </c>
      <c r="Q267" t="b">
        <f>IF(ROW()-ROW($Q$1)+1 &lt;= 'FILL ME'!$E$8, TRUE, FALSE)</f>
        <v>0</v>
      </c>
      <c r="R267" t="b">
        <f>IF(ROW()-ROW($R$1)+1 &lt;= 'FILL ME'!$E$10, TRUE, FALSE)</f>
        <v>0</v>
      </c>
    </row>
    <row r="268" spans="1:18" x14ac:dyDescent="0.25">
      <c r="A268" s="7" t="str">
        <f>'FILL ME'!$B$8</f>
        <v>Grab</v>
      </c>
      <c r="B268" t="str">
        <f>IF('FILL ME'!$B$3 = "", "", 'FILL ME'!$B$3)</f>
        <v>WWS</v>
      </c>
      <c r="C268" t="str">
        <f>IF('FILL ME'!$B$4 = "", "", 'FILL ME'!$B$4)</f>
        <v>SSFLAT</v>
      </c>
      <c r="D268" s="7" t="str">
        <f>TEXT('FILL ME'!$B$7,"yyyymmdd")</f>
        <v>20260319</v>
      </c>
      <c r="E268" s="8" t="str">
        <f t="shared" si="16"/>
        <v/>
      </c>
      <c r="F268" s="7">
        <f>IF('FILL ME'!$B$8="ISCO",'FILL ME'!$B$7+'FILL ME'!$B$12+('FILL ME'!$B$13*(G268-'FILL ME'!$B$14)),'FILL ME'!$B$7)</f>
        <v>46100</v>
      </c>
      <c r="G268" s="8"/>
      <c r="I268" s="9" t="str">
        <f t="shared" si="17"/>
        <v>_00</v>
      </c>
      <c r="J268" s="10" t="str">
        <f t="shared" si="18"/>
        <v>SSFLAT__20260319_00</v>
      </c>
      <c r="K268" s="10" t="str">
        <f t="shared" si="19"/>
        <v>SSFLAT__20260319_</v>
      </c>
      <c r="L268" t="b">
        <f>IF(ROW()-ROW($L$1)+1 &lt;= 'FILL ME'!$E$3, TRUE, FALSE)</f>
        <v>0</v>
      </c>
      <c r="M268" t="b">
        <f>IF(ROW()-ROW($M$1)+1 &lt;= 'FILL ME'!$E$4, TRUE, FALSE)</f>
        <v>0</v>
      </c>
      <c r="N268" t="b">
        <f>IF(ROW()-ROW($N$1)+1 &lt;= 'FILL ME'!$E$5, TRUE, FALSE)</f>
        <v>0</v>
      </c>
      <c r="O268" t="b">
        <f>IF(ROW()-ROW($O$1)+1 &lt;= 'FILL ME'!$E$6, TRUE, FALSE)</f>
        <v>0</v>
      </c>
      <c r="P268" t="b">
        <f>IF(ROW()-ROW($P$1)+1 &lt;= 'FILL ME'!$E$7, TRUE, FALSE)</f>
        <v>0</v>
      </c>
      <c r="Q268" t="b">
        <f>IF(ROW()-ROW($Q$1)+1 &lt;= 'FILL ME'!$E$8, TRUE, FALSE)</f>
        <v>0</v>
      </c>
      <c r="R268" t="b">
        <f>IF(ROW()-ROW($R$1)+1 &lt;= 'FILL ME'!$E$10, TRUE, FALSE)</f>
        <v>0</v>
      </c>
    </row>
    <row r="269" spans="1:18" x14ac:dyDescent="0.25">
      <c r="A269" s="7" t="str">
        <f>'FILL ME'!$B$8</f>
        <v>Grab</v>
      </c>
      <c r="B269" t="str">
        <f>IF('FILL ME'!$B$3 = "", "", 'FILL ME'!$B$3)</f>
        <v>WWS</v>
      </c>
      <c r="C269" t="str">
        <f>IF('FILL ME'!$B$4 = "", "", 'FILL ME'!$B$4)</f>
        <v>SSFLAT</v>
      </c>
      <c r="D269" s="7" t="str">
        <f>TEXT('FILL ME'!$B$7,"yyyymmdd")</f>
        <v>20260319</v>
      </c>
      <c r="E269" s="8" t="str">
        <f t="shared" si="16"/>
        <v/>
      </c>
      <c r="F269" s="7">
        <f>IF('FILL ME'!$B$8="ISCO",'FILL ME'!$B$7+'FILL ME'!$B$12+('FILL ME'!$B$13*(G269-'FILL ME'!$B$14)),'FILL ME'!$B$7)</f>
        <v>46100</v>
      </c>
      <c r="G269" s="8"/>
      <c r="I269" s="9" t="str">
        <f t="shared" si="17"/>
        <v>_00</v>
      </c>
      <c r="J269" s="10" t="str">
        <f t="shared" si="18"/>
        <v>SSFLAT__20260319_00</v>
      </c>
      <c r="K269" s="10" t="str">
        <f t="shared" si="19"/>
        <v>SSFLAT__20260319_</v>
      </c>
      <c r="L269" t="b">
        <f>IF(ROW()-ROW($L$1)+1 &lt;= 'FILL ME'!$E$3, TRUE, FALSE)</f>
        <v>0</v>
      </c>
      <c r="M269" t="b">
        <f>IF(ROW()-ROW($M$1)+1 &lt;= 'FILL ME'!$E$4, TRUE, FALSE)</f>
        <v>0</v>
      </c>
      <c r="N269" t="b">
        <f>IF(ROW()-ROW($N$1)+1 &lt;= 'FILL ME'!$E$5, TRUE, FALSE)</f>
        <v>0</v>
      </c>
      <c r="O269" t="b">
        <f>IF(ROW()-ROW($O$1)+1 &lt;= 'FILL ME'!$E$6, TRUE, FALSE)</f>
        <v>0</v>
      </c>
      <c r="P269" t="b">
        <f>IF(ROW()-ROW($P$1)+1 &lt;= 'FILL ME'!$E$7, TRUE, FALSE)</f>
        <v>0</v>
      </c>
      <c r="Q269" t="b">
        <f>IF(ROW()-ROW($Q$1)+1 &lt;= 'FILL ME'!$E$8, TRUE, FALSE)</f>
        <v>0</v>
      </c>
      <c r="R269" t="b">
        <f>IF(ROW()-ROW($R$1)+1 &lt;= 'FILL ME'!$E$10, TRUE, FALSE)</f>
        <v>0</v>
      </c>
    </row>
    <row r="270" spans="1:18" x14ac:dyDescent="0.25">
      <c r="A270" s="7" t="str">
        <f>'FILL ME'!$B$8</f>
        <v>Grab</v>
      </c>
      <c r="B270" t="str">
        <f>IF('FILL ME'!$B$3 = "", "", 'FILL ME'!$B$3)</f>
        <v>WWS</v>
      </c>
      <c r="C270" t="str">
        <f>IF('FILL ME'!$B$4 = "", "", 'FILL ME'!$B$4)</f>
        <v>SSFLAT</v>
      </c>
      <c r="D270" s="7" t="str">
        <f>TEXT('FILL ME'!$B$7,"yyyymmdd")</f>
        <v>20260319</v>
      </c>
      <c r="E270" s="8" t="str">
        <f t="shared" si="16"/>
        <v/>
      </c>
      <c r="F270" s="7">
        <f>IF('FILL ME'!$B$8="ISCO",'FILL ME'!$B$7+'FILL ME'!$B$12+('FILL ME'!$B$13*(G270-'FILL ME'!$B$14)),'FILL ME'!$B$7)</f>
        <v>46100</v>
      </c>
      <c r="G270" s="8"/>
      <c r="I270" s="9" t="str">
        <f t="shared" si="17"/>
        <v>_00</v>
      </c>
      <c r="J270" s="10" t="str">
        <f t="shared" si="18"/>
        <v>SSFLAT__20260319_00</v>
      </c>
      <c r="K270" s="10" t="str">
        <f t="shared" si="19"/>
        <v>SSFLAT__20260319_</v>
      </c>
      <c r="L270" t="b">
        <f>IF(ROW()-ROW($L$1)+1 &lt;= 'FILL ME'!$E$3, TRUE, FALSE)</f>
        <v>0</v>
      </c>
      <c r="M270" t="b">
        <f>IF(ROW()-ROW($M$1)+1 &lt;= 'FILL ME'!$E$4, TRUE, FALSE)</f>
        <v>0</v>
      </c>
      <c r="N270" t="b">
        <f>IF(ROW()-ROW($N$1)+1 &lt;= 'FILL ME'!$E$5, TRUE, FALSE)</f>
        <v>0</v>
      </c>
      <c r="O270" t="b">
        <f>IF(ROW()-ROW($O$1)+1 &lt;= 'FILL ME'!$E$6, TRUE, FALSE)</f>
        <v>0</v>
      </c>
      <c r="P270" t="b">
        <f>IF(ROW()-ROW($P$1)+1 &lt;= 'FILL ME'!$E$7, TRUE, FALSE)</f>
        <v>0</v>
      </c>
      <c r="Q270" t="b">
        <f>IF(ROW()-ROW($Q$1)+1 &lt;= 'FILL ME'!$E$8, TRUE, FALSE)</f>
        <v>0</v>
      </c>
      <c r="R270" t="b">
        <f>IF(ROW()-ROW($R$1)+1 &lt;= 'FILL ME'!$E$10, TRUE, FALSE)</f>
        <v>0</v>
      </c>
    </row>
    <row r="271" spans="1:18" x14ac:dyDescent="0.25">
      <c r="A271" s="7" t="str">
        <f>'FILL ME'!$B$8</f>
        <v>Grab</v>
      </c>
      <c r="B271" t="str">
        <f>IF('FILL ME'!$B$3 = "", "", 'FILL ME'!$B$3)</f>
        <v>WWS</v>
      </c>
      <c r="C271" t="str">
        <f>IF('FILL ME'!$B$4 = "", "", 'FILL ME'!$B$4)</f>
        <v>SSFLAT</v>
      </c>
      <c r="D271" s="7" t="str">
        <f>TEXT('FILL ME'!$B$7,"yyyymmdd")</f>
        <v>20260319</v>
      </c>
      <c r="E271" s="8" t="str">
        <f t="shared" si="16"/>
        <v/>
      </c>
      <c r="F271" s="7">
        <f>IF('FILL ME'!$B$8="ISCO",'FILL ME'!$B$7+'FILL ME'!$B$12+('FILL ME'!$B$13*(G271-'FILL ME'!$B$14)),'FILL ME'!$B$7)</f>
        <v>46100</v>
      </c>
      <c r="G271" s="8"/>
      <c r="I271" s="9" t="str">
        <f t="shared" si="17"/>
        <v>_00</v>
      </c>
      <c r="J271" s="10" t="str">
        <f t="shared" si="18"/>
        <v>SSFLAT__20260319_00</v>
      </c>
      <c r="K271" s="10" t="str">
        <f t="shared" si="19"/>
        <v>SSFLAT__20260319_</v>
      </c>
      <c r="L271" t="b">
        <f>IF(ROW()-ROW($L$1)+1 &lt;= 'FILL ME'!$E$3, TRUE, FALSE)</f>
        <v>0</v>
      </c>
      <c r="M271" t="b">
        <f>IF(ROW()-ROW($M$1)+1 &lt;= 'FILL ME'!$E$4, TRUE, FALSE)</f>
        <v>0</v>
      </c>
      <c r="N271" t="b">
        <f>IF(ROW()-ROW($N$1)+1 &lt;= 'FILL ME'!$E$5, TRUE, FALSE)</f>
        <v>0</v>
      </c>
      <c r="O271" t="b">
        <f>IF(ROW()-ROW($O$1)+1 &lt;= 'FILL ME'!$E$6, TRUE, FALSE)</f>
        <v>0</v>
      </c>
      <c r="P271" t="b">
        <f>IF(ROW()-ROW($P$1)+1 &lt;= 'FILL ME'!$E$7, TRUE, FALSE)</f>
        <v>0</v>
      </c>
      <c r="Q271" t="b">
        <f>IF(ROW()-ROW($Q$1)+1 &lt;= 'FILL ME'!$E$8, TRUE, FALSE)</f>
        <v>0</v>
      </c>
      <c r="R271" t="b">
        <f>IF(ROW()-ROW($R$1)+1 &lt;= 'FILL ME'!$E$10, TRUE, FALSE)</f>
        <v>0</v>
      </c>
    </row>
    <row r="272" spans="1:18" x14ac:dyDescent="0.25">
      <c r="A272" s="7" t="str">
        <f>'FILL ME'!$B$8</f>
        <v>Grab</v>
      </c>
      <c r="B272" t="str">
        <f>IF('FILL ME'!$B$3 = "", "", 'FILL ME'!$B$3)</f>
        <v>WWS</v>
      </c>
      <c r="C272" t="str">
        <f>IF('FILL ME'!$B$4 = "", "", 'FILL ME'!$B$4)</f>
        <v>SSFLAT</v>
      </c>
      <c r="D272" s="7" t="str">
        <f>TEXT('FILL ME'!$B$7,"yyyymmdd")</f>
        <v>20260319</v>
      </c>
      <c r="E272" s="8" t="str">
        <f t="shared" si="16"/>
        <v/>
      </c>
      <c r="F272" s="7">
        <f>IF('FILL ME'!$B$8="ISCO",'FILL ME'!$B$7+'FILL ME'!$B$12+('FILL ME'!$B$13*(G272-'FILL ME'!$B$14)),'FILL ME'!$B$7)</f>
        <v>46100</v>
      </c>
      <c r="G272" s="8"/>
      <c r="I272" s="9" t="str">
        <f t="shared" si="17"/>
        <v>_00</v>
      </c>
      <c r="J272" s="10" t="str">
        <f t="shared" si="18"/>
        <v>SSFLAT__20260319_00</v>
      </c>
      <c r="K272" s="10" t="str">
        <f t="shared" si="19"/>
        <v>SSFLAT__20260319_</v>
      </c>
      <c r="L272" t="b">
        <f>IF(ROW()-ROW($L$1)+1 &lt;= 'FILL ME'!$E$3, TRUE, FALSE)</f>
        <v>0</v>
      </c>
      <c r="M272" t="b">
        <f>IF(ROW()-ROW($M$1)+1 &lt;= 'FILL ME'!$E$4, TRUE, FALSE)</f>
        <v>0</v>
      </c>
      <c r="N272" t="b">
        <f>IF(ROW()-ROW($N$1)+1 &lt;= 'FILL ME'!$E$5, TRUE, FALSE)</f>
        <v>0</v>
      </c>
      <c r="O272" t="b">
        <f>IF(ROW()-ROW($O$1)+1 &lt;= 'FILL ME'!$E$6, TRUE, FALSE)</f>
        <v>0</v>
      </c>
      <c r="P272" t="b">
        <f>IF(ROW()-ROW($P$1)+1 &lt;= 'FILL ME'!$E$7, TRUE, FALSE)</f>
        <v>0</v>
      </c>
      <c r="Q272" t="b">
        <f>IF(ROW()-ROW($Q$1)+1 &lt;= 'FILL ME'!$E$8, TRUE, FALSE)</f>
        <v>0</v>
      </c>
      <c r="R272" t="b">
        <f>IF(ROW()-ROW($R$1)+1 &lt;= 'FILL ME'!$E$10, TRUE, FALSE)</f>
        <v>0</v>
      </c>
    </row>
    <row r="273" spans="1:18" x14ac:dyDescent="0.25">
      <c r="A273" s="7" t="str">
        <f>'FILL ME'!$B$8</f>
        <v>Grab</v>
      </c>
      <c r="B273" t="str">
        <f>IF('FILL ME'!$B$3 = "", "", 'FILL ME'!$B$3)</f>
        <v>WWS</v>
      </c>
      <c r="C273" t="str">
        <f>IF('FILL ME'!$B$4 = "", "", 'FILL ME'!$B$4)</f>
        <v>SSFLAT</v>
      </c>
      <c r="D273" s="7" t="str">
        <f>TEXT('FILL ME'!$B$7,"yyyymmdd")</f>
        <v>20260319</v>
      </c>
      <c r="E273" s="8" t="str">
        <f t="shared" si="16"/>
        <v/>
      </c>
      <c r="F273" s="7">
        <f>IF('FILL ME'!$B$8="ISCO",'FILL ME'!$B$7+'FILL ME'!$B$12+('FILL ME'!$B$13*(G273-'FILL ME'!$B$14)),'FILL ME'!$B$7)</f>
        <v>46100</v>
      </c>
      <c r="G273" s="8"/>
      <c r="I273" s="9" t="str">
        <f t="shared" si="17"/>
        <v>_00</v>
      </c>
      <c r="J273" s="10" t="str">
        <f t="shared" si="18"/>
        <v>SSFLAT__20260319_00</v>
      </c>
      <c r="K273" s="10" t="str">
        <f t="shared" si="19"/>
        <v>SSFLAT__20260319_</v>
      </c>
      <c r="L273" t="b">
        <f>IF(ROW()-ROW($L$1)+1 &lt;= 'FILL ME'!$E$3, TRUE, FALSE)</f>
        <v>0</v>
      </c>
      <c r="M273" t="b">
        <f>IF(ROW()-ROW($M$1)+1 &lt;= 'FILL ME'!$E$4, TRUE, FALSE)</f>
        <v>0</v>
      </c>
      <c r="N273" t="b">
        <f>IF(ROW()-ROW($N$1)+1 &lt;= 'FILL ME'!$E$5, TRUE, FALSE)</f>
        <v>0</v>
      </c>
      <c r="O273" t="b">
        <f>IF(ROW()-ROW($O$1)+1 &lt;= 'FILL ME'!$E$6, TRUE, FALSE)</f>
        <v>0</v>
      </c>
      <c r="P273" t="b">
        <f>IF(ROW()-ROW($P$1)+1 &lt;= 'FILL ME'!$E$7, TRUE, FALSE)</f>
        <v>0</v>
      </c>
      <c r="Q273" t="b">
        <f>IF(ROW()-ROW($Q$1)+1 &lt;= 'FILL ME'!$E$8, TRUE, FALSE)</f>
        <v>0</v>
      </c>
      <c r="R273" t="b">
        <f>IF(ROW()-ROW($R$1)+1 &lt;= 'FILL ME'!$E$10, TRUE, FALSE)</f>
        <v>0</v>
      </c>
    </row>
    <row r="274" spans="1:18" x14ac:dyDescent="0.25">
      <c r="A274" s="7" t="str">
        <f>'FILL ME'!$B$8</f>
        <v>Grab</v>
      </c>
      <c r="B274" t="str">
        <f>IF('FILL ME'!$B$3 = "", "", 'FILL ME'!$B$3)</f>
        <v>WWS</v>
      </c>
      <c r="C274" t="str">
        <f>IF('FILL ME'!$B$4 = "", "", 'FILL ME'!$B$4)</f>
        <v>SSFLAT</v>
      </c>
      <c r="D274" s="7" t="str">
        <f>TEXT('FILL ME'!$B$7,"yyyymmdd")</f>
        <v>20260319</v>
      </c>
      <c r="E274" s="8" t="str">
        <f t="shared" si="16"/>
        <v/>
      </c>
      <c r="F274" s="7">
        <f>IF('FILL ME'!$B$8="ISCO",'FILL ME'!$B$7+'FILL ME'!$B$12+('FILL ME'!$B$13*(G274-'FILL ME'!$B$14)),'FILL ME'!$B$7)</f>
        <v>46100</v>
      </c>
      <c r="G274" s="8"/>
      <c r="I274" s="9" t="str">
        <f t="shared" si="17"/>
        <v>_00</v>
      </c>
      <c r="J274" s="10" t="str">
        <f t="shared" si="18"/>
        <v>SSFLAT__20260319_00</v>
      </c>
      <c r="K274" s="10" t="str">
        <f t="shared" si="19"/>
        <v>SSFLAT__20260319_</v>
      </c>
      <c r="L274" t="b">
        <f>IF(ROW()-ROW($L$1)+1 &lt;= 'FILL ME'!$E$3, TRUE, FALSE)</f>
        <v>0</v>
      </c>
      <c r="M274" t="b">
        <f>IF(ROW()-ROW($M$1)+1 &lt;= 'FILL ME'!$E$4, TRUE, FALSE)</f>
        <v>0</v>
      </c>
      <c r="N274" t="b">
        <f>IF(ROW()-ROW($N$1)+1 &lt;= 'FILL ME'!$E$5, TRUE, FALSE)</f>
        <v>0</v>
      </c>
      <c r="O274" t="b">
        <f>IF(ROW()-ROW($O$1)+1 &lt;= 'FILL ME'!$E$6, TRUE, FALSE)</f>
        <v>0</v>
      </c>
      <c r="P274" t="b">
        <f>IF(ROW()-ROW($P$1)+1 &lt;= 'FILL ME'!$E$7, TRUE, FALSE)</f>
        <v>0</v>
      </c>
      <c r="Q274" t="b">
        <f>IF(ROW()-ROW($Q$1)+1 &lt;= 'FILL ME'!$E$8, TRUE, FALSE)</f>
        <v>0</v>
      </c>
      <c r="R274" t="b">
        <f>IF(ROW()-ROW($R$1)+1 &lt;= 'FILL ME'!$E$10, TRUE, FALSE)</f>
        <v>0</v>
      </c>
    </row>
    <row r="275" spans="1:18" x14ac:dyDescent="0.25">
      <c r="A275" s="7" t="str">
        <f>'FILL ME'!$B$8</f>
        <v>Grab</v>
      </c>
      <c r="B275" t="str">
        <f>IF('FILL ME'!$B$3 = "", "", 'FILL ME'!$B$3)</f>
        <v>WWS</v>
      </c>
      <c r="C275" t="str">
        <f>IF('FILL ME'!$B$4 = "", "", 'FILL ME'!$B$4)</f>
        <v>SSFLAT</v>
      </c>
      <c r="D275" s="7" t="str">
        <f>TEXT('FILL ME'!$B$7,"yyyymmdd")</f>
        <v>20260319</v>
      </c>
      <c r="E275" s="8" t="str">
        <f t="shared" si="16"/>
        <v/>
      </c>
      <c r="F275" s="7">
        <f>IF('FILL ME'!$B$8="ISCO",'FILL ME'!$B$7+'FILL ME'!$B$12+('FILL ME'!$B$13*(G275-'FILL ME'!$B$14)),'FILL ME'!$B$7)</f>
        <v>46100</v>
      </c>
      <c r="G275" s="8"/>
      <c r="I275" s="9" t="str">
        <f t="shared" si="17"/>
        <v>_00</v>
      </c>
      <c r="J275" s="10" t="str">
        <f t="shared" si="18"/>
        <v>SSFLAT__20260319_00</v>
      </c>
      <c r="K275" s="10" t="str">
        <f t="shared" si="19"/>
        <v>SSFLAT__20260319_</v>
      </c>
      <c r="L275" t="b">
        <f>IF(ROW()-ROW($L$1)+1 &lt;= 'FILL ME'!$E$3, TRUE, FALSE)</f>
        <v>0</v>
      </c>
      <c r="M275" t="b">
        <f>IF(ROW()-ROW($M$1)+1 &lt;= 'FILL ME'!$E$4, TRUE, FALSE)</f>
        <v>0</v>
      </c>
      <c r="N275" t="b">
        <f>IF(ROW()-ROW($N$1)+1 &lt;= 'FILL ME'!$E$5, TRUE, FALSE)</f>
        <v>0</v>
      </c>
      <c r="O275" t="b">
        <f>IF(ROW()-ROW($O$1)+1 &lt;= 'FILL ME'!$E$6, TRUE, FALSE)</f>
        <v>0</v>
      </c>
      <c r="P275" t="b">
        <f>IF(ROW()-ROW($P$1)+1 &lt;= 'FILL ME'!$E$7, TRUE, FALSE)</f>
        <v>0</v>
      </c>
      <c r="Q275" t="b">
        <f>IF(ROW()-ROW($Q$1)+1 &lt;= 'FILL ME'!$E$8, TRUE, FALSE)</f>
        <v>0</v>
      </c>
      <c r="R275" t="b">
        <f>IF(ROW()-ROW($R$1)+1 &lt;= 'FILL ME'!$E$10, TRUE, FALSE)</f>
        <v>0</v>
      </c>
    </row>
    <row r="276" spans="1:18" x14ac:dyDescent="0.25">
      <c r="A276" s="7" t="str">
        <f>'FILL ME'!$B$8</f>
        <v>Grab</v>
      </c>
      <c r="B276" t="str">
        <f>IF('FILL ME'!$B$3 = "", "", 'FILL ME'!$B$3)</f>
        <v>WWS</v>
      </c>
      <c r="C276" t="str">
        <f>IF('FILL ME'!$B$4 = "", "", 'FILL ME'!$B$4)</f>
        <v>SSFLAT</v>
      </c>
      <c r="D276" s="7" t="str">
        <f>TEXT('FILL ME'!$B$7,"yyyymmdd")</f>
        <v>20260319</v>
      </c>
      <c r="E276" s="8" t="str">
        <f t="shared" si="16"/>
        <v/>
      </c>
      <c r="F276" s="7">
        <f>IF('FILL ME'!$B$8="ISCO",'FILL ME'!$B$7+'FILL ME'!$B$12+('FILL ME'!$B$13*(G276-'FILL ME'!$B$14)),'FILL ME'!$B$7)</f>
        <v>46100</v>
      </c>
      <c r="G276" s="8"/>
      <c r="I276" s="9" t="str">
        <f t="shared" si="17"/>
        <v>_00</v>
      </c>
      <c r="J276" s="10" t="str">
        <f t="shared" si="18"/>
        <v>SSFLAT__20260319_00</v>
      </c>
      <c r="K276" s="10" t="str">
        <f t="shared" si="19"/>
        <v>SSFLAT__20260319_</v>
      </c>
      <c r="L276" t="b">
        <f>IF(ROW()-ROW($L$1)+1 &lt;= 'FILL ME'!$E$3, TRUE, FALSE)</f>
        <v>0</v>
      </c>
      <c r="M276" t="b">
        <f>IF(ROW()-ROW($M$1)+1 &lt;= 'FILL ME'!$E$4, TRUE, FALSE)</f>
        <v>0</v>
      </c>
      <c r="N276" t="b">
        <f>IF(ROW()-ROW($N$1)+1 &lt;= 'FILL ME'!$E$5, TRUE, FALSE)</f>
        <v>0</v>
      </c>
      <c r="O276" t="b">
        <f>IF(ROW()-ROW($O$1)+1 &lt;= 'FILL ME'!$E$6, TRUE, FALSE)</f>
        <v>0</v>
      </c>
      <c r="P276" t="b">
        <f>IF(ROW()-ROW($P$1)+1 &lt;= 'FILL ME'!$E$7, TRUE, FALSE)</f>
        <v>0</v>
      </c>
      <c r="Q276" t="b">
        <f>IF(ROW()-ROW($Q$1)+1 &lt;= 'FILL ME'!$E$8, TRUE, FALSE)</f>
        <v>0</v>
      </c>
      <c r="R276" t="b">
        <f>IF(ROW()-ROW($R$1)+1 &lt;= 'FILL ME'!$E$10, TRUE, FALSE)</f>
        <v>0</v>
      </c>
    </row>
    <row r="277" spans="1:18" x14ac:dyDescent="0.25">
      <c r="A277" s="7" t="str">
        <f>'FILL ME'!$B$8</f>
        <v>Grab</v>
      </c>
      <c r="B277" t="str">
        <f>IF('FILL ME'!$B$3 = "", "", 'FILL ME'!$B$3)</f>
        <v>WWS</v>
      </c>
      <c r="C277" t="str">
        <f>IF('FILL ME'!$B$4 = "", "", 'FILL ME'!$B$4)</f>
        <v>SSFLAT</v>
      </c>
      <c r="D277" s="7" t="str">
        <f>TEXT('FILL ME'!$B$7,"yyyymmdd")</f>
        <v>20260319</v>
      </c>
      <c r="E277" s="8" t="str">
        <f t="shared" si="16"/>
        <v/>
      </c>
      <c r="F277" s="7">
        <f>IF('FILL ME'!$B$8="ISCO",'FILL ME'!$B$7+'FILL ME'!$B$12+('FILL ME'!$B$13*(G277-'FILL ME'!$B$14)),'FILL ME'!$B$7)</f>
        <v>46100</v>
      </c>
      <c r="G277" s="8"/>
      <c r="I277" s="9" t="str">
        <f t="shared" si="17"/>
        <v>_00</v>
      </c>
      <c r="J277" s="10" t="str">
        <f t="shared" si="18"/>
        <v>SSFLAT__20260319_00</v>
      </c>
      <c r="K277" s="10" t="str">
        <f t="shared" si="19"/>
        <v>SSFLAT__20260319_</v>
      </c>
      <c r="L277" t="b">
        <f>IF(ROW()-ROW($L$1)+1 &lt;= 'FILL ME'!$E$3, TRUE, FALSE)</f>
        <v>0</v>
      </c>
      <c r="M277" t="b">
        <f>IF(ROW()-ROW($M$1)+1 &lt;= 'FILL ME'!$E$4, TRUE, FALSE)</f>
        <v>0</v>
      </c>
      <c r="N277" t="b">
        <f>IF(ROW()-ROW($N$1)+1 &lt;= 'FILL ME'!$E$5, TRUE, FALSE)</f>
        <v>0</v>
      </c>
      <c r="O277" t="b">
        <f>IF(ROW()-ROW($O$1)+1 &lt;= 'FILL ME'!$E$6, TRUE, FALSE)</f>
        <v>0</v>
      </c>
      <c r="P277" t="b">
        <f>IF(ROW()-ROW($P$1)+1 &lt;= 'FILL ME'!$E$7, TRUE, FALSE)</f>
        <v>0</v>
      </c>
      <c r="Q277" t="b">
        <f>IF(ROW()-ROW($Q$1)+1 &lt;= 'FILL ME'!$E$8, TRUE, FALSE)</f>
        <v>0</v>
      </c>
      <c r="R277" t="b">
        <f>IF(ROW()-ROW($R$1)+1 &lt;= 'FILL ME'!$E$10, TRUE, FALSE)</f>
        <v>0</v>
      </c>
    </row>
    <row r="278" spans="1:18" x14ac:dyDescent="0.25">
      <c r="A278" s="7" t="str">
        <f>'FILL ME'!$B$8</f>
        <v>Grab</v>
      </c>
      <c r="B278" t="str">
        <f>IF('FILL ME'!$B$3 = "", "", 'FILL ME'!$B$3)</f>
        <v>WWS</v>
      </c>
      <c r="C278" t="str">
        <f>IF('FILL ME'!$B$4 = "", "", 'FILL ME'!$B$4)</f>
        <v>SSFLAT</v>
      </c>
      <c r="D278" s="7" t="str">
        <f>TEXT('FILL ME'!$B$7,"yyyymmdd")</f>
        <v>20260319</v>
      </c>
      <c r="E278" s="8" t="str">
        <f t="shared" si="16"/>
        <v/>
      </c>
      <c r="F278" s="7">
        <f>IF('FILL ME'!$B$8="ISCO",'FILL ME'!$B$7+'FILL ME'!$B$12+('FILL ME'!$B$13*(G278-'FILL ME'!$B$14)),'FILL ME'!$B$7)</f>
        <v>46100</v>
      </c>
      <c r="G278" s="8"/>
      <c r="I278" s="9" t="str">
        <f t="shared" si="17"/>
        <v>_00</v>
      </c>
      <c r="J278" s="10" t="str">
        <f t="shared" si="18"/>
        <v>SSFLAT__20260319_00</v>
      </c>
      <c r="K278" s="10" t="str">
        <f t="shared" si="19"/>
        <v>SSFLAT__20260319_</v>
      </c>
      <c r="L278" t="b">
        <f>IF(ROW()-ROW($L$1)+1 &lt;= 'FILL ME'!$E$3, TRUE, FALSE)</f>
        <v>0</v>
      </c>
      <c r="M278" t="b">
        <f>IF(ROW()-ROW($M$1)+1 &lt;= 'FILL ME'!$E$4, TRUE, FALSE)</f>
        <v>0</v>
      </c>
      <c r="N278" t="b">
        <f>IF(ROW()-ROW($N$1)+1 &lt;= 'FILL ME'!$E$5, TRUE, FALSE)</f>
        <v>0</v>
      </c>
      <c r="O278" t="b">
        <f>IF(ROW()-ROW($O$1)+1 &lt;= 'FILL ME'!$E$6, TRUE, FALSE)</f>
        <v>0</v>
      </c>
      <c r="P278" t="b">
        <f>IF(ROW()-ROW($P$1)+1 &lt;= 'FILL ME'!$E$7, TRUE, FALSE)</f>
        <v>0</v>
      </c>
      <c r="Q278" t="b">
        <f>IF(ROW()-ROW($Q$1)+1 &lt;= 'FILL ME'!$E$8, TRUE, FALSE)</f>
        <v>0</v>
      </c>
      <c r="R278" t="b">
        <f>IF(ROW()-ROW($R$1)+1 &lt;= 'FILL ME'!$E$10, TRUE, FALSE)</f>
        <v>0</v>
      </c>
    </row>
    <row r="279" spans="1:18" x14ac:dyDescent="0.25">
      <c r="A279" s="7" t="str">
        <f>'FILL ME'!$B$8</f>
        <v>Grab</v>
      </c>
      <c r="B279" t="str">
        <f>IF('FILL ME'!$B$3 = "", "", 'FILL ME'!$B$3)</f>
        <v>WWS</v>
      </c>
      <c r="C279" t="str">
        <f>IF('FILL ME'!$B$4 = "", "", 'FILL ME'!$B$4)</f>
        <v>SSFLAT</v>
      </c>
      <c r="D279" s="7" t="str">
        <f>TEXT('FILL ME'!$B$7,"yyyymmdd")</f>
        <v>20260319</v>
      </c>
      <c r="E279" s="8" t="str">
        <f t="shared" si="16"/>
        <v/>
      </c>
      <c r="F279" s="7">
        <f>IF('FILL ME'!$B$8="ISCO",'FILL ME'!$B$7+'FILL ME'!$B$12+('FILL ME'!$B$13*(G279-'FILL ME'!$B$14)),'FILL ME'!$B$7)</f>
        <v>46100</v>
      </c>
      <c r="G279" s="8"/>
      <c r="I279" s="9" t="str">
        <f t="shared" si="17"/>
        <v>_00</v>
      </c>
      <c r="J279" s="10" t="str">
        <f t="shared" si="18"/>
        <v>SSFLAT__20260319_00</v>
      </c>
      <c r="K279" s="10" t="str">
        <f t="shared" si="19"/>
        <v>SSFLAT__20260319_</v>
      </c>
      <c r="L279" t="b">
        <f>IF(ROW()-ROW($L$1)+1 &lt;= 'FILL ME'!$E$3, TRUE, FALSE)</f>
        <v>0</v>
      </c>
      <c r="M279" t="b">
        <f>IF(ROW()-ROW($M$1)+1 &lt;= 'FILL ME'!$E$4, TRUE, FALSE)</f>
        <v>0</v>
      </c>
      <c r="N279" t="b">
        <f>IF(ROW()-ROW($N$1)+1 &lt;= 'FILL ME'!$E$5, TRUE, FALSE)</f>
        <v>0</v>
      </c>
      <c r="O279" t="b">
        <f>IF(ROW()-ROW($O$1)+1 &lt;= 'FILL ME'!$E$6, TRUE, FALSE)</f>
        <v>0</v>
      </c>
      <c r="P279" t="b">
        <f>IF(ROW()-ROW($P$1)+1 &lt;= 'FILL ME'!$E$7, TRUE, FALSE)</f>
        <v>0</v>
      </c>
      <c r="Q279" t="b">
        <f>IF(ROW()-ROW($Q$1)+1 &lt;= 'FILL ME'!$E$8, TRUE, FALSE)</f>
        <v>0</v>
      </c>
      <c r="R279" t="b">
        <f>IF(ROW()-ROW($R$1)+1 &lt;= 'FILL ME'!$E$10, TRUE, FALSE)</f>
        <v>0</v>
      </c>
    </row>
    <row r="280" spans="1:18" x14ac:dyDescent="0.25">
      <c r="A280" s="7" t="str">
        <f>'FILL ME'!$B$8</f>
        <v>Grab</v>
      </c>
      <c r="B280" t="str">
        <f>IF('FILL ME'!$B$3 = "", "", 'FILL ME'!$B$3)</f>
        <v>WWS</v>
      </c>
      <c r="C280" t="str">
        <f>IF('FILL ME'!$B$4 = "", "", 'FILL ME'!$B$4)</f>
        <v>SSFLAT</v>
      </c>
      <c r="D280" s="7" t="str">
        <f>TEXT('FILL ME'!$B$7,"yyyymmdd")</f>
        <v>20260319</v>
      </c>
      <c r="E280" s="8" t="str">
        <f t="shared" si="16"/>
        <v/>
      </c>
      <c r="F280" s="7">
        <f>IF('FILL ME'!$B$8="ISCO",'FILL ME'!$B$7+'FILL ME'!$B$12+('FILL ME'!$B$13*(G280-'FILL ME'!$B$14)),'FILL ME'!$B$7)</f>
        <v>46100</v>
      </c>
      <c r="G280" s="8"/>
      <c r="I280" s="9" t="str">
        <f t="shared" si="17"/>
        <v>_00</v>
      </c>
      <c r="J280" s="10" t="str">
        <f t="shared" si="18"/>
        <v>SSFLAT__20260319_00</v>
      </c>
      <c r="K280" s="10" t="str">
        <f t="shared" si="19"/>
        <v>SSFLAT__20260319_</v>
      </c>
      <c r="L280" t="b">
        <f>IF(ROW()-ROW($L$1)+1 &lt;= 'FILL ME'!$E$3, TRUE, FALSE)</f>
        <v>0</v>
      </c>
      <c r="M280" t="b">
        <f>IF(ROW()-ROW($M$1)+1 &lt;= 'FILL ME'!$E$4, TRUE, FALSE)</f>
        <v>0</v>
      </c>
      <c r="N280" t="b">
        <f>IF(ROW()-ROW($N$1)+1 &lt;= 'FILL ME'!$E$5, TRUE, FALSE)</f>
        <v>0</v>
      </c>
      <c r="O280" t="b">
        <f>IF(ROW()-ROW($O$1)+1 &lt;= 'FILL ME'!$E$6, TRUE, FALSE)</f>
        <v>0</v>
      </c>
      <c r="P280" t="b">
        <f>IF(ROW()-ROW($P$1)+1 &lt;= 'FILL ME'!$E$7, TRUE, FALSE)</f>
        <v>0</v>
      </c>
      <c r="Q280" t="b">
        <f>IF(ROW()-ROW($Q$1)+1 &lt;= 'FILL ME'!$E$8, TRUE, FALSE)</f>
        <v>0</v>
      </c>
      <c r="R280" t="b">
        <f>IF(ROW()-ROW($R$1)+1 &lt;= 'FILL ME'!$E$10, TRUE, FALSE)</f>
        <v>0</v>
      </c>
    </row>
    <row r="281" spans="1:18" x14ac:dyDescent="0.25">
      <c r="A281" s="7" t="str">
        <f>'FILL ME'!$B$8</f>
        <v>Grab</v>
      </c>
      <c r="B281" t="str">
        <f>IF('FILL ME'!$B$3 = "", "", 'FILL ME'!$B$3)</f>
        <v>WWS</v>
      </c>
      <c r="C281" t="str">
        <f>IF('FILL ME'!$B$4 = "", "", 'FILL ME'!$B$4)</f>
        <v>SSFLAT</v>
      </c>
      <c r="D281" s="7" t="str">
        <f>TEXT('FILL ME'!$B$7,"yyyymmdd")</f>
        <v>20260319</v>
      </c>
      <c r="E281" s="8" t="str">
        <f t="shared" si="16"/>
        <v/>
      </c>
      <c r="F281" s="7">
        <f>IF('FILL ME'!$B$8="ISCO",'FILL ME'!$B$7+'FILL ME'!$B$12+('FILL ME'!$B$13*(G281-'FILL ME'!$B$14)),'FILL ME'!$B$7)</f>
        <v>46100</v>
      </c>
      <c r="G281" s="8"/>
      <c r="I281" s="9" t="str">
        <f t="shared" si="17"/>
        <v>_00</v>
      </c>
      <c r="J281" s="10" t="str">
        <f t="shared" si="18"/>
        <v>SSFLAT__20260319_00</v>
      </c>
      <c r="K281" s="10" t="str">
        <f t="shared" si="19"/>
        <v>SSFLAT__20260319_</v>
      </c>
      <c r="L281" t="b">
        <f>IF(ROW()-ROW($L$1)+1 &lt;= 'FILL ME'!$E$3, TRUE, FALSE)</f>
        <v>0</v>
      </c>
      <c r="M281" t="b">
        <f>IF(ROW()-ROW($M$1)+1 &lt;= 'FILL ME'!$E$4, TRUE, FALSE)</f>
        <v>0</v>
      </c>
      <c r="N281" t="b">
        <f>IF(ROW()-ROW($N$1)+1 &lt;= 'FILL ME'!$E$5, TRUE, FALSE)</f>
        <v>0</v>
      </c>
      <c r="O281" t="b">
        <f>IF(ROW()-ROW($O$1)+1 &lt;= 'FILL ME'!$E$6, TRUE, FALSE)</f>
        <v>0</v>
      </c>
      <c r="P281" t="b">
        <f>IF(ROW()-ROW($P$1)+1 &lt;= 'FILL ME'!$E$7, TRUE, FALSE)</f>
        <v>0</v>
      </c>
      <c r="Q281" t="b">
        <f>IF(ROW()-ROW($Q$1)+1 &lt;= 'FILL ME'!$E$8, TRUE, FALSE)</f>
        <v>0</v>
      </c>
      <c r="R281" t="b">
        <f>IF(ROW()-ROW($R$1)+1 &lt;= 'FILL ME'!$E$10, TRUE, FALSE)</f>
        <v>0</v>
      </c>
    </row>
    <row r="282" spans="1:18" x14ac:dyDescent="0.25">
      <c r="A282" s="7" t="str">
        <f>'FILL ME'!$B$8</f>
        <v>Grab</v>
      </c>
      <c r="B282" t="str">
        <f>IF('FILL ME'!$B$3 = "", "", 'FILL ME'!$B$3)</f>
        <v>WWS</v>
      </c>
      <c r="C282" t="str">
        <f>IF('FILL ME'!$B$4 = "", "", 'FILL ME'!$B$4)</f>
        <v>SSFLAT</v>
      </c>
      <c r="D282" s="7" t="str">
        <f>TEXT('FILL ME'!$B$7,"yyyymmdd")</f>
        <v>20260319</v>
      </c>
      <c r="E282" s="8" t="str">
        <f t="shared" si="16"/>
        <v/>
      </c>
      <c r="F282" s="7">
        <f>IF('FILL ME'!$B$8="ISCO",'FILL ME'!$B$7+'FILL ME'!$B$12+('FILL ME'!$B$13*(G282-'FILL ME'!$B$14)),'FILL ME'!$B$7)</f>
        <v>46100</v>
      </c>
      <c r="G282" s="8"/>
      <c r="I282" s="9" t="str">
        <f t="shared" si="17"/>
        <v>_00</v>
      </c>
      <c r="J282" s="10" t="str">
        <f t="shared" si="18"/>
        <v>SSFLAT__20260319_00</v>
      </c>
      <c r="K282" s="10" t="str">
        <f t="shared" si="19"/>
        <v>SSFLAT__20260319_</v>
      </c>
      <c r="L282" t="b">
        <f>IF(ROW()-ROW($L$1)+1 &lt;= 'FILL ME'!$E$3, TRUE, FALSE)</f>
        <v>0</v>
      </c>
      <c r="M282" t="b">
        <f>IF(ROW()-ROW($M$1)+1 &lt;= 'FILL ME'!$E$4, TRUE, FALSE)</f>
        <v>0</v>
      </c>
      <c r="N282" t="b">
        <f>IF(ROW()-ROW($N$1)+1 &lt;= 'FILL ME'!$E$5, TRUE, FALSE)</f>
        <v>0</v>
      </c>
      <c r="O282" t="b">
        <f>IF(ROW()-ROW($O$1)+1 &lt;= 'FILL ME'!$E$6, TRUE, FALSE)</f>
        <v>0</v>
      </c>
      <c r="P282" t="b">
        <f>IF(ROW()-ROW($P$1)+1 &lt;= 'FILL ME'!$E$7, TRUE, FALSE)</f>
        <v>0</v>
      </c>
      <c r="Q282" t="b">
        <f>IF(ROW()-ROW($Q$1)+1 &lt;= 'FILL ME'!$E$8, TRUE, FALSE)</f>
        <v>0</v>
      </c>
      <c r="R282" t="b">
        <f>IF(ROW()-ROW($R$1)+1 &lt;= 'FILL ME'!$E$10, TRUE, FALSE)</f>
        <v>0</v>
      </c>
    </row>
    <row r="283" spans="1:18" x14ac:dyDescent="0.25">
      <c r="A283" s="7" t="str">
        <f>'FILL ME'!$B$8</f>
        <v>Grab</v>
      </c>
      <c r="B283" t="str">
        <f>IF('FILL ME'!$B$3 = "", "", 'FILL ME'!$B$3)</f>
        <v>WWS</v>
      </c>
      <c r="C283" t="str">
        <f>IF('FILL ME'!$B$4 = "", "", 'FILL ME'!$B$4)</f>
        <v>SSFLAT</v>
      </c>
      <c r="D283" s="7" t="str">
        <f>TEXT('FILL ME'!$B$7,"yyyymmdd")</f>
        <v>20260319</v>
      </c>
      <c r="E283" s="8" t="str">
        <f t="shared" si="16"/>
        <v/>
      </c>
      <c r="F283" s="7">
        <f>IF('FILL ME'!$B$8="ISCO",'FILL ME'!$B$7+'FILL ME'!$B$12+('FILL ME'!$B$13*(G283-'FILL ME'!$B$14)),'FILL ME'!$B$7)</f>
        <v>46100</v>
      </c>
      <c r="G283" s="8"/>
      <c r="I283" s="9" t="str">
        <f t="shared" si="17"/>
        <v>_00</v>
      </c>
      <c r="J283" s="10" t="str">
        <f t="shared" si="18"/>
        <v>SSFLAT__20260319_00</v>
      </c>
      <c r="K283" s="10" t="str">
        <f t="shared" si="19"/>
        <v>SSFLAT__20260319_</v>
      </c>
      <c r="L283" t="b">
        <f>IF(ROW()-ROW($L$1)+1 &lt;= 'FILL ME'!$E$3, TRUE, FALSE)</f>
        <v>0</v>
      </c>
      <c r="M283" t="b">
        <f>IF(ROW()-ROW($M$1)+1 &lt;= 'FILL ME'!$E$4, TRUE, FALSE)</f>
        <v>0</v>
      </c>
      <c r="N283" t="b">
        <f>IF(ROW()-ROW($N$1)+1 &lt;= 'FILL ME'!$E$5, TRUE, FALSE)</f>
        <v>0</v>
      </c>
      <c r="O283" t="b">
        <f>IF(ROW()-ROW($O$1)+1 &lt;= 'FILL ME'!$E$6, TRUE, FALSE)</f>
        <v>0</v>
      </c>
      <c r="P283" t="b">
        <f>IF(ROW()-ROW($P$1)+1 &lt;= 'FILL ME'!$E$7, TRUE, FALSE)</f>
        <v>0</v>
      </c>
      <c r="Q283" t="b">
        <f>IF(ROW()-ROW($Q$1)+1 &lt;= 'FILL ME'!$E$8, TRUE, FALSE)</f>
        <v>0</v>
      </c>
      <c r="R283" t="b">
        <f>IF(ROW()-ROW($R$1)+1 &lt;= 'FILL ME'!$E$10, TRUE, FALSE)</f>
        <v>0</v>
      </c>
    </row>
    <row r="284" spans="1:18" x14ac:dyDescent="0.25">
      <c r="A284" s="7" t="str">
        <f>'FILL ME'!$B$8</f>
        <v>Grab</v>
      </c>
      <c r="B284" t="str">
        <f>IF('FILL ME'!$B$3 = "", "", 'FILL ME'!$B$3)</f>
        <v>WWS</v>
      </c>
      <c r="C284" t="str">
        <f>IF('FILL ME'!$B$4 = "", "", 'FILL ME'!$B$4)</f>
        <v>SSFLAT</v>
      </c>
      <c r="D284" s="7" t="str">
        <f>TEXT('FILL ME'!$B$7,"yyyymmdd")</f>
        <v>20260319</v>
      </c>
      <c r="E284" s="8" t="str">
        <f t="shared" si="16"/>
        <v/>
      </c>
      <c r="F284" s="7">
        <f>IF('FILL ME'!$B$8="ISCO",'FILL ME'!$B$7+'FILL ME'!$B$12+('FILL ME'!$B$13*(G284-'FILL ME'!$B$14)),'FILL ME'!$B$7)</f>
        <v>46100</v>
      </c>
      <c r="G284" s="8"/>
      <c r="I284" s="9" t="str">
        <f t="shared" si="17"/>
        <v>_00</v>
      </c>
      <c r="J284" s="10" t="str">
        <f t="shared" si="18"/>
        <v>SSFLAT__20260319_00</v>
      </c>
      <c r="K284" s="10" t="str">
        <f t="shared" si="19"/>
        <v>SSFLAT__20260319_</v>
      </c>
      <c r="L284" t="b">
        <f>IF(ROW()-ROW($L$1)+1 &lt;= 'FILL ME'!$E$3, TRUE, FALSE)</f>
        <v>0</v>
      </c>
      <c r="M284" t="b">
        <f>IF(ROW()-ROW($M$1)+1 &lt;= 'FILL ME'!$E$4, TRUE, FALSE)</f>
        <v>0</v>
      </c>
      <c r="N284" t="b">
        <f>IF(ROW()-ROW($N$1)+1 &lt;= 'FILL ME'!$E$5, TRUE, FALSE)</f>
        <v>0</v>
      </c>
      <c r="O284" t="b">
        <f>IF(ROW()-ROW($O$1)+1 &lt;= 'FILL ME'!$E$6, TRUE, FALSE)</f>
        <v>0</v>
      </c>
      <c r="P284" t="b">
        <f>IF(ROW()-ROW($P$1)+1 &lt;= 'FILL ME'!$E$7, TRUE, FALSE)</f>
        <v>0</v>
      </c>
      <c r="Q284" t="b">
        <f>IF(ROW()-ROW($Q$1)+1 &lt;= 'FILL ME'!$E$8, TRUE, FALSE)</f>
        <v>0</v>
      </c>
      <c r="R284" t="b">
        <f>IF(ROW()-ROW($R$1)+1 &lt;= 'FILL ME'!$E$10, TRUE, FALSE)</f>
        <v>0</v>
      </c>
    </row>
    <row r="285" spans="1:18" x14ac:dyDescent="0.25">
      <c r="A285" s="7" t="str">
        <f>'FILL ME'!$B$8</f>
        <v>Grab</v>
      </c>
      <c r="B285" t="str">
        <f>IF('FILL ME'!$B$3 = "", "", 'FILL ME'!$B$3)</f>
        <v>WWS</v>
      </c>
      <c r="C285" t="str">
        <f>IF('FILL ME'!$B$4 = "", "", 'FILL ME'!$B$4)</f>
        <v>SSFLAT</v>
      </c>
      <c r="D285" s="7" t="str">
        <f>TEXT('FILL ME'!$B$7,"yyyymmdd")</f>
        <v>20260319</v>
      </c>
      <c r="E285" s="8" t="str">
        <f t="shared" si="16"/>
        <v/>
      </c>
      <c r="F285" s="7">
        <f>IF('FILL ME'!$B$8="ISCO",'FILL ME'!$B$7+'FILL ME'!$B$12+('FILL ME'!$B$13*(G285-'FILL ME'!$B$14)),'FILL ME'!$B$7)</f>
        <v>46100</v>
      </c>
      <c r="G285" s="8"/>
      <c r="I285" s="9" t="str">
        <f t="shared" si="17"/>
        <v>_00</v>
      </c>
      <c r="J285" s="10" t="str">
        <f t="shared" si="18"/>
        <v>SSFLAT__20260319_00</v>
      </c>
      <c r="K285" s="10" t="str">
        <f t="shared" si="19"/>
        <v>SSFLAT__20260319_</v>
      </c>
      <c r="L285" t="b">
        <f>IF(ROW()-ROW($L$1)+1 &lt;= 'FILL ME'!$E$3, TRUE, FALSE)</f>
        <v>0</v>
      </c>
      <c r="M285" t="b">
        <f>IF(ROW()-ROW($M$1)+1 &lt;= 'FILL ME'!$E$4, TRUE, FALSE)</f>
        <v>0</v>
      </c>
      <c r="N285" t="b">
        <f>IF(ROW()-ROW($N$1)+1 &lt;= 'FILL ME'!$E$5, TRUE, FALSE)</f>
        <v>0</v>
      </c>
      <c r="O285" t="b">
        <f>IF(ROW()-ROW($O$1)+1 &lt;= 'FILL ME'!$E$6, TRUE, FALSE)</f>
        <v>0</v>
      </c>
      <c r="P285" t="b">
        <f>IF(ROW()-ROW($P$1)+1 &lt;= 'FILL ME'!$E$7, TRUE, FALSE)</f>
        <v>0</v>
      </c>
      <c r="Q285" t="b">
        <f>IF(ROW()-ROW($Q$1)+1 &lt;= 'FILL ME'!$E$8, TRUE, FALSE)</f>
        <v>0</v>
      </c>
      <c r="R285" t="b">
        <f>IF(ROW()-ROW($R$1)+1 &lt;= 'FILL ME'!$E$10, TRUE, FALSE)</f>
        <v>0</v>
      </c>
    </row>
    <row r="286" spans="1:18" x14ac:dyDescent="0.25">
      <c r="A286" s="7" t="str">
        <f>'FILL ME'!$B$8</f>
        <v>Grab</v>
      </c>
      <c r="B286" t="str">
        <f>IF('FILL ME'!$B$3 = "", "", 'FILL ME'!$B$3)</f>
        <v>WWS</v>
      </c>
      <c r="C286" t="str">
        <f>IF('FILL ME'!$B$4 = "", "", 'FILL ME'!$B$4)</f>
        <v>SSFLAT</v>
      </c>
      <c r="D286" s="7" t="str">
        <f>TEXT('FILL ME'!$B$7,"yyyymmdd")</f>
        <v>20260319</v>
      </c>
      <c r="E286" s="8" t="str">
        <f t="shared" si="16"/>
        <v/>
      </c>
      <c r="F286" s="7">
        <f>IF('FILL ME'!$B$8="ISCO",'FILL ME'!$B$7+'FILL ME'!$B$12+('FILL ME'!$B$13*(G286-'FILL ME'!$B$14)),'FILL ME'!$B$7)</f>
        <v>46100</v>
      </c>
      <c r="G286" s="8"/>
      <c r="I286" s="9" t="str">
        <f t="shared" si="17"/>
        <v>_00</v>
      </c>
      <c r="J286" s="10" t="str">
        <f t="shared" si="18"/>
        <v>SSFLAT__20260319_00</v>
      </c>
      <c r="K286" s="10" t="str">
        <f t="shared" si="19"/>
        <v>SSFLAT__20260319_</v>
      </c>
      <c r="L286" t="b">
        <f>IF(ROW()-ROW($L$1)+1 &lt;= 'FILL ME'!$E$3, TRUE, FALSE)</f>
        <v>0</v>
      </c>
      <c r="M286" t="b">
        <f>IF(ROW()-ROW($M$1)+1 &lt;= 'FILL ME'!$E$4, TRUE, FALSE)</f>
        <v>0</v>
      </c>
      <c r="N286" t="b">
        <f>IF(ROW()-ROW($N$1)+1 &lt;= 'FILL ME'!$E$5, TRUE, FALSE)</f>
        <v>0</v>
      </c>
      <c r="O286" t="b">
        <f>IF(ROW()-ROW($O$1)+1 &lt;= 'FILL ME'!$E$6, TRUE, FALSE)</f>
        <v>0</v>
      </c>
      <c r="P286" t="b">
        <f>IF(ROW()-ROW($P$1)+1 &lt;= 'FILL ME'!$E$7, TRUE, FALSE)</f>
        <v>0</v>
      </c>
      <c r="Q286" t="b">
        <f>IF(ROW()-ROW($Q$1)+1 &lt;= 'FILL ME'!$E$8, TRUE, FALSE)</f>
        <v>0</v>
      </c>
      <c r="R286" t="b">
        <f>IF(ROW()-ROW($R$1)+1 &lt;= 'FILL ME'!$E$10, TRUE, FALSE)</f>
        <v>0</v>
      </c>
    </row>
    <row r="287" spans="1:18" x14ac:dyDescent="0.25">
      <c r="A287" s="7" t="str">
        <f>'FILL ME'!$B$8</f>
        <v>Grab</v>
      </c>
      <c r="B287" t="str">
        <f>IF('FILL ME'!$B$3 = "", "", 'FILL ME'!$B$3)</f>
        <v>WWS</v>
      </c>
      <c r="C287" t="str">
        <f>IF('FILL ME'!$B$4 = "", "", 'FILL ME'!$B$4)</f>
        <v>SSFLAT</v>
      </c>
      <c r="D287" s="7" t="str">
        <f>TEXT('FILL ME'!$B$7,"yyyymmdd")</f>
        <v>20260319</v>
      </c>
      <c r="E287" s="8" t="str">
        <f t="shared" si="16"/>
        <v/>
      </c>
      <c r="F287" s="7">
        <f>IF('FILL ME'!$B$8="ISCO",'FILL ME'!$B$7+'FILL ME'!$B$12+('FILL ME'!$B$13*(G287-'FILL ME'!$B$14)),'FILL ME'!$B$7)</f>
        <v>46100</v>
      </c>
      <c r="G287" s="8"/>
      <c r="I287" s="9" t="str">
        <f t="shared" si="17"/>
        <v>_00</v>
      </c>
      <c r="J287" s="10" t="str">
        <f t="shared" si="18"/>
        <v>SSFLAT__20260319_00</v>
      </c>
      <c r="K287" s="10" t="str">
        <f t="shared" si="19"/>
        <v>SSFLAT__20260319_</v>
      </c>
      <c r="L287" t="b">
        <f>IF(ROW()-ROW($L$1)+1 &lt;= 'FILL ME'!$E$3, TRUE, FALSE)</f>
        <v>0</v>
      </c>
      <c r="M287" t="b">
        <f>IF(ROW()-ROW($M$1)+1 &lt;= 'FILL ME'!$E$4, TRUE, FALSE)</f>
        <v>0</v>
      </c>
      <c r="N287" t="b">
        <f>IF(ROW()-ROW($N$1)+1 &lt;= 'FILL ME'!$E$5, TRUE, FALSE)</f>
        <v>0</v>
      </c>
      <c r="O287" t="b">
        <f>IF(ROW()-ROW($O$1)+1 &lt;= 'FILL ME'!$E$6, TRUE, FALSE)</f>
        <v>0</v>
      </c>
      <c r="P287" t="b">
        <f>IF(ROW()-ROW($P$1)+1 &lt;= 'FILL ME'!$E$7, TRUE, FALSE)</f>
        <v>0</v>
      </c>
      <c r="Q287" t="b">
        <f>IF(ROW()-ROW($Q$1)+1 &lt;= 'FILL ME'!$E$8, TRUE, FALSE)</f>
        <v>0</v>
      </c>
      <c r="R287" t="b">
        <f>IF(ROW()-ROW($R$1)+1 &lt;= 'FILL ME'!$E$10, TRUE, FALSE)</f>
        <v>0</v>
      </c>
    </row>
    <row r="288" spans="1:18" x14ac:dyDescent="0.25">
      <c r="A288" s="7" t="str">
        <f>'FILL ME'!$B$8</f>
        <v>Grab</v>
      </c>
      <c r="B288" t="str">
        <f>IF('FILL ME'!$B$3 = "", "", 'FILL ME'!$B$3)</f>
        <v>WWS</v>
      </c>
      <c r="C288" t="str">
        <f>IF('FILL ME'!$B$4 = "", "", 'FILL ME'!$B$4)</f>
        <v>SSFLAT</v>
      </c>
      <c r="D288" s="7" t="str">
        <f>TEXT('FILL ME'!$B$7,"yyyymmdd")</f>
        <v>20260319</v>
      </c>
      <c r="E288" s="8" t="str">
        <f t="shared" si="16"/>
        <v/>
      </c>
      <c r="F288" s="7">
        <f>IF('FILL ME'!$B$8="ISCO",'FILL ME'!$B$7+'FILL ME'!$B$12+('FILL ME'!$B$13*(G288-'FILL ME'!$B$14)),'FILL ME'!$B$7)</f>
        <v>46100</v>
      </c>
      <c r="G288" s="8"/>
      <c r="I288" s="9" t="str">
        <f t="shared" si="17"/>
        <v>_00</v>
      </c>
      <c r="J288" s="10" t="str">
        <f t="shared" si="18"/>
        <v>SSFLAT__20260319_00</v>
      </c>
      <c r="K288" s="10" t="str">
        <f t="shared" si="19"/>
        <v>SSFLAT__20260319_</v>
      </c>
      <c r="L288" t="b">
        <f>IF(ROW()-ROW($L$1)+1 &lt;= 'FILL ME'!$E$3, TRUE, FALSE)</f>
        <v>0</v>
      </c>
      <c r="M288" t="b">
        <f>IF(ROW()-ROW($M$1)+1 &lt;= 'FILL ME'!$E$4, TRUE, FALSE)</f>
        <v>0</v>
      </c>
      <c r="N288" t="b">
        <f>IF(ROW()-ROW($N$1)+1 &lt;= 'FILL ME'!$E$5, TRUE, FALSE)</f>
        <v>0</v>
      </c>
      <c r="O288" t="b">
        <f>IF(ROW()-ROW($O$1)+1 &lt;= 'FILL ME'!$E$6, TRUE, FALSE)</f>
        <v>0</v>
      </c>
      <c r="P288" t="b">
        <f>IF(ROW()-ROW($P$1)+1 &lt;= 'FILL ME'!$E$7, TRUE, FALSE)</f>
        <v>0</v>
      </c>
      <c r="Q288" t="b">
        <f>IF(ROW()-ROW($Q$1)+1 &lt;= 'FILL ME'!$E$8, TRUE, FALSE)</f>
        <v>0</v>
      </c>
      <c r="R288" t="b">
        <f>IF(ROW()-ROW($R$1)+1 &lt;= 'FILL ME'!$E$10, TRUE, FALSE)</f>
        <v>0</v>
      </c>
    </row>
    <row r="289" spans="1:18" x14ac:dyDescent="0.25">
      <c r="A289" s="7" t="str">
        <f>'FILL ME'!$B$8</f>
        <v>Grab</v>
      </c>
      <c r="B289" t="str">
        <f>IF('FILL ME'!$B$3 = "", "", 'FILL ME'!$B$3)</f>
        <v>WWS</v>
      </c>
      <c r="C289" t="str">
        <f>IF('FILL ME'!$B$4 = "", "", 'FILL ME'!$B$4)</f>
        <v>SSFLAT</v>
      </c>
      <c r="D289" s="7" t="str">
        <f>TEXT('FILL ME'!$B$7,"yyyymmdd")</f>
        <v>20260319</v>
      </c>
      <c r="E289" s="8" t="str">
        <f t="shared" si="16"/>
        <v/>
      </c>
      <c r="F289" s="7">
        <f>IF('FILL ME'!$B$8="ISCO",'FILL ME'!$B$7+'FILL ME'!$B$12+('FILL ME'!$B$13*(G289-'FILL ME'!$B$14)),'FILL ME'!$B$7)</f>
        <v>46100</v>
      </c>
      <c r="G289" s="8"/>
      <c r="I289" s="9" t="str">
        <f t="shared" si="17"/>
        <v>_00</v>
      </c>
      <c r="J289" s="10" t="str">
        <f t="shared" si="18"/>
        <v>SSFLAT__20260319_00</v>
      </c>
      <c r="K289" s="10" t="str">
        <f t="shared" si="19"/>
        <v>SSFLAT__20260319_</v>
      </c>
      <c r="L289" t="b">
        <f>IF(ROW()-ROW($L$1)+1 &lt;= 'FILL ME'!$E$3, TRUE, FALSE)</f>
        <v>0</v>
      </c>
      <c r="M289" t="b">
        <f>IF(ROW()-ROW($M$1)+1 &lt;= 'FILL ME'!$E$4, TRUE, FALSE)</f>
        <v>0</v>
      </c>
      <c r="N289" t="b">
        <f>IF(ROW()-ROW($N$1)+1 &lt;= 'FILL ME'!$E$5, TRUE, FALSE)</f>
        <v>0</v>
      </c>
      <c r="O289" t="b">
        <f>IF(ROW()-ROW($O$1)+1 &lt;= 'FILL ME'!$E$6, TRUE, FALSE)</f>
        <v>0</v>
      </c>
      <c r="P289" t="b">
        <f>IF(ROW()-ROW($P$1)+1 &lt;= 'FILL ME'!$E$7, TRUE, FALSE)</f>
        <v>0</v>
      </c>
      <c r="Q289" t="b">
        <f>IF(ROW()-ROW($Q$1)+1 &lt;= 'FILL ME'!$E$8, TRUE, FALSE)</f>
        <v>0</v>
      </c>
      <c r="R289" t="b">
        <f>IF(ROW()-ROW($R$1)+1 &lt;= 'FILL ME'!$E$10, TRUE, FALSE)</f>
        <v>0</v>
      </c>
    </row>
    <row r="290" spans="1:18" x14ac:dyDescent="0.25">
      <c r="A290" s="7" t="str">
        <f>'FILL ME'!$B$8</f>
        <v>Grab</v>
      </c>
      <c r="B290" t="str">
        <f>IF('FILL ME'!$B$3 = "", "", 'FILL ME'!$B$3)</f>
        <v>WWS</v>
      </c>
      <c r="C290" t="str">
        <f>IF('FILL ME'!$B$4 = "", "", 'FILL ME'!$B$4)</f>
        <v>SSFLAT</v>
      </c>
      <c r="D290" s="7" t="str">
        <f>TEXT('FILL ME'!$B$7,"yyyymmdd")</f>
        <v>20260319</v>
      </c>
      <c r="E290" s="8" t="str">
        <f t="shared" si="16"/>
        <v/>
      </c>
      <c r="F290" s="7">
        <f>IF('FILL ME'!$B$8="ISCO",'FILL ME'!$B$7+'FILL ME'!$B$12+('FILL ME'!$B$13*(G290-'FILL ME'!$B$14)),'FILL ME'!$B$7)</f>
        <v>46100</v>
      </c>
      <c r="G290" s="8"/>
      <c r="I290" s="9" t="str">
        <f t="shared" si="17"/>
        <v>_00</v>
      </c>
      <c r="J290" s="10" t="str">
        <f t="shared" si="18"/>
        <v>SSFLAT__20260319_00</v>
      </c>
      <c r="K290" s="10" t="str">
        <f t="shared" si="19"/>
        <v>SSFLAT__20260319_</v>
      </c>
      <c r="L290" t="b">
        <f>IF(ROW()-ROW($L$1)+1 &lt;= 'FILL ME'!$E$3, TRUE, FALSE)</f>
        <v>0</v>
      </c>
      <c r="M290" t="b">
        <f>IF(ROW()-ROW($M$1)+1 &lt;= 'FILL ME'!$E$4, TRUE, FALSE)</f>
        <v>0</v>
      </c>
      <c r="N290" t="b">
        <f>IF(ROW()-ROW($N$1)+1 &lt;= 'FILL ME'!$E$5, TRUE, FALSE)</f>
        <v>0</v>
      </c>
      <c r="O290" t="b">
        <f>IF(ROW()-ROW($O$1)+1 &lt;= 'FILL ME'!$E$6, TRUE, FALSE)</f>
        <v>0</v>
      </c>
      <c r="P290" t="b">
        <f>IF(ROW()-ROW($P$1)+1 &lt;= 'FILL ME'!$E$7, TRUE, FALSE)</f>
        <v>0</v>
      </c>
      <c r="Q290" t="b">
        <f>IF(ROW()-ROW($Q$1)+1 &lt;= 'FILL ME'!$E$8, TRUE, FALSE)</f>
        <v>0</v>
      </c>
      <c r="R290" t="b">
        <f>IF(ROW()-ROW($R$1)+1 &lt;= 'FILL ME'!$E$10, TRUE, FALSE)</f>
        <v>0</v>
      </c>
    </row>
    <row r="291" spans="1:18" x14ac:dyDescent="0.25">
      <c r="A291" s="7" t="str">
        <f>'FILL ME'!$B$8</f>
        <v>Grab</v>
      </c>
      <c r="B291" t="str">
        <f>IF('FILL ME'!$B$3 = "", "", 'FILL ME'!$B$3)</f>
        <v>WWS</v>
      </c>
      <c r="C291" t="str">
        <f>IF('FILL ME'!$B$4 = "", "", 'FILL ME'!$B$4)</f>
        <v>SSFLAT</v>
      </c>
      <c r="D291" s="7" t="str">
        <f>TEXT('FILL ME'!$B$7,"yyyymmdd")</f>
        <v>20260319</v>
      </c>
      <c r="E291" s="8" t="str">
        <f t="shared" si="16"/>
        <v/>
      </c>
      <c r="F291" s="7">
        <f>IF('FILL ME'!$B$8="ISCO",'FILL ME'!$B$7+'FILL ME'!$B$12+('FILL ME'!$B$13*(G291-'FILL ME'!$B$14)),'FILL ME'!$B$7)</f>
        <v>46100</v>
      </c>
      <c r="G291" s="8"/>
      <c r="I291" s="9" t="str">
        <f t="shared" si="17"/>
        <v>_00</v>
      </c>
      <c r="J291" s="10" t="str">
        <f t="shared" si="18"/>
        <v>SSFLAT__20260319_00</v>
      </c>
      <c r="K291" s="10" t="str">
        <f t="shared" si="19"/>
        <v>SSFLAT__20260319_</v>
      </c>
      <c r="L291" t="b">
        <f>IF(ROW()-ROW($L$1)+1 &lt;= 'FILL ME'!$E$3, TRUE, FALSE)</f>
        <v>0</v>
      </c>
      <c r="M291" t="b">
        <f>IF(ROW()-ROW($M$1)+1 &lt;= 'FILL ME'!$E$4, TRUE, FALSE)</f>
        <v>0</v>
      </c>
      <c r="N291" t="b">
        <f>IF(ROW()-ROW($N$1)+1 &lt;= 'FILL ME'!$E$5, TRUE, FALSE)</f>
        <v>0</v>
      </c>
      <c r="O291" t="b">
        <f>IF(ROW()-ROW($O$1)+1 &lt;= 'FILL ME'!$E$6, TRUE, FALSE)</f>
        <v>0</v>
      </c>
      <c r="P291" t="b">
        <f>IF(ROW()-ROW($P$1)+1 &lt;= 'FILL ME'!$E$7, TRUE, FALSE)</f>
        <v>0</v>
      </c>
      <c r="Q291" t="b">
        <f>IF(ROW()-ROW($Q$1)+1 &lt;= 'FILL ME'!$E$8, TRUE, FALSE)</f>
        <v>0</v>
      </c>
      <c r="R291" t="b">
        <f>IF(ROW()-ROW($R$1)+1 &lt;= 'FILL ME'!$E$10, TRUE, FALSE)</f>
        <v>0</v>
      </c>
    </row>
    <row r="292" spans="1:18" x14ac:dyDescent="0.25">
      <c r="A292" s="7" t="str">
        <f>'FILL ME'!$B$8</f>
        <v>Grab</v>
      </c>
      <c r="B292" t="str">
        <f>IF('FILL ME'!$B$3 = "", "", 'FILL ME'!$B$3)</f>
        <v>WWS</v>
      </c>
      <c r="C292" t="str">
        <f>IF('FILL ME'!$B$4 = "", "", 'FILL ME'!$B$4)</f>
        <v>SSFLAT</v>
      </c>
      <c r="D292" s="7" t="str">
        <f>TEXT('FILL ME'!$B$7,"yyyymmdd")</f>
        <v>20260319</v>
      </c>
      <c r="E292" s="8" t="str">
        <f t="shared" si="16"/>
        <v/>
      </c>
      <c r="F292" s="7">
        <f>IF('FILL ME'!$B$8="ISCO",'FILL ME'!$B$7+'FILL ME'!$B$12+('FILL ME'!$B$13*(G292-'FILL ME'!$B$14)),'FILL ME'!$B$7)</f>
        <v>46100</v>
      </c>
      <c r="G292" s="8"/>
      <c r="I292" s="9" t="str">
        <f t="shared" si="17"/>
        <v>_00</v>
      </c>
      <c r="J292" s="10" t="str">
        <f t="shared" si="18"/>
        <v>SSFLAT__20260319_00</v>
      </c>
      <c r="K292" s="10" t="str">
        <f t="shared" si="19"/>
        <v>SSFLAT__20260319_</v>
      </c>
      <c r="L292" t="b">
        <f>IF(ROW()-ROW($L$1)+1 &lt;= 'FILL ME'!$E$3, TRUE, FALSE)</f>
        <v>0</v>
      </c>
      <c r="M292" t="b">
        <f>IF(ROW()-ROW($M$1)+1 &lt;= 'FILL ME'!$E$4, TRUE, FALSE)</f>
        <v>0</v>
      </c>
      <c r="N292" t="b">
        <f>IF(ROW()-ROW($N$1)+1 &lt;= 'FILL ME'!$E$5, TRUE, FALSE)</f>
        <v>0</v>
      </c>
      <c r="O292" t="b">
        <f>IF(ROW()-ROW($O$1)+1 &lt;= 'FILL ME'!$E$6, TRUE, FALSE)</f>
        <v>0</v>
      </c>
      <c r="P292" t="b">
        <f>IF(ROW()-ROW($P$1)+1 &lt;= 'FILL ME'!$E$7, TRUE, FALSE)</f>
        <v>0</v>
      </c>
      <c r="Q292" t="b">
        <f>IF(ROW()-ROW($Q$1)+1 &lt;= 'FILL ME'!$E$8, TRUE, FALSE)</f>
        <v>0</v>
      </c>
      <c r="R292" t="b">
        <f>IF(ROW()-ROW($R$1)+1 &lt;= 'FILL ME'!$E$10, TRUE, FALSE)</f>
        <v>0</v>
      </c>
    </row>
    <row r="293" spans="1:18" x14ac:dyDescent="0.25">
      <c r="A293" s="7" t="str">
        <f>'FILL ME'!$B$8</f>
        <v>Grab</v>
      </c>
      <c r="B293" t="str">
        <f>IF('FILL ME'!$B$3 = "", "", 'FILL ME'!$B$3)</f>
        <v>WWS</v>
      </c>
      <c r="C293" t="str">
        <f>IF('FILL ME'!$B$4 = "", "", 'FILL ME'!$B$4)</f>
        <v>SSFLAT</v>
      </c>
      <c r="D293" s="7" t="str">
        <f>TEXT('FILL ME'!$B$7,"yyyymmdd")</f>
        <v>20260319</v>
      </c>
      <c r="E293" s="8" t="str">
        <f t="shared" si="16"/>
        <v/>
      </c>
      <c r="F293" s="7">
        <f>IF('FILL ME'!$B$8="ISCO",'FILL ME'!$B$7+'FILL ME'!$B$12+('FILL ME'!$B$13*(G293-'FILL ME'!$B$14)),'FILL ME'!$B$7)</f>
        <v>46100</v>
      </c>
      <c r="G293" s="8"/>
      <c r="I293" s="9" t="str">
        <f t="shared" si="17"/>
        <v>_00</v>
      </c>
      <c r="J293" s="10" t="str">
        <f t="shared" si="18"/>
        <v>SSFLAT__20260319_00</v>
      </c>
      <c r="K293" s="10" t="str">
        <f t="shared" si="19"/>
        <v>SSFLAT__20260319_</v>
      </c>
      <c r="L293" t="b">
        <f>IF(ROW()-ROW($L$1)+1 &lt;= 'FILL ME'!$E$3, TRUE, FALSE)</f>
        <v>0</v>
      </c>
      <c r="M293" t="b">
        <f>IF(ROW()-ROW($M$1)+1 &lt;= 'FILL ME'!$E$4, TRUE, FALSE)</f>
        <v>0</v>
      </c>
      <c r="N293" t="b">
        <f>IF(ROW()-ROW($N$1)+1 &lt;= 'FILL ME'!$E$5, TRUE, FALSE)</f>
        <v>0</v>
      </c>
      <c r="O293" t="b">
        <f>IF(ROW()-ROW($O$1)+1 &lt;= 'FILL ME'!$E$6, TRUE, FALSE)</f>
        <v>0</v>
      </c>
      <c r="P293" t="b">
        <f>IF(ROW()-ROW($P$1)+1 &lt;= 'FILL ME'!$E$7, TRUE, FALSE)</f>
        <v>0</v>
      </c>
      <c r="Q293" t="b">
        <f>IF(ROW()-ROW($Q$1)+1 &lt;= 'FILL ME'!$E$8, TRUE, FALSE)</f>
        <v>0</v>
      </c>
      <c r="R293" t="b">
        <f>IF(ROW()-ROW($R$1)+1 &lt;= 'FILL ME'!$E$10, TRUE, FALSE)</f>
        <v>0</v>
      </c>
    </row>
    <row r="294" spans="1:18" x14ac:dyDescent="0.25">
      <c r="A294" s="7" t="str">
        <f>'FILL ME'!$B$8</f>
        <v>Grab</v>
      </c>
      <c r="B294" t="str">
        <f>IF('FILL ME'!$B$3 = "", "", 'FILL ME'!$B$3)</f>
        <v>WWS</v>
      </c>
      <c r="C294" t="str">
        <f>IF('FILL ME'!$B$4 = "", "", 'FILL ME'!$B$4)</f>
        <v>SSFLAT</v>
      </c>
      <c r="D294" s="7" t="str">
        <f>TEXT('FILL ME'!$B$7,"yyyymmdd")</f>
        <v>20260319</v>
      </c>
      <c r="E294" s="8" t="str">
        <f t="shared" si="16"/>
        <v/>
      </c>
      <c r="F294" s="7">
        <f>IF('FILL ME'!$B$8="ISCO",'FILL ME'!$B$7+'FILL ME'!$B$12+('FILL ME'!$B$13*(G294-'FILL ME'!$B$14)),'FILL ME'!$B$7)</f>
        <v>46100</v>
      </c>
      <c r="G294" s="8"/>
      <c r="I294" s="9" t="str">
        <f t="shared" si="17"/>
        <v>_00</v>
      </c>
      <c r="J294" s="10" t="str">
        <f t="shared" si="18"/>
        <v>SSFLAT__20260319_00</v>
      </c>
      <c r="K294" s="10" t="str">
        <f t="shared" si="19"/>
        <v>SSFLAT__20260319_</v>
      </c>
      <c r="L294" t="b">
        <f>IF(ROW()-ROW($L$1)+1 &lt;= 'FILL ME'!$E$3, TRUE, FALSE)</f>
        <v>0</v>
      </c>
      <c r="M294" t="b">
        <f>IF(ROW()-ROW($M$1)+1 &lt;= 'FILL ME'!$E$4, TRUE, FALSE)</f>
        <v>0</v>
      </c>
      <c r="N294" t="b">
        <f>IF(ROW()-ROW($N$1)+1 &lt;= 'FILL ME'!$E$5, TRUE, FALSE)</f>
        <v>0</v>
      </c>
      <c r="O294" t="b">
        <f>IF(ROW()-ROW($O$1)+1 &lt;= 'FILL ME'!$E$6, TRUE, FALSE)</f>
        <v>0</v>
      </c>
      <c r="P294" t="b">
        <f>IF(ROW()-ROW($P$1)+1 &lt;= 'FILL ME'!$E$7, TRUE, FALSE)</f>
        <v>0</v>
      </c>
      <c r="Q294" t="b">
        <f>IF(ROW()-ROW($Q$1)+1 &lt;= 'FILL ME'!$E$8, TRUE, FALSE)</f>
        <v>0</v>
      </c>
      <c r="R294" t="b">
        <f>IF(ROW()-ROW($R$1)+1 &lt;= 'FILL ME'!$E$10, TRUE, FALSE)</f>
        <v>0</v>
      </c>
    </row>
    <row r="295" spans="1:18" x14ac:dyDescent="0.25">
      <c r="A295" s="7" t="str">
        <f>'FILL ME'!$B$8</f>
        <v>Grab</v>
      </c>
      <c r="B295" t="str">
        <f>IF('FILL ME'!$B$3 = "", "", 'FILL ME'!$B$3)</f>
        <v>WWS</v>
      </c>
      <c r="C295" t="str">
        <f>IF('FILL ME'!$B$4 = "", "", 'FILL ME'!$B$4)</f>
        <v>SSFLAT</v>
      </c>
      <c r="D295" s="7" t="str">
        <f>TEXT('FILL ME'!$B$7,"yyyymmdd")</f>
        <v>20260319</v>
      </c>
      <c r="E295" s="8" t="str">
        <f t="shared" si="16"/>
        <v/>
      </c>
      <c r="F295" s="7">
        <f>IF('FILL ME'!$B$8="ISCO",'FILL ME'!$B$7+'FILL ME'!$B$12+('FILL ME'!$B$13*(G295-'FILL ME'!$B$14)),'FILL ME'!$B$7)</f>
        <v>46100</v>
      </c>
      <c r="G295" s="8"/>
      <c r="I295" s="9" t="str">
        <f t="shared" si="17"/>
        <v>_00</v>
      </c>
      <c r="J295" s="10" t="str">
        <f t="shared" si="18"/>
        <v>SSFLAT__20260319_00</v>
      </c>
      <c r="K295" s="10" t="str">
        <f t="shared" si="19"/>
        <v>SSFLAT__20260319_</v>
      </c>
      <c r="L295" t="b">
        <f>IF(ROW()-ROW($L$1)+1 &lt;= 'FILL ME'!$E$3, TRUE, FALSE)</f>
        <v>0</v>
      </c>
      <c r="M295" t="b">
        <f>IF(ROW()-ROW($M$1)+1 &lt;= 'FILL ME'!$E$4, TRUE, FALSE)</f>
        <v>0</v>
      </c>
      <c r="N295" t="b">
        <f>IF(ROW()-ROW($N$1)+1 &lt;= 'FILL ME'!$E$5, TRUE, FALSE)</f>
        <v>0</v>
      </c>
      <c r="O295" t="b">
        <f>IF(ROW()-ROW($O$1)+1 &lt;= 'FILL ME'!$E$6, TRUE, FALSE)</f>
        <v>0</v>
      </c>
      <c r="P295" t="b">
        <f>IF(ROW()-ROW($P$1)+1 &lt;= 'FILL ME'!$E$7, TRUE, FALSE)</f>
        <v>0</v>
      </c>
      <c r="Q295" t="b">
        <f>IF(ROW()-ROW($Q$1)+1 &lt;= 'FILL ME'!$E$8, TRUE, FALSE)</f>
        <v>0</v>
      </c>
      <c r="R295" t="b">
        <f>IF(ROW()-ROW($R$1)+1 &lt;= 'FILL ME'!$E$10, TRUE, FALSE)</f>
        <v>0</v>
      </c>
    </row>
    <row r="296" spans="1:18" x14ac:dyDescent="0.25">
      <c r="A296" s="7" t="str">
        <f>'FILL ME'!$B$8</f>
        <v>Grab</v>
      </c>
      <c r="B296" t="str">
        <f>IF('FILL ME'!$B$3 = "", "", 'FILL ME'!$B$3)</f>
        <v>WWS</v>
      </c>
      <c r="C296" t="str">
        <f>IF('FILL ME'!$B$4 = "", "", 'FILL ME'!$B$4)</f>
        <v>SSFLAT</v>
      </c>
      <c r="D296" s="7" t="str">
        <f>TEXT('FILL ME'!$B$7,"yyyymmdd")</f>
        <v>20260319</v>
      </c>
      <c r="E296" s="8" t="str">
        <f t="shared" si="16"/>
        <v/>
      </c>
      <c r="F296" s="7">
        <f>IF('FILL ME'!$B$8="ISCO",'FILL ME'!$B$7+'FILL ME'!$B$12+('FILL ME'!$B$13*(G296-'FILL ME'!$B$14)),'FILL ME'!$B$7)</f>
        <v>46100</v>
      </c>
      <c r="G296" s="8"/>
      <c r="I296" s="9" t="str">
        <f t="shared" si="17"/>
        <v>_00</v>
      </c>
      <c r="J296" s="10" t="str">
        <f t="shared" si="18"/>
        <v>SSFLAT__20260319_00</v>
      </c>
      <c r="K296" s="10" t="str">
        <f t="shared" si="19"/>
        <v>SSFLAT__20260319_</v>
      </c>
      <c r="L296" t="b">
        <f>IF(ROW()-ROW($L$1)+1 &lt;= 'FILL ME'!$E$3, TRUE, FALSE)</f>
        <v>0</v>
      </c>
      <c r="M296" t="b">
        <f>IF(ROW()-ROW($M$1)+1 &lt;= 'FILL ME'!$E$4, TRUE, FALSE)</f>
        <v>0</v>
      </c>
      <c r="N296" t="b">
        <f>IF(ROW()-ROW($N$1)+1 &lt;= 'FILL ME'!$E$5, TRUE, FALSE)</f>
        <v>0</v>
      </c>
      <c r="O296" t="b">
        <f>IF(ROW()-ROW($O$1)+1 &lt;= 'FILL ME'!$E$6, TRUE, FALSE)</f>
        <v>0</v>
      </c>
      <c r="P296" t="b">
        <f>IF(ROW()-ROW($P$1)+1 &lt;= 'FILL ME'!$E$7, TRUE, FALSE)</f>
        <v>0</v>
      </c>
      <c r="Q296" t="b">
        <f>IF(ROW()-ROW($Q$1)+1 &lt;= 'FILL ME'!$E$8, TRUE, FALSE)</f>
        <v>0</v>
      </c>
      <c r="R296" t="b">
        <f>IF(ROW()-ROW($R$1)+1 &lt;= 'FILL ME'!$E$10, TRUE, FALSE)</f>
        <v>0</v>
      </c>
    </row>
    <row r="297" spans="1:18" x14ac:dyDescent="0.25">
      <c r="A297" s="7" t="str">
        <f>'FILL ME'!$B$8</f>
        <v>Grab</v>
      </c>
      <c r="B297" t="str">
        <f>IF('FILL ME'!$B$3 = "", "", 'FILL ME'!$B$3)</f>
        <v>WWS</v>
      </c>
      <c r="C297" t="str">
        <f>IF('FILL ME'!$B$4 = "", "", 'FILL ME'!$B$4)</f>
        <v>SSFLAT</v>
      </c>
      <c r="D297" s="7" t="str">
        <f>TEXT('FILL ME'!$B$7,"yyyymmdd")</f>
        <v>20260319</v>
      </c>
      <c r="E297" s="8" t="str">
        <f t="shared" si="16"/>
        <v/>
      </c>
      <c r="F297" s="7">
        <f>IF('FILL ME'!$B$8="ISCO",'FILL ME'!$B$7+'FILL ME'!$B$12+('FILL ME'!$B$13*(G297-'FILL ME'!$B$14)),'FILL ME'!$B$7)</f>
        <v>46100</v>
      </c>
      <c r="G297" s="8"/>
      <c r="I297" s="9" t="str">
        <f t="shared" si="17"/>
        <v>_00</v>
      </c>
      <c r="J297" s="10" t="str">
        <f t="shared" si="18"/>
        <v>SSFLAT__20260319_00</v>
      </c>
      <c r="K297" s="10" t="str">
        <f t="shared" si="19"/>
        <v>SSFLAT__20260319_</v>
      </c>
      <c r="L297" t="b">
        <f>IF(ROW()-ROW($L$1)+1 &lt;= 'FILL ME'!$E$3, TRUE, FALSE)</f>
        <v>0</v>
      </c>
      <c r="M297" t="b">
        <f>IF(ROW()-ROW($M$1)+1 &lt;= 'FILL ME'!$E$4, TRUE, FALSE)</f>
        <v>0</v>
      </c>
      <c r="N297" t="b">
        <f>IF(ROW()-ROW($N$1)+1 &lt;= 'FILL ME'!$E$5, TRUE, FALSE)</f>
        <v>0</v>
      </c>
      <c r="O297" t="b">
        <f>IF(ROW()-ROW($O$1)+1 &lt;= 'FILL ME'!$E$6, TRUE, FALSE)</f>
        <v>0</v>
      </c>
      <c r="P297" t="b">
        <f>IF(ROW()-ROW($P$1)+1 &lt;= 'FILL ME'!$E$7, TRUE, FALSE)</f>
        <v>0</v>
      </c>
      <c r="Q297" t="b">
        <f>IF(ROW()-ROW($Q$1)+1 &lt;= 'FILL ME'!$E$8, TRUE, FALSE)</f>
        <v>0</v>
      </c>
      <c r="R297" t="b">
        <f>IF(ROW()-ROW($R$1)+1 &lt;= 'FILL ME'!$E$10, TRUE, FALSE)</f>
        <v>0</v>
      </c>
    </row>
    <row r="298" spans="1:18" x14ac:dyDescent="0.25">
      <c r="A298" s="7" t="str">
        <f>'FILL ME'!$B$8</f>
        <v>Grab</v>
      </c>
      <c r="B298" t="str">
        <f>IF('FILL ME'!$B$3 = "", "", 'FILL ME'!$B$3)</f>
        <v>WWS</v>
      </c>
      <c r="C298" t="str">
        <f>IF('FILL ME'!$B$4 = "", "", 'FILL ME'!$B$4)</f>
        <v>SSFLAT</v>
      </c>
      <c r="D298" s="7" t="str">
        <f>TEXT('FILL ME'!$B$7,"yyyymmdd")</f>
        <v>20260319</v>
      </c>
      <c r="E298" s="8" t="str">
        <f t="shared" si="16"/>
        <v/>
      </c>
      <c r="F298" s="7">
        <f>IF('FILL ME'!$B$8="ISCO",'FILL ME'!$B$7+'FILL ME'!$B$12+('FILL ME'!$B$13*(G298-'FILL ME'!$B$14)),'FILL ME'!$B$7)</f>
        <v>46100</v>
      </c>
      <c r="G298" s="8"/>
      <c r="I298" s="9" t="str">
        <f t="shared" si="17"/>
        <v>_00</v>
      </c>
      <c r="J298" s="10" t="str">
        <f t="shared" si="18"/>
        <v>SSFLAT__20260319_00</v>
      </c>
      <c r="K298" s="10" t="str">
        <f t="shared" si="19"/>
        <v>SSFLAT__20260319_</v>
      </c>
      <c r="L298" t="b">
        <f>IF(ROW()-ROW($L$1)+1 &lt;= 'FILL ME'!$E$3, TRUE, FALSE)</f>
        <v>0</v>
      </c>
      <c r="M298" t="b">
        <f>IF(ROW()-ROW($M$1)+1 &lt;= 'FILL ME'!$E$4, TRUE, FALSE)</f>
        <v>0</v>
      </c>
      <c r="N298" t="b">
        <f>IF(ROW()-ROW($N$1)+1 &lt;= 'FILL ME'!$E$5, TRUE, FALSE)</f>
        <v>0</v>
      </c>
      <c r="O298" t="b">
        <f>IF(ROW()-ROW($O$1)+1 &lt;= 'FILL ME'!$E$6, TRUE, FALSE)</f>
        <v>0</v>
      </c>
      <c r="P298" t="b">
        <f>IF(ROW()-ROW($P$1)+1 &lt;= 'FILL ME'!$E$7, TRUE, FALSE)</f>
        <v>0</v>
      </c>
      <c r="Q298" t="b">
        <f>IF(ROW()-ROW($Q$1)+1 &lt;= 'FILL ME'!$E$8, TRUE, FALSE)</f>
        <v>0</v>
      </c>
      <c r="R298" t="b">
        <f>IF(ROW()-ROW($R$1)+1 &lt;= 'FILL ME'!$E$10, TRUE, FALSE)</f>
        <v>0</v>
      </c>
    </row>
    <row r="299" spans="1:18" x14ac:dyDescent="0.25">
      <c r="A299" s="7" t="str">
        <f>'FILL ME'!$B$8</f>
        <v>Grab</v>
      </c>
      <c r="B299" t="str">
        <f>IF('FILL ME'!$B$3 = "", "", 'FILL ME'!$B$3)</f>
        <v>WWS</v>
      </c>
      <c r="C299" t="str">
        <f>IF('FILL ME'!$B$4 = "", "", 'FILL ME'!$B$4)</f>
        <v>SSFLAT</v>
      </c>
      <c r="D299" s="7" t="str">
        <f>TEXT('FILL ME'!$B$7,"yyyymmdd")</f>
        <v>20260319</v>
      </c>
      <c r="E299" s="8" t="str">
        <f t="shared" si="16"/>
        <v/>
      </c>
      <c r="F299" s="7">
        <f>IF('FILL ME'!$B$8="ISCO",'FILL ME'!$B$7+'FILL ME'!$B$12+('FILL ME'!$B$13*(G299-'FILL ME'!$B$14)),'FILL ME'!$B$7)</f>
        <v>46100</v>
      </c>
      <c r="G299" s="8"/>
      <c r="I299" s="9" t="str">
        <f t="shared" si="17"/>
        <v>_00</v>
      </c>
      <c r="J299" s="10" t="str">
        <f t="shared" si="18"/>
        <v>SSFLAT__20260319_00</v>
      </c>
      <c r="K299" s="10" t="str">
        <f t="shared" si="19"/>
        <v>SSFLAT__20260319_</v>
      </c>
      <c r="L299" t="b">
        <f>IF(ROW()-ROW($L$1)+1 &lt;= 'FILL ME'!$E$3, TRUE, FALSE)</f>
        <v>0</v>
      </c>
      <c r="M299" t="b">
        <f>IF(ROW()-ROW($M$1)+1 &lt;= 'FILL ME'!$E$4, TRUE, FALSE)</f>
        <v>0</v>
      </c>
      <c r="N299" t="b">
        <f>IF(ROW()-ROW($N$1)+1 &lt;= 'FILL ME'!$E$5, TRUE, FALSE)</f>
        <v>0</v>
      </c>
      <c r="O299" t="b">
        <f>IF(ROW()-ROW($O$1)+1 &lt;= 'FILL ME'!$E$6, TRUE, FALSE)</f>
        <v>0</v>
      </c>
      <c r="P299" t="b">
        <f>IF(ROW()-ROW($P$1)+1 &lt;= 'FILL ME'!$E$7, TRUE, FALSE)</f>
        <v>0</v>
      </c>
      <c r="Q299" t="b">
        <f>IF(ROW()-ROW($Q$1)+1 &lt;= 'FILL ME'!$E$8, TRUE, FALSE)</f>
        <v>0</v>
      </c>
      <c r="R299" t="b">
        <f>IF(ROW()-ROW($R$1)+1 &lt;= 'FILL ME'!$E$10, TRUE, FALSE)</f>
        <v>0</v>
      </c>
    </row>
    <row r="300" spans="1:18" x14ac:dyDescent="0.25">
      <c r="A300" s="7" t="str">
        <f>'FILL ME'!$B$8</f>
        <v>Grab</v>
      </c>
      <c r="B300" t="str">
        <f>IF('FILL ME'!$B$3 = "", "", 'FILL ME'!$B$3)</f>
        <v>WWS</v>
      </c>
      <c r="C300" t="str">
        <f>IF('FILL ME'!$B$4 = "", "", 'FILL ME'!$B$4)</f>
        <v>SSFLAT</v>
      </c>
      <c r="D300" s="7" t="str">
        <f>TEXT('FILL ME'!$B$7,"yyyymmdd")</f>
        <v>20260319</v>
      </c>
      <c r="E300" s="8" t="str">
        <f t="shared" si="16"/>
        <v/>
      </c>
      <c r="F300" s="7">
        <f>IF('FILL ME'!$B$8="ISCO",'FILL ME'!$B$7+'FILL ME'!$B$12+('FILL ME'!$B$13*(G300-'FILL ME'!$B$14)),'FILL ME'!$B$7)</f>
        <v>46100</v>
      </c>
      <c r="G300" s="8"/>
      <c r="I300" s="9" t="str">
        <f t="shared" si="17"/>
        <v>_00</v>
      </c>
      <c r="J300" s="10" t="str">
        <f t="shared" si="18"/>
        <v>SSFLAT__20260319_00</v>
      </c>
      <c r="K300" s="10" t="str">
        <f t="shared" si="19"/>
        <v>SSFLAT__20260319_</v>
      </c>
      <c r="L300" t="b">
        <f>IF(ROW()-ROW($L$1)+1 &lt;= 'FILL ME'!$E$3, TRUE, FALSE)</f>
        <v>0</v>
      </c>
      <c r="M300" t="b">
        <f>IF(ROW()-ROW($M$1)+1 &lt;= 'FILL ME'!$E$4, TRUE, FALSE)</f>
        <v>0</v>
      </c>
      <c r="N300" t="b">
        <f>IF(ROW()-ROW($N$1)+1 &lt;= 'FILL ME'!$E$5, TRUE, FALSE)</f>
        <v>0</v>
      </c>
      <c r="O300" t="b">
        <f>IF(ROW()-ROW($O$1)+1 &lt;= 'FILL ME'!$E$6, TRUE, FALSE)</f>
        <v>0</v>
      </c>
      <c r="P300" t="b">
        <f>IF(ROW()-ROW($P$1)+1 &lt;= 'FILL ME'!$E$7, TRUE, FALSE)</f>
        <v>0</v>
      </c>
      <c r="Q300" t="b">
        <f>IF(ROW()-ROW($Q$1)+1 &lt;= 'FILL ME'!$E$8, TRUE, FALSE)</f>
        <v>0</v>
      </c>
      <c r="R300" t="b">
        <f>IF(ROW()-ROW($R$1)+1 &lt;= 'FILL ME'!$E$10, TRUE, FALSE)</f>
        <v>0</v>
      </c>
    </row>
    <row r="301" spans="1:18" x14ac:dyDescent="0.25">
      <c r="A301" s="7" t="str">
        <f>'FILL ME'!$B$8</f>
        <v>Grab</v>
      </c>
      <c r="B301" t="str">
        <f>IF('FILL ME'!$B$3 = "", "", 'FILL ME'!$B$3)</f>
        <v>WWS</v>
      </c>
      <c r="C301" t="str">
        <f>IF('FILL ME'!$B$4 = "", "", 'FILL ME'!$B$4)</f>
        <v>SSFLAT</v>
      </c>
      <c r="D301" s="7" t="str">
        <f>TEXT('FILL ME'!$B$7,"yyyymmdd")</f>
        <v>20260319</v>
      </c>
      <c r="E301" s="8" t="str">
        <f t="shared" si="16"/>
        <v/>
      </c>
      <c r="F301" s="7">
        <f>IF('FILL ME'!$B$8="ISCO",'FILL ME'!$B$7+'FILL ME'!$B$12+('FILL ME'!$B$13*(G301-'FILL ME'!$B$14)),'FILL ME'!$B$7)</f>
        <v>46100</v>
      </c>
      <c r="G301" s="8"/>
      <c r="I301" s="9" t="str">
        <f t="shared" si="17"/>
        <v>_00</v>
      </c>
      <c r="J301" s="10" t="str">
        <f t="shared" si="18"/>
        <v>SSFLAT__20260319_00</v>
      </c>
      <c r="K301" s="10" t="str">
        <f t="shared" si="19"/>
        <v>SSFLAT__20260319_</v>
      </c>
      <c r="L301" t="b">
        <f>IF(ROW()-ROW($L$1)+1 &lt;= 'FILL ME'!$E$3, TRUE, FALSE)</f>
        <v>0</v>
      </c>
      <c r="M301" t="b">
        <f>IF(ROW()-ROW($M$1)+1 &lt;= 'FILL ME'!$E$4, TRUE, FALSE)</f>
        <v>0</v>
      </c>
      <c r="N301" t="b">
        <f>IF(ROW()-ROW($N$1)+1 &lt;= 'FILL ME'!$E$5, TRUE, FALSE)</f>
        <v>0</v>
      </c>
      <c r="O301" t="b">
        <f>IF(ROW()-ROW($O$1)+1 &lt;= 'FILL ME'!$E$6, TRUE, FALSE)</f>
        <v>0</v>
      </c>
      <c r="P301" t="b">
        <f>IF(ROW()-ROW($P$1)+1 &lt;= 'FILL ME'!$E$7, TRUE, FALSE)</f>
        <v>0</v>
      </c>
      <c r="Q301" t="b">
        <f>IF(ROW()-ROW($Q$1)+1 &lt;= 'FILL ME'!$E$8, TRUE, FALSE)</f>
        <v>0</v>
      </c>
      <c r="R301" t="b">
        <f>IF(ROW()-ROW($R$1)+1 &lt;= 'FILL ME'!$E$10, TRUE, FALSE)</f>
        <v>0</v>
      </c>
    </row>
    <row r="302" spans="1:18" x14ac:dyDescent="0.25">
      <c r="A302" s="7" t="str">
        <f>'FILL ME'!$B$8</f>
        <v>Grab</v>
      </c>
      <c r="B302" t="str">
        <f>IF('FILL ME'!$B$3 = "", "", 'FILL ME'!$B$3)</f>
        <v>WWS</v>
      </c>
      <c r="C302" t="str">
        <f>IF('FILL ME'!$B$4 = "", "", 'FILL ME'!$B$4)</f>
        <v>SSFLAT</v>
      </c>
      <c r="D302" s="7" t="str">
        <f>TEXT('FILL ME'!$B$7,"yyyymmdd")</f>
        <v>20260319</v>
      </c>
      <c r="E302" s="8" t="str">
        <f t="shared" si="16"/>
        <v/>
      </c>
      <c r="F302" s="7">
        <f>IF('FILL ME'!$B$8="ISCO",'FILL ME'!$B$7+'FILL ME'!$B$12+('FILL ME'!$B$13*(G302-'FILL ME'!$B$14)),'FILL ME'!$B$7)</f>
        <v>46100</v>
      </c>
      <c r="G302" s="8"/>
      <c r="I302" s="9" t="str">
        <f t="shared" si="17"/>
        <v>_00</v>
      </c>
      <c r="J302" s="10" t="str">
        <f t="shared" si="18"/>
        <v>SSFLAT__20260319_00</v>
      </c>
      <c r="K302" s="10" t="str">
        <f t="shared" si="19"/>
        <v>SSFLAT__20260319_</v>
      </c>
      <c r="L302" t="b">
        <f>IF(ROW()-ROW($L$1)+1 &lt;= 'FILL ME'!$E$3, TRUE, FALSE)</f>
        <v>0</v>
      </c>
      <c r="M302" t="b">
        <f>IF(ROW()-ROW($M$1)+1 &lt;= 'FILL ME'!$E$4, TRUE, FALSE)</f>
        <v>0</v>
      </c>
      <c r="N302" t="b">
        <f>IF(ROW()-ROW($N$1)+1 &lt;= 'FILL ME'!$E$5, TRUE, FALSE)</f>
        <v>0</v>
      </c>
      <c r="O302" t="b">
        <f>IF(ROW()-ROW($O$1)+1 &lt;= 'FILL ME'!$E$6, TRUE, FALSE)</f>
        <v>0</v>
      </c>
      <c r="P302" t="b">
        <f>IF(ROW()-ROW($P$1)+1 &lt;= 'FILL ME'!$E$7, TRUE, FALSE)</f>
        <v>0</v>
      </c>
      <c r="Q302" t="b">
        <f>IF(ROW()-ROW($Q$1)+1 &lt;= 'FILL ME'!$E$8, TRUE, FALSE)</f>
        <v>0</v>
      </c>
      <c r="R302" t="b">
        <f>IF(ROW()-ROW($R$1)+1 &lt;= 'FILL ME'!$E$10, TRUE, FALSE)</f>
        <v>0</v>
      </c>
    </row>
    <row r="303" spans="1:18" x14ac:dyDescent="0.25">
      <c r="A303" s="7" t="str">
        <f>'FILL ME'!$B$8</f>
        <v>Grab</v>
      </c>
      <c r="B303" t="str">
        <f>IF('FILL ME'!$B$3 = "", "", 'FILL ME'!$B$3)</f>
        <v>WWS</v>
      </c>
      <c r="C303" t="str">
        <f>IF('FILL ME'!$B$4 = "", "", 'FILL ME'!$B$4)</f>
        <v>SSFLAT</v>
      </c>
      <c r="D303" s="7" t="str">
        <f>TEXT('FILL ME'!$B$7,"yyyymmdd")</f>
        <v>20260319</v>
      </c>
      <c r="E303" s="8" t="str">
        <f t="shared" si="16"/>
        <v/>
      </c>
      <c r="F303" s="7">
        <f>IF('FILL ME'!$B$8="ISCO",'FILL ME'!$B$7+'FILL ME'!$B$12+('FILL ME'!$B$13*(G303-'FILL ME'!$B$14)),'FILL ME'!$B$7)</f>
        <v>46100</v>
      </c>
      <c r="G303" s="8"/>
      <c r="I303" s="9" t="str">
        <f t="shared" si="17"/>
        <v>_00</v>
      </c>
      <c r="J303" s="10" t="str">
        <f t="shared" si="18"/>
        <v>SSFLAT__20260319_00</v>
      </c>
      <c r="K303" s="10" t="str">
        <f t="shared" si="19"/>
        <v>SSFLAT__20260319_</v>
      </c>
      <c r="L303" t="b">
        <f>IF(ROW()-ROW($L$1)+1 &lt;= 'FILL ME'!$E$3, TRUE, FALSE)</f>
        <v>0</v>
      </c>
      <c r="M303" t="b">
        <f>IF(ROW()-ROW($M$1)+1 &lt;= 'FILL ME'!$E$4, TRUE, FALSE)</f>
        <v>0</v>
      </c>
      <c r="N303" t="b">
        <f>IF(ROW()-ROW($N$1)+1 &lt;= 'FILL ME'!$E$5, TRUE, FALSE)</f>
        <v>0</v>
      </c>
      <c r="O303" t="b">
        <f>IF(ROW()-ROW($O$1)+1 &lt;= 'FILL ME'!$E$6, TRUE, FALSE)</f>
        <v>0</v>
      </c>
      <c r="P303" t="b">
        <f>IF(ROW()-ROW($P$1)+1 &lt;= 'FILL ME'!$E$7, TRUE, FALSE)</f>
        <v>0</v>
      </c>
      <c r="Q303" t="b">
        <f>IF(ROW()-ROW($Q$1)+1 &lt;= 'FILL ME'!$E$8, TRUE, FALSE)</f>
        <v>0</v>
      </c>
      <c r="R303" t="b">
        <f>IF(ROW()-ROW($R$1)+1 &lt;= 'FILL ME'!$E$10, TRUE, FALSE)</f>
        <v>0</v>
      </c>
    </row>
    <row r="304" spans="1:18" x14ac:dyDescent="0.25">
      <c r="A304" s="7" t="str">
        <f>'FILL ME'!$B$8</f>
        <v>Grab</v>
      </c>
      <c r="B304" t="str">
        <f>IF('FILL ME'!$B$3 = "", "", 'FILL ME'!$B$3)</f>
        <v>WWS</v>
      </c>
      <c r="C304" t="str">
        <f>IF('FILL ME'!$B$4 = "", "", 'FILL ME'!$B$4)</f>
        <v>SSFLAT</v>
      </c>
      <c r="D304" s="7" t="str">
        <f>TEXT('FILL ME'!$B$7,"yyyymmdd")</f>
        <v>20260319</v>
      </c>
      <c r="E304" s="8" t="str">
        <f t="shared" si="16"/>
        <v/>
      </c>
      <c r="F304" s="7">
        <f>IF('FILL ME'!$B$8="ISCO",'FILL ME'!$B$7+'FILL ME'!$B$12+('FILL ME'!$B$13*(G304-'FILL ME'!$B$14)),'FILL ME'!$B$7)</f>
        <v>46100</v>
      </c>
      <c r="G304" s="8"/>
      <c r="I304" s="9" t="str">
        <f t="shared" si="17"/>
        <v>_00</v>
      </c>
      <c r="J304" s="10" t="str">
        <f t="shared" si="18"/>
        <v>SSFLAT__20260319_00</v>
      </c>
      <c r="K304" s="10" t="str">
        <f t="shared" si="19"/>
        <v>SSFLAT__20260319_</v>
      </c>
      <c r="L304" t="b">
        <f>IF(ROW()-ROW($L$1)+1 &lt;= 'FILL ME'!$E$3, TRUE, FALSE)</f>
        <v>0</v>
      </c>
      <c r="M304" t="b">
        <f>IF(ROW()-ROW($M$1)+1 &lt;= 'FILL ME'!$E$4, TRUE, FALSE)</f>
        <v>0</v>
      </c>
      <c r="N304" t="b">
        <f>IF(ROW()-ROW($N$1)+1 &lt;= 'FILL ME'!$E$5, TRUE, FALSE)</f>
        <v>0</v>
      </c>
      <c r="O304" t="b">
        <f>IF(ROW()-ROW($O$1)+1 &lt;= 'FILL ME'!$E$6, TRUE, FALSE)</f>
        <v>0</v>
      </c>
      <c r="P304" t="b">
        <f>IF(ROW()-ROW($P$1)+1 &lt;= 'FILL ME'!$E$7, TRUE, FALSE)</f>
        <v>0</v>
      </c>
      <c r="Q304" t="b">
        <f>IF(ROW()-ROW($Q$1)+1 &lt;= 'FILL ME'!$E$8, TRUE, FALSE)</f>
        <v>0</v>
      </c>
      <c r="R304" t="b">
        <f>IF(ROW()-ROW($R$1)+1 &lt;= 'FILL ME'!$E$10, TRUE, FALSE)</f>
        <v>0</v>
      </c>
    </row>
    <row r="305" spans="1:18" x14ac:dyDescent="0.25">
      <c r="A305" s="7" t="str">
        <f>'FILL ME'!$B$8</f>
        <v>Grab</v>
      </c>
      <c r="B305" t="str">
        <f>IF('FILL ME'!$B$3 = "", "", 'FILL ME'!$B$3)</f>
        <v>WWS</v>
      </c>
      <c r="C305" t="str">
        <f>IF('FILL ME'!$B$4 = "", "", 'FILL ME'!$B$4)</f>
        <v>SSFLAT</v>
      </c>
      <c r="D305" s="7" t="str">
        <f>TEXT('FILL ME'!$B$7,"yyyymmdd")</f>
        <v>20260319</v>
      </c>
      <c r="E305" s="8" t="str">
        <f t="shared" si="16"/>
        <v/>
      </c>
      <c r="F305" s="7">
        <f>IF('FILL ME'!$B$8="ISCO",'FILL ME'!$B$7+'FILL ME'!$B$12+('FILL ME'!$B$13*(G305-'FILL ME'!$B$14)),'FILL ME'!$B$7)</f>
        <v>46100</v>
      </c>
      <c r="G305" s="8"/>
      <c r="I305" s="9" t="str">
        <f t="shared" si="17"/>
        <v>_00</v>
      </c>
      <c r="J305" s="10" t="str">
        <f t="shared" si="18"/>
        <v>SSFLAT__20260319_00</v>
      </c>
      <c r="K305" s="10" t="str">
        <f t="shared" si="19"/>
        <v>SSFLAT__20260319_</v>
      </c>
      <c r="L305" t="b">
        <f>IF(ROW()-ROW($L$1)+1 &lt;= 'FILL ME'!$E$3, TRUE, FALSE)</f>
        <v>0</v>
      </c>
      <c r="M305" t="b">
        <f>IF(ROW()-ROW($M$1)+1 &lt;= 'FILL ME'!$E$4, TRUE, FALSE)</f>
        <v>0</v>
      </c>
      <c r="N305" t="b">
        <f>IF(ROW()-ROW($N$1)+1 &lt;= 'FILL ME'!$E$5, TRUE, FALSE)</f>
        <v>0</v>
      </c>
      <c r="O305" t="b">
        <f>IF(ROW()-ROW($O$1)+1 &lt;= 'FILL ME'!$E$6, TRUE, FALSE)</f>
        <v>0</v>
      </c>
      <c r="P305" t="b">
        <f>IF(ROW()-ROW($P$1)+1 &lt;= 'FILL ME'!$E$7, TRUE, FALSE)</f>
        <v>0</v>
      </c>
      <c r="Q305" t="b">
        <f>IF(ROW()-ROW($Q$1)+1 &lt;= 'FILL ME'!$E$8, TRUE, FALSE)</f>
        <v>0</v>
      </c>
      <c r="R305" t="b">
        <f>IF(ROW()-ROW($R$1)+1 &lt;= 'FILL ME'!$E$10, TRUE, FALSE)</f>
        <v>0</v>
      </c>
    </row>
    <row r="306" spans="1:18" x14ac:dyDescent="0.25">
      <c r="A306" s="7" t="str">
        <f>'FILL ME'!$B$8</f>
        <v>Grab</v>
      </c>
      <c r="B306" t="str">
        <f>IF('FILL ME'!$B$3 = "", "", 'FILL ME'!$B$3)</f>
        <v>WWS</v>
      </c>
      <c r="C306" t="str">
        <f>IF('FILL ME'!$B$4 = "", "", 'FILL ME'!$B$4)</f>
        <v>SSFLAT</v>
      </c>
      <c r="D306" s="7" t="str">
        <f>TEXT('FILL ME'!$B$7,"yyyymmdd")</f>
        <v>20260319</v>
      </c>
      <c r="E306" s="8" t="str">
        <f t="shared" si="16"/>
        <v/>
      </c>
      <c r="F306" s="7">
        <f>IF('FILL ME'!$B$8="ISCO",'FILL ME'!$B$7+'FILL ME'!$B$12+('FILL ME'!$B$13*(G306-'FILL ME'!$B$14)),'FILL ME'!$B$7)</f>
        <v>46100</v>
      </c>
      <c r="G306" s="8"/>
      <c r="I306" s="9" t="str">
        <f t="shared" si="17"/>
        <v>_00</v>
      </c>
      <c r="J306" s="10" t="str">
        <f t="shared" si="18"/>
        <v>SSFLAT__20260319_00</v>
      </c>
      <c r="K306" s="10" t="str">
        <f t="shared" si="19"/>
        <v>SSFLAT__20260319_</v>
      </c>
      <c r="L306" t="b">
        <f>IF(ROW()-ROW($L$1)+1 &lt;= 'FILL ME'!$E$3, TRUE, FALSE)</f>
        <v>0</v>
      </c>
      <c r="M306" t="b">
        <f>IF(ROW()-ROW($M$1)+1 &lt;= 'FILL ME'!$E$4, TRUE, FALSE)</f>
        <v>0</v>
      </c>
      <c r="N306" t="b">
        <f>IF(ROW()-ROW($N$1)+1 &lt;= 'FILL ME'!$E$5, TRUE, FALSE)</f>
        <v>0</v>
      </c>
      <c r="O306" t="b">
        <f>IF(ROW()-ROW($O$1)+1 &lt;= 'FILL ME'!$E$6, TRUE, FALSE)</f>
        <v>0</v>
      </c>
      <c r="P306" t="b">
        <f>IF(ROW()-ROW($P$1)+1 &lt;= 'FILL ME'!$E$7, TRUE, FALSE)</f>
        <v>0</v>
      </c>
      <c r="Q306" t="b">
        <f>IF(ROW()-ROW($Q$1)+1 &lt;= 'FILL ME'!$E$8, TRUE, FALSE)</f>
        <v>0</v>
      </c>
      <c r="R306" t="b">
        <f>IF(ROW()-ROW($R$1)+1 &lt;= 'FILL ME'!$E$10, TRUE, FALSE)</f>
        <v>0</v>
      </c>
    </row>
    <row r="307" spans="1:18" x14ac:dyDescent="0.25">
      <c r="A307" s="7" t="str">
        <f>'FILL ME'!$B$8</f>
        <v>Grab</v>
      </c>
      <c r="B307" t="str">
        <f>IF('FILL ME'!$B$3 = "", "", 'FILL ME'!$B$3)</f>
        <v>WWS</v>
      </c>
      <c r="C307" t="str">
        <f>IF('FILL ME'!$B$4 = "", "", 'FILL ME'!$B$4)</f>
        <v>SSFLAT</v>
      </c>
      <c r="D307" s="7" t="str">
        <f>TEXT('FILL ME'!$B$7,"yyyymmdd")</f>
        <v>20260319</v>
      </c>
      <c r="E307" s="8" t="str">
        <f t="shared" si="16"/>
        <v/>
      </c>
      <c r="F307" s="7">
        <f>IF('FILL ME'!$B$8="ISCO",'FILL ME'!$B$7+'FILL ME'!$B$12+('FILL ME'!$B$13*(G307-'FILL ME'!$B$14)),'FILL ME'!$B$7)</f>
        <v>46100</v>
      </c>
      <c r="G307" s="8"/>
      <c r="I307" s="9" t="str">
        <f t="shared" si="17"/>
        <v>_00</v>
      </c>
      <c r="J307" s="10" t="str">
        <f t="shared" si="18"/>
        <v>SSFLAT__20260319_00</v>
      </c>
      <c r="K307" s="10" t="str">
        <f t="shared" si="19"/>
        <v>SSFLAT__20260319_</v>
      </c>
      <c r="L307" t="b">
        <f>IF(ROW()-ROW($L$1)+1 &lt;= 'FILL ME'!$E$3, TRUE, FALSE)</f>
        <v>0</v>
      </c>
      <c r="M307" t="b">
        <f>IF(ROW()-ROW($M$1)+1 &lt;= 'FILL ME'!$E$4, TRUE, FALSE)</f>
        <v>0</v>
      </c>
      <c r="N307" t="b">
        <f>IF(ROW()-ROW($N$1)+1 &lt;= 'FILL ME'!$E$5, TRUE, FALSE)</f>
        <v>0</v>
      </c>
      <c r="O307" t="b">
        <f>IF(ROW()-ROW($O$1)+1 &lt;= 'FILL ME'!$E$6, TRUE, FALSE)</f>
        <v>0</v>
      </c>
      <c r="P307" t="b">
        <f>IF(ROW()-ROW($P$1)+1 &lt;= 'FILL ME'!$E$7, TRUE, FALSE)</f>
        <v>0</v>
      </c>
      <c r="Q307" t="b">
        <f>IF(ROW()-ROW($Q$1)+1 &lt;= 'FILL ME'!$E$8, TRUE, FALSE)</f>
        <v>0</v>
      </c>
      <c r="R307" t="b">
        <f>IF(ROW()-ROW($R$1)+1 &lt;= 'FILL ME'!$E$10, TRUE, FALSE)</f>
        <v>0</v>
      </c>
    </row>
    <row r="308" spans="1:18" x14ac:dyDescent="0.25">
      <c r="A308" s="7" t="str">
        <f>'FILL ME'!$B$8</f>
        <v>Grab</v>
      </c>
      <c r="B308" t="str">
        <f>IF('FILL ME'!$B$3 = "", "", 'FILL ME'!$B$3)</f>
        <v>WWS</v>
      </c>
      <c r="C308" t="str">
        <f>IF('FILL ME'!$B$4 = "", "", 'FILL ME'!$B$4)</f>
        <v>SSFLAT</v>
      </c>
      <c r="D308" s="7" t="str">
        <f>TEXT('FILL ME'!$B$7,"yyyymmdd")</f>
        <v>20260319</v>
      </c>
      <c r="E308" s="8" t="str">
        <f t="shared" si="16"/>
        <v/>
      </c>
      <c r="F308" s="7">
        <f>IF('FILL ME'!$B$8="ISCO",'FILL ME'!$B$7+'FILL ME'!$B$12+('FILL ME'!$B$13*(G308-'FILL ME'!$B$14)),'FILL ME'!$B$7)</f>
        <v>46100</v>
      </c>
      <c r="G308" s="8"/>
      <c r="I308" s="9" t="str">
        <f t="shared" si="17"/>
        <v>_00</v>
      </c>
      <c r="J308" s="10" t="str">
        <f t="shared" si="18"/>
        <v>SSFLAT__20260319_00</v>
      </c>
      <c r="K308" s="10" t="str">
        <f t="shared" si="19"/>
        <v>SSFLAT__20260319_</v>
      </c>
      <c r="L308" t="b">
        <f>IF(ROW()-ROW($L$1)+1 &lt;= 'FILL ME'!$E$3, TRUE, FALSE)</f>
        <v>0</v>
      </c>
      <c r="M308" t="b">
        <f>IF(ROW()-ROW($M$1)+1 &lt;= 'FILL ME'!$E$4, TRUE, FALSE)</f>
        <v>0</v>
      </c>
      <c r="N308" t="b">
        <f>IF(ROW()-ROW($N$1)+1 &lt;= 'FILL ME'!$E$5, TRUE, FALSE)</f>
        <v>0</v>
      </c>
      <c r="O308" t="b">
        <f>IF(ROW()-ROW($O$1)+1 &lt;= 'FILL ME'!$E$6, TRUE, FALSE)</f>
        <v>0</v>
      </c>
      <c r="P308" t="b">
        <f>IF(ROW()-ROW($P$1)+1 &lt;= 'FILL ME'!$E$7, TRUE, FALSE)</f>
        <v>0</v>
      </c>
      <c r="Q308" t="b">
        <f>IF(ROW()-ROW($Q$1)+1 &lt;= 'FILL ME'!$E$8, TRUE, FALSE)</f>
        <v>0</v>
      </c>
      <c r="R308" t="b">
        <f>IF(ROW()-ROW($R$1)+1 &lt;= 'FILL ME'!$E$10, TRUE, FALSE)</f>
        <v>0</v>
      </c>
    </row>
    <row r="309" spans="1:18" x14ac:dyDescent="0.25">
      <c r="A309" s="7" t="str">
        <f>'FILL ME'!$B$8</f>
        <v>Grab</v>
      </c>
      <c r="B309" t="str">
        <f>IF('FILL ME'!$B$3 = "", "", 'FILL ME'!$B$3)</f>
        <v>WWS</v>
      </c>
      <c r="C309" t="str">
        <f>IF('FILL ME'!$B$4 = "", "", 'FILL ME'!$B$4)</f>
        <v>SSFLAT</v>
      </c>
      <c r="D309" s="7" t="str">
        <f>TEXT('FILL ME'!$B$7,"yyyymmdd")</f>
        <v>20260319</v>
      </c>
      <c r="E309" s="8" t="str">
        <f t="shared" si="16"/>
        <v/>
      </c>
      <c r="F309" s="7">
        <f>IF('FILL ME'!$B$8="ISCO",'FILL ME'!$B$7+'FILL ME'!$B$12+('FILL ME'!$B$13*(G309-'FILL ME'!$B$14)),'FILL ME'!$B$7)</f>
        <v>46100</v>
      </c>
      <c r="G309" s="8"/>
      <c r="I309" s="9" t="str">
        <f t="shared" si="17"/>
        <v>_00</v>
      </c>
      <c r="J309" s="10" t="str">
        <f t="shared" si="18"/>
        <v>SSFLAT__20260319_00</v>
      </c>
      <c r="K309" s="10" t="str">
        <f t="shared" si="19"/>
        <v>SSFLAT__20260319_</v>
      </c>
      <c r="L309" t="b">
        <f>IF(ROW()-ROW($L$1)+1 &lt;= 'FILL ME'!$E$3, TRUE, FALSE)</f>
        <v>0</v>
      </c>
      <c r="M309" t="b">
        <f>IF(ROW()-ROW($M$1)+1 &lt;= 'FILL ME'!$E$4, TRUE, FALSE)</f>
        <v>0</v>
      </c>
      <c r="N309" t="b">
        <f>IF(ROW()-ROW($N$1)+1 &lt;= 'FILL ME'!$E$5, TRUE, FALSE)</f>
        <v>0</v>
      </c>
      <c r="O309" t="b">
        <f>IF(ROW()-ROW($O$1)+1 &lt;= 'FILL ME'!$E$6, TRUE, FALSE)</f>
        <v>0</v>
      </c>
      <c r="P309" t="b">
        <f>IF(ROW()-ROW($P$1)+1 &lt;= 'FILL ME'!$E$7, TRUE, FALSE)</f>
        <v>0</v>
      </c>
      <c r="Q309" t="b">
        <f>IF(ROW()-ROW($Q$1)+1 &lt;= 'FILL ME'!$E$8, TRUE, FALSE)</f>
        <v>0</v>
      </c>
      <c r="R309" t="b">
        <f>IF(ROW()-ROW($R$1)+1 &lt;= 'FILL ME'!$E$10, TRUE, FALSE)</f>
        <v>0</v>
      </c>
    </row>
    <row r="310" spans="1:18" x14ac:dyDescent="0.25">
      <c r="A310" s="7" t="str">
        <f>'FILL ME'!$B$8</f>
        <v>Grab</v>
      </c>
      <c r="B310" t="str">
        <f>IF('FILL ME'!$B$3 = "", "", 'FILL ME'!$B$3)</f>
        <v>WWS</v>
      </c>
      <c r="C310" t="str">
        <f>IF('FILL ME'!$B$4 = "", "", 'FILL ME'!$B$4)</f>
        <v>SSFLAT</v>
      </c>
      <c r="D310" s="7" t="str">
        <f>TEXT('FILL ME'!$B$7,"yyyymmdd")</f>
        <v>20260319</v>
      </c>
      <c r="E310" s="8" t="str">
        <f t="shared" si="16"/>
        <v/>
      </c>
      <c r="F310" s="7">
        <f>IF('FILL ME'!$B$8="ISCO",'FILL ME'!$B$7+'FILL ME'!$B$12+('FILL ME'!$B$13*(G310-'FILL ME'!$B$14)),'FILL ME'!$B$7)</f>
        <v>46100</v>
      </c>
      <c r="G310" s="8"/>
      <c r="I310" s="9" t="str">
        <f t="shared" si="17"/>
        <v>_00</v>
      </c>
      <c r="J310" s="10" t="str">
        <f t="shared" si="18"/>
        <v>SSFLAT__20260319_00</v>
      </c>
      <c r="K310" s="10" t="str">
        <f t="shared" si="19"/>
        <v>SSFLAT__20260319_</v>
      </c>
      <c r="L310" t="b">
        <f>IF(ROW()-ROW($L$1)+1 &lt;= 'FILL ME'!$E$3, TRUE, FALSE)</f>
        <v>0</v>
      </c>
      <c r="M310" t="b">
        <f>IF(ROW()-ROW($M$1)+1 &lt;= 'FILL ME'!$E$4, TRUE, FALSE)</f>
        <v>0</v>
      </c>
      <c r="N310" t="b">
        <f>IF(ROW()-ROW($N$1)+1 &lt;= 'FILL ME'!$E$5, TRUE, FALSE)</f>
        <v>0</v>
      </c>
      <c r="O310" t="b">
        <f>IF(ROW()-ROW($O$1)+1 &lt;= 'FILL ME'!$E$6, TRUE, FALSE)</f>
        <v>0</v>
      </c>
      <c r="P310" t="b">
        <f>IF(ROW()-ROW($P$1)+1 &lt;= 'FILL ME'!$E$7, TRUE, FALSE)</f>
        <v>0</v>
      </c>
      <c r="Q310" t="b">
        <f>IF(ROW()-ROW($Q$1)+1 &lt;= 'FILL ME'!$E$8, TRUE, FALSE)</f>
        <v>0</v>
      </c>
      <c r="R310" t="b">
        <f>IF(ROW()-ROW($R$1)+1 &lt;= 'FILL ME'!$E$10, TRUE, FALSE)</f>
        <v>0</v>
      </c>
    </row>
    <row r="311" spans="1:18" x14ac:dyDescent="0.25">
      <c r="A311" s="7" t="str">
        <f>'FILL ME'!$B$8</f>
        <v>Grab</v>
      </c>
      <c r="B311" t="str">
        <f>IF('FILL ME'!$B$3 = "", "", 'FILL ME'!$B$3)</f>
        <v>WWS</v>
      </c>
      <c r="C311" t="str">
        <f>IF('FILL ME'!$B$4 = "", "", 'FILL ME'!$B$4)</f>
        <v>SSFLAT</v>
      </c>
      <c r="D311" s="7" t="str">
        <f>TEXT('FILL ME'!$B$7,"yyyymmdd")</f>
        <v>20260319</v>
      </c>
      <c r="E311" s="8" t="str">
        <f t="shared" si="16"/>
        <v/>
      </c>
      <c r="F311" s="7">
        <f>IF('FILL ME'!$B$8="ISCO",'FILL ME'!$B$7+'FILL ME'!$B$12+('FILL ME'!$B$13*(G311-'FILL ME'!$B$14)),'FILL ME'!$B$7)</f>
        <v>46100</v>
      </c>
      <c r="G311" s="8"/>
      <c r="I311" s="9" t="str">
        <f t="shared" si="17"/>
        <v>_00</v>
      </c>
      <c r="J311" s="10" t="str">
        <f t="shared" si="18"/>
        <v>SSFLAT__20260319_00</v>
      </c>
      <c r="K311" s="10" t="str">
        <f t="shared" si="19"/>
        <v>SSFLAT__20260319_</v>
      </c>
      <c r="L311" t="b">
        <f>IF(ROW()-ROW($L$1)+1 &lt;= 'FILL ME'!$E$3, TRUE, FALSE)</f>
        <v>0</v>
      </c>
      <c r="M311" t="b">
        <f>IF(ROW()-ROW($M$1)+1 &lt;= 'FILL ME'!$E$4, TRUE, FALSE)</f>
        <v>0</v>
      </c>
      <c r="N311" t="b">
        <f>IF(ROW()-ROW($N$1)+1 &lt;= 'FILL ME'!$E$5, TRUE, FALSE)</f>
        <v>0</v>
      </c>
      <c r="O311" t="b">
        <f>IF(ROW()-ROW($O$1)+1 &lt;= 'FILL ME'!$E$6, TRUE, FALSE)</f>
        <v>0</v>
      </c>
      <c r="P311" t="b">
        <f>IF(ROW()-ROW($P$1)+1 &lt;= 'FILL ME'!$E$7, TRUE, FALSE)</f>
        <v>0</v>
      </c>
      <c r="Q311" t="b">
        <f>IF(ROW()-ROW($Q$1)+1 &lt;= 'FILL ME'!$E$8, TRUE, FALSE)</f>
        <v>0</v>
      </c>
      <c r="R311" t="b">
        <f>IF(ROW()-ROW($R$1)+1 &lt;= 'FILL ME'!$E$10, TRUE, FALSE)</f>
        <v>0</v>
      </c>
    </row>
    <row r="312" spans="1:18" x14ac:dyDescent="0.25">
      <c r="A312" s="7" t="str">
        <f>'FILL ME'!$B$8</f>
        <v>Grab</v>
      </c>
      <c r="B312" t="str">
        <f>IF('FILL ME'!$B$3 = "", "", 'FILL ME'!$B$3)</f>
        <v>WWS</v>
      </c>
      <c r="C312" t="str">
        <f>IF('FILL ME'!$B$4 = "", "", 'FILL ME'!$B$4)</f>
        <v>SSFLAT</v>
      </c>
      <c r="D312" s="7" t="str">
        <f>TEXT('FILL ME'!$B$7,"yyyymmdd")</f>
        <v>20260319</v>
      </c>
      <c r="E312" s="8" t="str">
        <f t="shared" si="16"/>
        <v/>
      </c>
      <c r="F312" s="7">
        <f>IF('FILL ME'!$B$8="ISCO",'FILL ME'!$B$7+'FILL ME'!$B$12+('FILL ME'!$B$13*(G312-'FILL ME'!$B$14)),'FILL ME'!$B$7)</f>
        <v>46100</v>
      </c>
      <c r="G312" s="8"/>
      <c r="I312" s="9" t="str">
        <f t="shared" si="17"/>
        <v>_00</v>
      </c>
      <c r="J312" s="10" t="str">
        <f t="shared" si="18"/>
        <v>SSFLAT__20260319_00</v>
      </c>
      <c r="K312" s="10" t="str">
        <f t="shared" si="19"/>
        <v>SSFLAT__20260319_</v>
      </c>
      <c r="L312" t="b">
        <f>IF(ROW()-ROW($L$1)+1 &lt;= 'FILL ME'!$E$3, TRUE, FALSE)</f>
        <v>0</v>
      </c>
      <c r="M312" t="b">
        <f>IF(ROW()-ROW($M$1)+1 &lt;= 'FILL ME'!$E$4, TRUE, FALSE)</f>
        <v>0</v>
      </c>
      <c r="N312" t="b">
        <f>IF(ROW()-ROW($N$1)+1 &lt;= 'FILL ME'!$E$5, TRUE, FALSE)</f>
        <v>0</v>
      </c>
      <c r="O312" t="b">
        <f>IF(ROW()-ROW($O$1)+1 &lt;= 'FILL ME'!$E$6, TRUE, FALSE)</f>
        <v>0</v>
      </c>
      <c r="P312" t="b">
        <f>IF(ROW()-ROW($P$1)+1 &lt;= 'FILL ME'!$E$7, TRUE, FALSE)</f>
        <v>0</v>
      </c>
      <c r="Q312" t="b">
        <f>IF(ROW()-ROW($Q$1)+1 &lt;= 'FILL ME'!$E$8, TRUE, FALSE)</f>
        <v>0</v>
      </c>
      <c r="R312" t="b">
        <f>IF(ROW()-ROW($R$1)+1 &lt;= 'FILL ME'!$E$10, TRUE, FALSE)</f>
        <v>0</v>
      </c>
    </row>
    <row r="313" spans="1:18" x14ac:dyDescent="0.25">
      <c r="A313" s="7" t="str">
        <f>'FILL ME'!$B$8</f>
        <v>Grab</v>
      </c>
      <c r="B313" t="str">
        <f>IF('FILL ME'!$B$3 = "", "", 'FILL ME'!$B$3)</f>
        <v>WWS</v>
      </c>
      <c r="C313" t="str">
        <f>IF('FILL ME'!$B$4 = "", "", 'FILL ME'!$B$4)</f>
        <v>SSFLAT</v>
      </c>
      <c r="D313" s="7" t="str">
        <f>TEXT('FILL ME'!$B$7,"yyyymmdd")</f>
        <v>20260319</v>
      </c>
      <c r="E313" s="8" t="str">
        <f t="shared" si="16"/>
        <v/>
      </c>
      <c r="F313" s="7">
        <f>IF('FILL ME'!$B$8="ISCO",'FILL ME'!$B$7+'FILL ME'!$B$12+('FILL ME'!$B$13*(G313-'FILL ME'!$B$14)),'FILL ME'!$B$7)</f>
        <v>46100</v>
      </c>
      <c r="G313" s="8"/>
      <c r="I313" s="9" t="str">
        <f t="shared" si="17"/>
        <v>_00</v>
      </c>
      <c r="J313" s="10" t="str">
        <f t="shared" si="18"/>
        <v>SSFLAT__20260319_00</v>
      </c>
      <c r="K313" s="10" t="str">
        <f t="shared" si="19"/>
        <v>SSFLAT__20260319_</v>
      </c>
      <c r="L313" t="b">
        <f>IF(ROW()-ROW($L$1)+1 &lt;= 'FILL ME'!$E$3, TRUE, FALSE)</f>
        <v>0</v>
      </c>
      <c r="M313" t="b">
        <f>IF(ROW()-ROW($M$1)+1 &lt;= 'FILL ME'!$E$4, TRUE, FALSE)</f>
        <v>0</v>
      </c>
      <c r="N313" t="b">
        <f>IF(ROW()-ROW($N$1)+1 &lt;= 'FILL ME'!$E$5, TRUE, FALSE)</f>
        <v>0</v>
      </c>
      <c r="O313" t="b">
        <f>IF(ROW()-ROW($O$1)+1 &lt;= 'FILL ME'!$E$6, TRUE, FALSE)</f>
        <v>0</v>
      </c>
      <c r="P313" t="b">
        <f>IF(ROW()-ROW($P$1)+1 &lt;= 'FILL ME'!$E$7, TRUE, FALSE)</f>
        <v>0</v>
      </c>
      <c r="Q313" t="b">
        <f>IF(ROW()-ROW($Q$1)+1 &lt;= 'FILL ME'!$E$8, TRUE, FALSE)</f>
        <v>0</v>
      </c>
      <c r="R313" t="b">
        <f>IF(ROW()-ROW($R$1)+1 &lt;= 'FILL ME'!$E$10, TRUE, FALSE)</f>
        <v>0</v>
      </c>
    </row>
    <row r="314" spans="1:18" x14ac:dyDescent="0.25">
      <c r="A314" s="7" t="str">
        <f>'FILL ME'!$B$8</f>
        <v>Grab</v>
      </c>
      <c r="B314" t="str">
        <f>IF('FILL ME'!$B$3 = "", "", 'FILL ME'!$B$3)</f>
        <v>WWS</v>
      </c>
      <c r="C314" t="str">
        <f>IF('FILL ME'!$B$4 = "", "", 'FILL ME'!$B$4)</f>
        <v>SSFLAT</v>
      </c>
      <c r="D314" s="7" t="str">
        <f>TEXT('FILL ME'!$B$7,"yyyymmdd")</f>
        <v>20260319</v>
      </c>
      <c r="E314" s="8" t="str">
        <f t="shared" si="16"/>
        <v/>
      </c>
      <c r="F314" s="7">
        <f>IF('FILL ME'!$B$8="ISCO",'FILL ME'!$B$7+'FILL ME'!$B$12+('FILL ME'!$B$13*(G314-'FILL ME'!$B$14)),'FILL ME'!$B$7)</f>
        <v>46100</v>
      </c>
      <c r="G314" s="8"/>
      <c r="I314" s="9" t="str">
        <f t="shared" si="17"/>
        <v>_00</v>
      </c>
      <c r="J314" s="10" t="str">
        <f t="shared" si="18"/>
        <v>SSFLAT__20260319_00</v>
      </c>
      <c r="K314" s="10" t="str">
        <f t="shared" si="19"/>
        <v>SSFLAT__20260319_</v>
      </c>
      <c r="L314" t="b">
        <f>IF(ROW()-ROW($L$1)+1 &lt;= 'FILL ME'!$E$3, TRUE, FALSE)</f>
        <v>0</v>
      </c>
      <c r="M314" t="b">
        <f>IF(ROW()-ROW($M$1)+1 &lt;= 'FILL ME'!$E$4, TRUE, FALSE)</f>
        <v>0</v>
      </c>
      <c r="N314" t="b">
        <f>IF(ROW()-ROW($N$1)+1 &lt;= 'FILL ME'!$E$5, TRUE, FALSE)</f>
        <v>0</v>
      </c>
      <c r="O314" t="b">
        <f>IF(ROW()-ROW($O$1)+1 &lt;= 'FILL ME'!$E$6, TRUE, FALSE)</f>
        <v>0</v>
      </c>
      <c r="P314" t="b">
        <f>IF(ROW()-ROW($P$1)+1 &lt;= 'FILL ME'!$E$7, TRUE, FALSE)</f>
        <v>0</v>
      </c>
      <c r="Q314" t="b">
        <f>IF(ROW()-ROW($Q$1)+1 &lt;= 'FILL ME'!$E$8, TRUE, FALSE)</f>
        <v>0</v>
      </c>
      <c r="R314" t="b">
        <f>IF(ROW()-ROW($R$1)+1 &lt;= 'FILL ME'!$E$10, TRUE, FALSE)</f>
        <v>0</v>
      </c>
    </row>
    <row r="315" spans="1:18" x14ac:dyDescent="0.25">
      <c r="A315" s="7" t="str">
        <f>'FILL ME'!$B$8</f>
        <v>Grab</v>
      </c>
      <c r="B315" t="str">
        <f>IF('FILL ME'!$B$3 = "", "", 'FILL ME'!$B$3)</f>
        <v>WWS</v>
      </c>
      <c r="C315" t="str">
        <f>IF('FILL ME'!$B$4 = "", "", 'FILL ME'!$B$4)</f>
        <v>SSFLAT</v>
      </c>
      <c r="D315" s="7" t="str">
        <f>TEXT('FILL ME'!$B$7,"yyyymmdd")</f>
        <v>20260319</v>
      </c>
      <c r="E315" s="8" t="str">
        <f t="shared" si="16"/>
        <v/>
      </c>
      <c r="F315" s="7">
        <f>IF('FILL ME'!$B$8="ISCO",'FILL ME'!$B$7+'FILL ME'!$B$12+('FILL ME'!$B$13*(G315-'FILL ME'!$B$14)),'FILL ME'!$B$7)</f>
        <v>46100</v>
      </c>
      <c r="G315" s="8"/>
      <c r="I315" s="9" t="str">
        <f t="shared" si="17"/>
        <v>_00</v>
      </c>
      <c r="J315" s="10" t="str">
        <f t="shared" si="18"/>
        <v>SSFLAT__20260319_00</v>
      </c>
      <c r="K315" s="10" t="str">
        <f t="shared" si="19"/>
        <v>SSFLAT__20260319_</v>
      </c>
      <c r="L315" t="b">
        <f>IF(ROW()-ROW($L$1)+1 &lt;= 'FILL ME'!$E$3, TRUE, FALSE)</f>
        <v>0</v>
      </c>
      <c r="M315" t="b">
        <f>IF(ROW()-ROW($M$1)+1 &lt;= 'FILL ME'!$E$4, TRUE, FALSE)</f>
        <v>0</v>
      </c>
      <c r="N315" t="b">
        <f>IF(ROW()-ROW($N$1)+1 &lt;= 'FILL ME'!$E$5, TRUE, FALSE)</f>
        <v>0</v>
      </c>
      <c r="O315" t="b">
        <f>IF(ROW()-ROW($O$1)+1 &lt;= 'FILL ME'!$E$6, TRUE, FALSE)</f>
        <v>0</v>
      </c>
      <c r="P315" t="b">
        <f>IF(ROW()-ROW($P$1)+1 &lt;= 'FILL ME'!$E$7, TRUE, FALSE)</f>
        <v>0</v>
      </c>
      <c r="Q315" t="b">
        <f>IF(ROW()-ROW($Q$1)+1 &lt;= 'FILL ME'!$E$8, TRUE, FALSE)</f>
        <v>0</v>
      </c>
      <c r="R315" t="b">
        <f>IF(ROW()-ROW($R$1)+1 &lt;= 'FILL ME'!$E$10, TRUE, FALSE)</f>
        <v>0</v>
      </c>
    </row>
    <row r="316" spans="1:18" x14ac:dyDescent="0.25">
      <c r="A316" s="7" t="str">
        <f>'FILL ME'!$B$8</f>
        <v>Grab</v>
      </c>
      <c r="B316" t="str">
        <f>IF('FILL ME'!$B$3 = "", "", 'FILL ME'!$B$3)</f>
        <v>WWS</v>
      </c>
      <c r="C316" t="str">
        <f>IF('FILL ME'!$B$4 = "", "", 'FILL ME'!$B$4)</f>
        <v>SSFLAT</v>
      </c>
      <c r="D316" s="7" t="str">
        <f>TEXT('FILL ME'!$B$7,"yyyymmdd")</f>
        <v>20260319</v>
      </c>
      <c r="E316" s="8" t="str">
        <f t="shared" si="16"/>
        <v/>
      </c>
      <c r="F316" s="7">
        <f>IF('FILL ME'!$B$8="ISCO",'FILL ME'!$B$7+'FILL ME'!$B$12+('FILL ME'!$B$13*(G316-'FILL ME'!$B$14)),'FILL ME'!$B$7)</f>
        <v>46100</v>
      </c>
      <c r="G316" s="8"/>
      <c r="I316" s="9" t="str">
        <f t="shared" si="17"/>
        <v>_00</v>
      </c>
      <c r="J316" s="10" t="str">
        <f t="shared" si="18"/>
        <v>SSFLAT__20260319_00</v>
      </c>
      <c r="K316" s="10" t="str">
        <f t="shared" si="19"/>
        <v>SSFLAT__20260319_</v>
      </c>
      <c r="L316" t="b">
        <f>IF(ROW()-ROW($L$1)+1 &lt;= 'FILL ME'!$E$3, TRUE, FALSE)</f>
        <v>0</v>
      </c>
      <c r="M316" t="b">
        <f>IF(ROW()-ROW($M$1)+1 &lt;= 'FILL ME'!$E$4, TRUE, FALSE)</f>
        <v>0</v>
      </c>
      <c r="N316" t="b">
        <f>IF(ROW()-ROW($N$1)+1 &lt;= 'FILL ME'!$E$5, TRUE, FALSE)</f>
        <v>0</v>
      </c>
      <c r="O316" t="b">
        <f>IF(ROW()-ROW($O$1)+1 &lt;= 'FILL ME'!$E$6, TRUE, FALSE)</f>
        <v>0</v>
      </c>
      <c r="P316" t="b">
        <f>IF(ROW()-ROW($P$1)+1 &lt;= 'FILL ME'!$E$7, TRUE, FALSE)</f>
        <v>0</v>
      </c>
      <c r="Q316" t="b">
        <f>IF(ROW()-ROW($Q$1)+1 &lt;= 'FILL ME'!$E$8, TRUE, FALSE)</f>
        <v>0</v>
      </c>
      <c r="R316" t="b">
        <f>IF(ROW()-ROW($R$1)+1 &lt;= 'FILL ME'!$E$10, TRUE, FALSE)</f>
        <v>0</v>
      </c>
    </row>
    <row r="317" spans="1:18" x14ac:dyDescent="0.25">
      <c r="A317" s="7" t="str">
        <f>'FILL ME'!$B$8</f>
        <v>Grab</v>
      </c>
      <c r="B317" t="str">
        <f>IF('FILL ME'!$B$3 = "", "", 'FILL ME'!$B$3)</f>
        <v>WWS</v>
      </c>
      <c r="C317" t="str">
        <f>IF('FILL ME'!$B$4 = "", "", 'FILL ME'!$B$4)</f>
        <v>SSFLAT</v>
      </c>
      <c r="D317" s="7" t="str">
        <f>TEXT('FILL ME'!$B$7,"yyyymmdd")</f>
        <v>20260319</v>
      </c>
      <c r="E317" s="8" t="str">
        <f t="shared" si="16"/>
        <v/>
      </c>
      <c r="F317" s="7">
        <f>IF('FILL ME'!$B$8="ISCO",'FILL ME'!$B$7+'FILL ME'!$B$12+('FILL ME'!$B$13*(G317-'FILL ME'!$B$14)),'FILL ME'!$B$7)</f>
        <v>46100</v>
      </c>
      <c r="G317" s="8"/>
      <c r="I317" s="9" t="str">
        <f t="shared" si="17"/>
        <v>_00</v>
      </c>
      <c r="J317" s="10" t="str">
        <f t="shared" si="18"/>
        <v>SSFLAT__20260319_00</v>
      </c>
      <c r="K317" s="10" t="str">
        <f t="shared" si="19"/>
        <v>SSFLAT__20260319_</v>
      </c>
      <c r="L317" t="b">
        <f>IF(ROW()-ROW($L$1)+1 &lt;= 'FILL ME'!$E$3, TRUE, FALSE)</f>
        <v>0</v>
      </c>
      <c r="M317" t="b">
        <f>IF(ROW()-ROW($M$1)+1 &lt;= 'FILL ME'!$E$4, TRUE, FALSE)</f>
        <v>0</v>
      </c>
      <c r="N317" t="b">
        <f>IF(ROW()-ROW($N$1)+1 &lt;= 'FILL ME'!$E$5, TRUE, FALSE)</f>
        <v>0</v>
      </c>
      <c r="O317" t="b">
        <f>IF(ROW()-ROW($O$1)+1 &lt;= 'FILL ME'!$E$6, TRUE, FALSE)</f>
        <v>0</v>
      </c>
      <c r="P317" t="b">
        <f>IF(ROW()-ROW($P$1)+1 &lt;= 'FILL ME'!$E$7, TRUE, FALSE)</f>
        <v>0</v>
      </c>
      <c r="Q317" t="b">
        <f>IF(ROW()-ROW($Q$1)+1 &lt;= 'FILL ME'!$E$8, TRUE, FALSE)</f>
        <v>0</v>
      </c>
      <c r="R317" t="b">
        <f>IF(ROW()-ROW($R$1)+1 &lt;= 'FILL ME'!$E$10, TRUE, FALSE)</f>
        <v>0</v>
      </c>
    </row>
    <row r="318" spans="1:18" x14ac:dyDescent="0.25">
      <c r="A318" s="7" t="str">
        <f>'FILL ME'!$B$8</f>
        <v>Grab</v>
      </c>
      <c r="B318" t="str">
        <f>IF('FILL ME'!$B$3 = "", "", 'FILL ME'!$B$3)</f>
        <v>WWS</v>
      </c>
      <c r="C318" t="str">
        <f>IF('FILL ME'!$B$4 = "", "", 'FILL ME'!$B$4)</f>
        <v>SSFLAT</v>
      </c>
      <c r="D318" s="7" t="str">
        <f>TEXT('FILL ME'!$B$7,"yyyymmdd")</f>
        <v>20260319</v>
      </c>
      <c r="E318" s="8" t="str">
        <f t="shared" si="16"/>
        <v/>
      </c>
      <c r="F318" s="7">
        <f>IF('FILL ME'!$B$8="ISCO",'FILL ME'!$B$7+'FILL ME'!$B$12+('FILL ME'!$B$13*(G318-'FILL ME'!$B$14)),'FILL ME'!$B$7)</f>
        <v>46100</v>
      </c>
      <c r="G318" s="8"/>
      <c r="I318" s="9" t="str">
        <f t="shared" si="17"/>
        <v>_00</v>
      </c>
      <c r="J318" s="10" t="str">
        <f t="shared" si="18"/>
        <v>SSFLAT__20260319_00</v>
      </c>
      <c r="K318" s="10" t="str">
        <f t="shared" si="19"/>
        <v>SSFLAT__20260319_</v>
      </c>
      <c r="L318" t="b">
        <f>IF(ROW()-ROW($L$1)+1 &lt;= 'FILL ME'!$E$3, TRUE, FALSE)</f>
        <v>0</v>
      </c>
      <c r="M318" t="b">
        <f>IF(ROW()-ROW($M$1)+1 &lt;= 'FILL ME'!$E$4, TRUE, FALSE)</f>
        <v>0</v>
      </c>
      <c r="N318" t="b">
        <f>IF(ROW()-ROW($N$1)+1 &lt;= 'FILL ME'!$E$5, TRUE, FALSE)</f>
        <v>0</v>
      </c>
      <c r="O318" t="b">
        <f>IF(ROW()-ROW($O$1)+1 &lt;= 'FILL ME'!$E$6, TRUE, FALSE)</f>
        <v>0</v>
      </c>
      <c r="P318" t="b">
        <f>IF(ROW()-ROW($P$1)+1 &lt;= 'FILL ME'!$E$7, TRUE, FALSE)</f>
        <v>0</v>
      </c>
      <c r="Q318" t="b">
        <f>IF(ROW()-ROW($Q$1)+1 &lt;= 'FILL ME'!$E$8, TRUE, FALSE)</f>
        <v>0</v>
      </c>
      <c r="R318" t="b">
        <f>IF(ROW()-ROW($R$1)+1 &lt;= 'FILL ME'!$E$10, TRUE, FALSE)</f>
        <v>0</v>
      </c>
    </row>
    <row r="319" spans="1:18" x14ac:dyDescent="0.25">
      <c r="A319" s="7" t="str">
        <f>'FILL ME'!$B$8</f>
        <v>Grab</v>
      </c>
      <c r="B319" t="str">
        <f>IF('FILL ME'!$B$3 = "", "", 'FILL ME'!$B$3)</f>
        <v>WWS</v>
      </c>
      <c r="C319" t="str">
        <f>IF('FILL ME'!$B$4 = "", "", 'FILL ME'!$B$4)</f>
        <v>SSFLAT</v>
      </c>
      <c r="D319" s="7" t="str">
        <f>TEXT('FILL ME'!$B$7,"yyyymmdd")</f>
        <v>20260319</v>
      </c>
      <c r="E319" s="8" t="str">
        <f t="shared" si="16"/>
        <v/>
      </c>
      <c r="F319" s="7">
        <f>IF('FILL ME'!$B$8="ISCO",'FILL ME'!$B$7+'FILL ME'!$B$12+('FILL ME'!$B$13*(G319-'FILL ME'!$B$14)),'FILL ME'!$B$7)</f>
        <v>46100</v>
      </c>
      <c r="G319" s="8"/>
      <c r="I319" s="9" t="str">
        <f t="shared" si="17"/>
        <v>_00</v>
      </c>
      <c r="J319" s="10" t="str">
        <f t="shared" si="18"/>
        <v>SSFLAT__20260319_00</v>
      </c>
      <c r="K319" s="10" t="str">
        <f t="shared" si="19"/>
        <v>SSFLAT__20260319_</v>
      </c>
      <c r="L319" t="b">
        <f>IF(ROW()-ROW($L$1)+1 &lt;= 'FILL ME'!$E$3, TRUE, FALSE)</f>
        <v>0</v>
      </c>
      <c r="M319" t="b">
        <f>IF(ROW()-ROW($M$1)+1 &lt;= 'FILL ME'!$E$4, TRUE, FALSE)</f>
        <v>0</v>
      </c>
      <c r="N319" t="b">
        <f>IF(ROW()-ROW($N$1)+1 &lt;= 'FILL ME'!$E$5, TRUE, FALSE)</f>
        <v>0</v>
      </c>
      <c r="O319" t="b">
        <f>IF(ROW()-ROW($O$1)+1 &lt;= 'FILL ME'!$E$6, TRUE, FALSE)</f>
        <v>0</v>
      </c>
      <c r="P319" t="b">
        <f>IF(ROW()-ROW($P$1)+1 &lt;= 'FILL ME'!$E$7, TRUE, FALSE)</f>
        <v>0</v>
      </c>
      <c r="Q319" t="b">
        <f>IF(ROW()-ROW($Q$1)+1 &lt;= 'FILL ME'!$E$8, TRUE, FALSE)</f>
        <v>0</v>
      </c>
      <c r="R319" t="b">
        <f>IF(ROW()-ROW($R$1)+1 &lt;= 'FILL ME'!$E$10, TRUE, FALSE)</f>
        <v>0</v>
      </c>
    </row>
    <row r="320" spans="1:18" x14ac:dyDescent="0.25">
      <c r="A320" s="7" t="str">
        <f>'FILL ME'!$B$8</f>
        <v>Grab</v>
      </c>
      <c r="B320" t="str">
        <f>IF('FILL ME'!$B$3 = "", "", 'FILL ME'!$B$3)</f>
        <v>WWS</v>
      </c>
      <c r="C320" t="str">
        <f>IF('FILL ME'!$B$4 = "", "", 'FILL ME'!$B$4)</f>
        <v>SSFLAT</v>
      </c>
      <c r="D320" s="7" t="str">
        <f>TEXT('FILL ME'!$B$7,"yyyymmdd")</f>
        <v>20260319</v>
      </c>
      <c r="E320" s="8" t="str">
        <f t="shared" si="16"/>
        <v/>
      </c>
      <c r="F320" s="7">
        <f>IF('FILL ME'!$B$8="ISCO",'FILL ME'!$B$7+'FILL ME'!$B$12+('FILL ME'!$B$13*(G320-'FILL ME'!$B$14)),'FILL ME'!$B$7)</f>
        <v>46100</v>
      </c>
      <c r="G320" s="8"/>
      <c r="I320" s="9" t="str">
        <f t="shared" si="17"/>
        <v>_00</v>
      </c>
      <c r="J320" s="10" t="str">
        <f t="shared" si="18"/>
        <v>SSFLAT__20260319_00</v>
      </c>
      <c r="K320" s="10" t="str">
        <f t="shared" si="19"/>
        <v>SSFLAT__20260319_</v>
      </c>
      <c r="L320" t="b">
        <f>IF(ROW()-ROW($L$1)+1 &lt;= 'FILL ME'!$E$3, TRUE, FALSE)</f>
        <v>0</v>
      </c>
      <c r="M320" t="b">
        <f>IF(ROW()-ROW($M$1)+1 &lt;= 'FILL ME'!$E$4, TRUE, FALSE)</f>
        <v>0</v>
      </c>
      <c r="N320" t="b">
        <f>IF(ROW()-ROW($N$1)+1 &lt;= 'FILL ME'!$E$5, TRUE, FALSE)</f>
        <v>0</v>
      </c>
      <c r="O320" t="b">
        <f>IF(ROW()-ROW($O$1)+1 &lt;= 'FILL ME'!$E$6, TRUE, FALSE)</f>
        <v>0</v>
      </c>
      <c r="P320" t="b">
        <f>IF(ROW()-ROW($P$1)+1 &lt;= 'FILL ME'!$E$7, TRUE, FALSE)</f>
        <v>0</v>
      </c>
      <c r="Q320" t="b">
        <f>IF(ROW()-ROW($Q$1)+1 &lt;= 'FILL ME'!$E$8, TRUE, FALSE)</f>
        <v>0</v>
      </c>
      <c r="R320" t="b">
        <f>IF(ROW()-ROW($R$1)+1 &lt;= 'FILL ME'!$E$10, TRUE, FALSE)</f>
        <v>0</v>
      </c>
    </row>
    <row r="321" spans="1:18" x14ac:dyDescent="0.25">
      <c r="A321" s="7" t="str">
        <f>'FILL ME'!$B$8</f>
        <v>Grab</v>
      </c>
      <c r="B321" t="str">
        <f>IF('FILL ME'!$B$3 = "", "", 'FILL ME'!$B$3)</f>
        <v>WWS</v>
      </c>
      <c r="C321" t="str">
        <f>IF('FILL ME'!$B$4 = "", "", 'FILL ME'!$B$4)</f>
        <v>SSFLAT</v>
      </c>
      <c r="D321" s="7" t="str">
        <f>TEXT('FILL ME'!$B$7,"yyyymmdd")</f>
        <v>20260319</v>
      </c>
      <c r="E321" s="8" t="str">
        <f t="shared" si="16"/>
        <v/>
      </c>
      <c r="F321" s="7">
        <f>IF('FILL ME'!$B$8="ISCO",'FILL ME'!$B$7+'FILL ME'!$B$12+('FILL ME'!$B$13*(G321-'FILL ME'!$B$14)),'FILL ME'!$B$7)</f>
        <v>46100</v>
      </c>
      <c r="G321" s="8"/>
      <c r="I321" s="9" t="str">
        <f t="shared" si="17"/>
        <v>_00</v>
      </c>
      <c r="J321" s="10" t="str">
        <f t="shared" si="18"/>
        <v>SSFLAT__20260319_00</v>
      </c>
      <c r="K321" s="10" t="str">
        <f t="shared" si="19"/>
        <v>SSFLAT__20260319_</v>
      </c>
      <c r="L321" t="b">
        <f>IF(ROW()-ROW($L$1)+1 &lt;= 'FILL ME'!$E$3, TRUE, FALSE)</f>
        <v>0</v>
      </c>
      <c r="M321" t="b">
        <f>IF(ROW()-ROW($M$1)+1 &lt;= 'FILL ME'!$E$4, TRUE, FALSE)</f>
        <v>0</v>
      </c>
      <c r="N321" t="b">
        <f>IF(ROW()-ROW($N$1)+1 &lt;= 'FILL ME'!$E$5, TRUE, FALSE)</f>
        <v>0</v>
      </c>
      <c r="O321" t="b">
        <f>IF(ROW()-ROW($O$1)+1 &lt;= 'FILL ME'!$E$6, TRUE, FALSE)</f>
        <v>0</v>
      </c>
      <c r="P321" t="b">
        <f>IF(ROW()-ROW($P$1)+1 &lt;= 'FILL ME'!$E$7, TRUE, FALSE)</f>
        <v>0</v>
      </c>
      <c r="Q321" t="b">
        <f>IF(ROW()-ROW($Q$1)+1 &lt;= 'FILL ME'!$E$8, TRUE, FALSE)</f>
        <v>0</v>
      </c>
      <c r="R321" t="b">
        <f>IF(ROW()-ROW($R$1)+1 &lt;= 'FILL ME'!$E$10, TRUE, FALSE)</f>
        <v>0</v>
      </c>
    </row>
  </sheetData>
  <conditionalFormatting sqref="B1:F1 A1:A321">
    <cfRule type="expression" dxfId="22" priority="22">
      <formula>#REF!="Aqualog"</formula>
    </cfRule>
  </conditionalFormatting>
  <conditionalFormatting sqref="A1:C1 A2:A321">
    <cfRule type="expression" dxfId="21" priority="25">
      <formula>#REF!="Shipped"</formula>
    </cfRule>
  </conditionalFormatting>
  <conditionalFormatting sqref="H1:K1 H2:J321">
    <cfRule type="expression" dxfId="20" priority="38">
      <formula>#REF!="Aqualog"</formula>
    </cfRule>
  </conditionalFormatting>
  <conditionalFormatting sqref="H1 D1:F1">
    <cfRule type="expression" dxfId="19" priority="35">
      <formula>$B1048576="Shipped"</formula>
    </cfRule>
  </conditionalFormatting>
  <conditionalFormatting sqref="H1:J321 K2:K321">
    <cfRule type="expression" dxfId="18" priority="19">
      <formula>#REF!="Shipped"</formula>
    </cfRule>
  </conditionalFormatting>
  <conditionalFormatting sqref="K2:K321">
    <cfRule type="expression" dxfId="17" priority="49">
      <formula>$H3="Aqualog"</formula>
    </cfRule>
  </conditionalFormatting>
  <conditionalFormatting sqref="L2:R321">
    <cfRule type="cellIs" dxfId="16" priority="1" operator="equal">
      <formula>TRUE</formula>
    </cfRule>
    <cfRule type="cellIs" dxfId="15" priority="2" operator="equal">
      <formula>FALSE</formula>
    </cfRule>
  </conditionalFormatting>
  <conditionalFormatting sqref="N1:R1">
    <cfRule type="expression" dxfId="14" priority="54">
      <formula>$F1="Aqualog"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2F0D1-F35D-46A9-AB3E-79F4F5A54491}">
  <dimension ref="A1:B240"/>
  <sheetViews>
    <sheetView workbookViewId="0">
      <selection activeCell="E8" sqref="E8"/>
    </sheetView>
  </sheetViews>
  <sheetFormatPr defaultRowHeight="15" x14ac:dyDescent="0.25"/>
  <cols>
    <col min="2" max="2" width="29.140625" customWidth="1"/>
  </cols>
  <sheetData>
    <row r="1" spans="1:2" x14ac:dyDescent="0.25">
      <c r="A1" s="39" t="s">
        <v>50</v>
      </c>
      <c r="B1" s="39" t="s">
        <v>51</v>
      </c>
    </row>
    <row r="2" spans="1:2" x14ac:dyDescent="0.25">
      <c r="A2" t="str" cm="1">
        <f t="array" ref="A2:B240">_xlfn._xlws.SORT(
    _xlfn.LET(
        _xlpm.data, 'Label IDs'!L2:M321,
        _xlpm.headers, 'Label IDs'!L1:M1,
        _xlpm.values, IF('FILL ME'!B9 = "Bottle Number", 'Label IDs'!J2:J321, IF('FILL ME'!B9 = "Sample Date/Time", 'Label IDs'!K2:K321,'Label IDs'!I2:I321)),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_xlfn._xlws.FILTER(CHOOSE({1,2}, _xlpm.hdr, _xlpm.val), _xlpm.flag)
    ),
    1, 1
)</f>
        <v>Grab</v>
      </c>
      <c r="B2" t="str">
        <v>SSFLAT_MCSN01_20260319_</v>
      </c>
    </row>
    <row r="3" spans="1:2" x14ac:dyDescent="0.25">
      <c r="A3" t="str">
        <v>Grab</v>
      </c>
      <c r="B3" t="str">
        <v>SSFLAT_MCSN01_20260319_</v>
      </c>
    </row>
    <row r="4" spans="1:2" x14ac:dyDescent="0.25">
      <c r="A4" t="str">
        <v>Grab</v>
      </c>
      <c r="B4" t="str">
        <v>SSFLAT_MCSN01_20260319_</v>
      </c>
    </row>
    <row r="5" spans="1:2" x14ac:dyDescent="0.25">
      <c r="A5" t="str">
        <v>Grab</v>
      </c>
      <c r="B5" t="str">
        <v>SSFLAT_MCSN01_20260319_</v>
      </c>
    </row>
    <row r="6" spans="1:2" x14ac:dyDescent="0.25">
      <c r="A6" t="str">
        <v>Grab</v>
      </c>
      <c r="B6" t="str">
        <v>SSFLAT_MCSN01_20260319_</v>
      </c>
    </row>
    <row r="7" spans="1:2" x14ac:dyDescent="0.25">
      <c r="A7" t="str">
        <v>Grab</v>
      </c>
      <c r="B7" t="str">
        <v>SSFLAT_MCSN01_20260319_</v>
      </c>
    </row>
    <row r="8" spans="1:2" x14ac:dyDescent="0.25">
      <c r="A8" t="str">
        <v>Grab</v>
      </c>
      <c r="B8" t="str">
        <v>SSFLAT_MCSN01_20260319_</v>
      </c>
    </row>
    <row r="9" spans="1:2" x14ac:dyDescent="0.25">
      <c r="A9" t="str">
        <v>Grab</v>
      </c>
      <c r="B9" t="str">
        <v>SSFLAT_MCSN01_20260319_</v>
      </c>
    </row>
    <row r="10" spans="1:2" x14ac:dyDescent="0.25">
      <c r="A10" t="str">
        <v>Grab</v>
      </c>
      <c r="B10" t="str">
        <v>SSFLAT_MCSN01_20260319_</v>
      </c>
    </row>
    <row r="11" spans="1:2" x14ac:dyDescent="0.25">
      <c r="A11" t="str">
        <v>Grab</v>
      </c>
      <c r="B11" t="str">
        <v>SSFLAT_MCSN01_20260319_</v>
      </c>
    </row>
    <row r="12" spans="1:2" x14ac:dyDescent="0.25">
      <c r="A12" t="str">
        <v>Grab</v>
      </c>
      <c r="B12" t="str">
        <v>SSFLAT_MCSN01_20260319_</v>
      </c>
    </row>
    <row r="13" spans="1:2" x14ac:dyDescent="0.25">
      <c r="A13" t="str">
        <v>Grab</v>
      </c>
      <c r="B13" t="str">
        <v>SSFLAT_MCSN01_20260319_</v>
      </c>
    </row>
    <row r="14" spans="1:2" x14ac:dyDescent="0.25">
      <c r="A14" t="str">
        <v>Grab</v>
      </c>
      <c r="B14" t="str">
        <v>SSFLAT_MCSN01_20260319_</v>
      </c>
    </row>
    <row r="15" spans="1:2" x14ac:dyDescent="0.25">
      <c r="A15" t="str">
        <v>Grab</v>
      </c>
      <c r="B15" t="str">
        <v>SSFLAT_MCSN01_20260319_</v>
      </c>
    </row>
    <row r="16" spans="1:2" x14ac:dyDescent="0.25">
      <c r="A16" t="str">
        <v>Grab</v>
      </c>
      <c r="B16" t="str">
        <v>SSFLAT_MCSN01_20260319_</v>
      </c>
    </row>
    <row r="17" spans="1:2" x14ac:dyDescent="0.25">
      <c r="A17" t="str">
        <v>Grab</v>
      </c>
      <c r="B17" t="str">
        <v>SSFLAT_MCSN01_20260319_</v>
      </c>
    </row>
    <row r="18" spans="1:2" x14ac:dyDescent="0.25">
      <c r="A18" t="str">
        <v>Grab</v>
      </c>
      <c r="B18" t="str">
        <v>SSFLAT_MCSN01_20260319_</v>
      </c>
    </row>
    <row r="19" spans="1:2" x14ac:dyDescent="0.25">
      <c r="A19" t="str">
        <v>Grab</v>
      </c>
      <c r="B19" t="str">
        <v>SSFLAT_MCSN01_20260319_</v>
      </c>
    </row>
    <row r="20" spans="1:2" x14ac:dyDescent="0.25">
      <c r="A20" t="str">
        <v>Grab</v>
      </c>
      <c r="B20" t="str">
        <v>SSFLAT_MCSN01_20260319_</v>
      </c>
    </row>
    <row r="21" spans="1:2" x14ac:dyDescent="0.25">
      <c r="A21" t="str">
        <v>Grab</v>
      </c>
      <c r="B21" t="str">
        <v>SSFLAT_MCSN01_20260319_</v>
      </c>
    </row>
    <row r="22" spans="1:2" x14ac:dyDescent="0.25">
      <c r="A22" t="str">
        <v>Grab</v>
      </c>
      <c r="B22" t="str">
        <v>SSFLAT_MCSN01_20260319_</v>
      </c>
    </row>
    <row r="23" spans="1:2" x14ac:dyDescent="0.25">
      <c r="A23" t="str">
        <v>Grab</v>
      </c>
      <c r="B23" t="str">
        <v>SSFLAT_MCSN01_20260319_</v>
      </c>
    </row>
    <row r="24" spans="1:2" x14ac:dyDescent="0.25">
      <c r="A24" t="str">
        <v>Grab</v>
      </c>
      <c r="B24" t="str">
        <v>SSFLAT_MCSN01_20260319_</v>
      </c>
    </row>
    <row r="25" spans="1:2" x14ac:dyDescent="0.25">
      <c r="A25" t="str">
        <v>Grab</v>
      </c>
      <c r="B25" t="str">
        <v>SSFLAT_MCSN01_20260319_</v>
      </c>
    </row>
    <row r="26" spans="1:2" x14ac:dyDescent="0.25">
      <c r="A26" t="str">
        <v>Grab</v>
      </c>
      <c r="B26" t="str">
        <v>SSFLAT_MCSN02_20260319_</v>
      </c>
    </row>
    <row r="27" spans="1:2" x14ac:dyDescent="0.25">
      <c r="A27" t="str">
        <v>Grab</v>
      </c>
      <c r="B27" t="str">
        <v>SSFLAT_MCSN02_20260319_</v>
      </c>
    </row>
    <row r="28" spans="1:2" x14ac:dyDescent="0.25">
      <c r="A28" t="str">
        <v>Grab</v>
      </c>
      <c r="B28" t="str">
        <v>SSFLAT_MCSN02_20260319_</v>
      </c>
    </row>
    <row r="29" spans="1:2" x14ac:dyDescent="0.25">
      <c r="A29" t="str">
        <v>Grab</v>
      </c>
      <c r="B29" t="str">
        <v>SSFLAT_MCSN02_20260319_</v>
      </c>
    </row>
    <row r="30" spans="1:2" x14ac:dyDescent="0.25">
      <c r="A30" t="str">
        <v>Grab</v>
      </c>
      <c r="B30" t="str">
        <v>SSFLAT_MCSN02_20260319_</v>
      </c>
    </row>
    <row r="31" spans="1:2" x14ac:dyDescent="0.25">
      <c r="A31" t="str">
        <v>Grab</v>
      </c>
      <c r="B31" t="str">
        <v>SSFLAT_MCSN02_20260319_</v>
      </c>
    </row>
    <row r="32" spans="1:2" x14ac:dyDescent="0.25">
      <c r="A32" t="str">
        <v>Grab</v>
      </c>
      <c r="B32" t="str">
        <v>SSFLAT_MCSN02_20260319_</v>
      </c>
    </row>
    <row r="33" spans="1:2" x14ac:dyDescent="0.25">
      <c r="A33" t="str">
        <v>Grab</v>
      </c>
      <c r="B33" t="str">
        <v>SSFLAT_MCSN02_20260319_</v>
      </c>
    </row>
    <row r="34" spans="1:2" x14ac:dyDescent="0.25">
      <c r="A34" t="str">
        <v>Grab</v>
      </c>
      <c r="B34" t="str">
        <v>SSFLAT_MCSN02_20260319_</v>
      </c>
    </row>
    <row r="35" spans="1:2" x14ac:dyDescent="0.25">
      <c r="A35" t="str">
        <v>Grab</v>
      </c>
      <c r="B35" t="str">
        <v>SSFLAT_MCSN02_20260319_</v>
      </c>
    </row>
    <row r="36" spans="1:2" x14ac:dyDescent="0.25">
      <c r="A36" t="str">
        <v>Grab</v>
      </c>
      <c r="B36" t="str">
        <v>SSFLAT_MCSN02_20260319_</v>
      </c>
    </row>
    <row r="37" spans="1:2" x14ac:dyDescent="0.25">
      <c r="A37" t="str">
        <v>Grab</v>
      </c>
      <c r="B37" t="str">
        <v>SSFLAT_MCSN02_20260319_</v>
      </c>
    </row>
    <row r="38" spans="1:2" x14ac:dyDescent="0.25">
      <c r="A38" t="str">
        <v>Grab</v>
      </c>
      <c r="B38" t="str">
        <v>SSFLAT_MCSN02_20260319_</v>
      </c>
    </row>
    <row r="39" spans="1:2" x14ac:dyDescent="0.25">
      <c r="A39" t="str">
        <v>Grab</v>
      </c>
      <c r="B39" t="str">
        <v>SSFLAT_MCSN02_20260319_</v>
      </c>
    </row>
    <row r="40" spans="1:2" x14ac:dyDescent="0.25">
      <c r="A40" t="str">
        <v>Grab</v>
      </c>
      <c r="B40" t="str">
        <v>SSFLAT_MCSN02_20260319_</v>
      </c>
    </row>
    <row r="41" spans="1:2" x14ac:dyDescent="0.25">
      <c r="A41" t="str">
        <v>Grab</v>
      </c>
      <c r="B41" t="str">
        <v>SSFLAT_MCSN02_20260319_</v>
      </c>
    </row>
    <row r="42" spans="1:2" x14ac:dyDescent="0.25">
      <c r="A42" t="str">
        <v>Grab</v>
      </c>
      <c r="B42" t="str">
        <v>SSFLAT_MCSN02_20260319_</v>
      </c>
    </row>
    <row r="43" spans="1:2" x14ac:dyDescent="0.25">
      <c r="A43" t="str">
        <v>Grab</v>
      </c>
      <c r="B43" t="str">
        <v>SSFLAT_MCSN02_20260319_</v>
      </c>
    </row>
    <row r="44" spans="1:2" x14ac:dyDescent="0.25">
      <c r="A44" t="str">
        <v>Grab</v>
      </c>
      <c r="B44" t="str">
        <v>SSFLAT_MCSN02_20260319_</v>
      </c>
    </row>
    <row r="45" spans="1:2" x14ac:dyDescent="0.25">
      <c r="A45" t="str">
        <v>Grab</v>
      </c>
      <c r="B45" t="str">
        <v>SSFLAT_MCSN02_20260319_</v>
      </c>
    </row>
    <row r="46" spans="1:2" x14ac:dyDescent="0.25">
      <c r="A46" t="str">
        <v>Grab</v>
      </c>
      <c r="B46" t="str">
        <v>SSFLAT_MCSN02_20260319_</v>
      </c>
    </row>
    <row r="47" spans="1:2" x14ac:dyDescent="0.25">
      <c r="A47" t="str">
        <v>Grab</v>
      </c>
      <c r="B47" t="str">
        <v>SSFLAT_MCSN02_20260319_</v>
      </c>
    </row>
    <row r="48" spans="1:2" x14ac:dyDescent="0.25">
      <c r="A48" t="str">
        <v>Grab</v>
      </c>
      <c r="B48" t="str">
        <v>SSFLAT_MCSN02_20260319_</v>
      </c>
    </row>
    <row r="49" spans="1:2" x14ac:dyDescent="0.25">
      <c r="A49" t="str">
        <v>Grab</v>
      </c>
      <c r="B49" t="str">
        <v>SSFLAT_MCSN02_20260319_</v>
      </c>
    </row>
    <row r="50" spans="1:2" x14ac:dyDescent="0.25">
      <c r="A50" t="str">
        <v>Grab</v>
      </c>
      <c r="B50" t="str">
        <v>SSFLAT_MCSN03_20260319_</v>
      </c>
    </row>
    <row r="51" spans="1:2" x14ac:dyDescent="0.25">
      <c r="A51" t="str">
        <v>Grab</v>
      </c>
      <c r="B51" t="str">
        <v>SSFLAT_MCSN03_20260319_</v>
      </c>
    </row>
    <row r="52" spans="1:2" x14ac:dyDescent="0.25">
      <c r="A52" t="str">
        <v>Grab</v>
      </c>
      <c r="B52" t="str">
        <v>SSFLAT_MCSN03_20260319_</v>
      </c>
    </row>
    <row r="53" spans="1:2" x14ac:dyDescent="0.25">
      <c r="A53" t="str">
        <v>Grab</v>
      </c>
      <c r="B53" t="str">
        <v>SSFLAT_MCSN03_20260319_</v>
      </c>
    </row>
    <row r="54" spans="1:2" x14ac:dyDescent="0.25">
      <c r="A54" t="str">
        <v>Grab</v>
      </c>
      <c r="B54" t="str">
        <v>SSFLAT_MCSN03_20260319_</v>
      </c>
    </row>
    <row r="55" spans="1:2" x14ac:dyDescent="0.25">
      <c r="A55" t="str">
        <v>Grab</v>
      </c>
      <c r="B55" t="str">
        <v>SSFLAT_MCSN03_20260319_</v>
      </c>
    </row>
    <row r="56" spans="1:2" x14ac:dyDescent="0.25">
      <c r="A56" t="str">
        <v>Grab</v>
      </c>
      <c r="B56" t="str">
        <v>SSFLAT_MCSN03_20260319_</v>
      </c>
    </row>
    <row r="57" spans="1:2" x14ac:dyDescent="0.25">
      <c r="A57" t="str">
        <v>Grab</v>
      </c>
      <c r="B57" t="str">
        <v>SSFLAT_MCSN03_20260319_</v>
      </c>
    </row>
    <row r="58" spans="1:2" x14ac:dyDescent="0.25">
      <c r="A58" t="str">
        <v>Grab</v>
      </c>
      <c r="B58" t="str">
        <v>SSFLAT_MCSN03_20260319_</v>
      </c>
    </row>
    <row r="59" spans="1:2" x14ac:dyDescent="0.25">
      <c r="A59" t="str">
        <v>Grab</v>
      </c>
      <c r="B59" t="str">
        <v>SSFLAT_MCSN03_20260319_</v>
      </c>
    </row>
    <row r="60" spans="1:2" x14ac:dyDescent="0.25">
      <c r="A60" t="str">
        <v>Grab</v>
      </c>
      <c r="B60" t="str">
        <v>SSFLAT_MCSN03_20260319_</v>
      </c>
    </row>
    <row r="61" spans="1:2" x14ac:dyDescent="0.25">
      <c r="A61" t="str">
        <v>Grab</v>
      </c>
      <c r="B61" t="str">
        <v>SSFLAT_MCSN03_20260319_</v>
      </c>
    </row>
    <row r="62" spans="1:2" x14ac:dyDescent="0.25">
      <c r="A62" t="str">
        <v>Grab</v>
      </c>
      <c r="B62" t="str">
        <v>SSFLAT_MCSN03_20260319_</v>
      </c>
    </row>
    <row r="63" spans="1:2" x14ac:dyDescent="0.25">
      <c r="A63" t="str">
        <v>Grab</v>
      </c>
      <c r="B63" t="str">
        <v>SSFLAT_MCSN03_20260319_</v>
      </c>
    </row>
    <row r="64" spans="1:2" x14ac:dyDescent="0.25">
      <c r="A64" t="str">
        <v>Grab</v>
      </c>
      <c r="B64" t="str">
        <v>SSFLAT_MCSN03_20260319_</v>
      </c>
    </row>
    <row r="65" spans="1:2" x14ac:dyDescent="0.25">
      <c r="A65" t="str">
        <v>Grab</v>
      </c>
      <c r="B65" t="str">
        <v>SSFLAT_MCSN03_20260319_</v>
      </c>
    </row>
    <row r="66" spans="1:2" x14ac:dyDescent="0.25">
      <c r="A66" t="str">
        <v>Grab</v>
      </c>
      <c r="B66" t="str">
        <v>SSFLAT_MCSN03_20260319_</v>
      </c>
    </row>
    <row r="67" spans="1:2" x14ac:dyDescent="0.25">
      <c r="A67" t="str">
        <v>Grab</v>
      </c>
      <c r="B67" t="str">
        <v>SSFLAT_MCSN03_20260319_</v>
      </c>
    </row>
    <row r="68" spans="1:2" x14ac:dyDescent="0.25">
      <c r="A68" t="str">
        <v>Grab</v>
      </c>
      <c r="B68" t="str">
        <v>SSFLAT_MCSN03_20260319_</v>
      </c>
    </row>
    <row r="69" spans="1:2" x14ac:dyDescent="0.25">
      <c r="A69" t="str">
        <v>Grab</v>
      </c>
      <c r="B69" t="str">
        <v>SSFLAT_MCSN03_20260319_</v>
      </c>
    </row>
    <row r="70" spans="1:2" x14ac:dyDescent="0.25">
      <c r="A70" t="str">
        <v>Grab</v>
      </c>
      <c r="B70" t="str">
        <v>SSFLAT_MCSN03_20260319_</v>
      </c>
    </row>
    <row r="71" spans="1:2" x14ac:dyDescent="0.25">
      <c r="A71" t="str">
        <v>Grab</v>
      </c>
      <c r="B71" t="str">
        <v>SSFLAT_MCSN03_20260319_</v>
      </c>
    </row>
    <row r="72" spans="1:2" x14ac:dyDescent="0.25">
      <c r="A72" t="str">
        <v>Grab</v>
      </c>
      <c r="B72" t="str">
        <v>SSFLAT_MCSN03_20260319_</v>
      </c>
    </row>
    <row r="73" spans="1:2" x14ac:dyDescent="0.25">
      <c r="A73" t="str">
        <v>Grab</v>
      </c>
      <c r="B73" t="str">
        <v>SSFLAT_MCSN03_20260319_</v>
      </c>
    </row>
    <row r="74" spans="1:2" x14ac:dyDescent="0.25">
      <c r="A74" t="str">
        <v>Grab</v>
      </c>
      <c r="B74" t="str">
        <v>SSFLAT_MCSN04_20260319_</v>
      </c>
    </row>
    <row r="75" spans="1:2" x14ac:dyDescent="0.25">
      <c r="A75" t="str">
        <v>Grab</v>
      </c>
      <c r="B75" t="str">
        <v>SSFLAT_MCSN04_20260319_</v>
      </c>
    </row>
    <row r="76" spans="1:2" x14ac:dyDescent="0.25">
      <c r="A76" t="str">
        <v>Grab</v>
      </c>
      <c r="B76" t="str">
        <v>SSFLAT_MCSN04_20260319_</v>
      </c>
    </row>
    <row r="77" spans="1:2" x14ac:dyDescent="0.25">
      <c r="A77" t="str">
        <v>Grab</v>
      </c>
      <c r="B77" t="str">
        <v>SSFLAT_MCSN04_20260319_</v>
      </c>
    </row>
    <row r="78" spans="1:2" x14ac:dyDescent="0.25">
      <c r="A78" t="str">
        <v>Grab</v>
      </c>
      <c r="B78" t="str">
        <v>SSFLAT_MCSN04_20260319_</v>
      </c>
    </row>
    <row r="79" spans="1:2" x14ac:dyDescent="0.25">
      <c r="A79" t="str">
        <v>Grab</v>
      </c>
      <c r="B79" t="str">
        <v>SSFLAT_MCSN04_20260319_</v>
      </c>
    </row>
    <row r="80" spans="1:2" x14ac:dyDescent="0.25">
      <c r="A80" t="str">
        <v>Grab</v>
      </c>
      <c r="B80" t="str">
        <v>SSFLAT_MCSN04_20260319_</v>
      </c>
    </row>
    <row r="81" spans="1:2" x14ac:dyDescent="0.25">
      <c r="A81" t="str">
        <v>Grab</v>
      </c>
      <c r="B81" t="str">
        <v>SSFLAT_MCSN04_20260319_</v>
      </c>
    </row>
    <row r="82" spans="1:2" x14ac:dyDescent="0.25">
      <c r="A82" t="str">
        <v>Grab</v>
      </c>
      <c r="B82" t="str">
        <v>SSFLAT_MCSN04_20260319_</v>
      </c>
    </row>
    <row r="83" spans="1:2" x14ac:dyDescent="0.25">
      <c r="A83" t="str">
        <v>Grab</v>
      </c>
      <c r="B83" t="str">
        <v>SSFLAT_MCSN04_20260319_</v>
      </c>
    </row>
    <row r="84" spans="1:2" x14ac:dyDescent="0.25">
      <c r="A84" t="str">
        <v>Grab</v>
      </c>
      <c r="B84" t="str">
        <v>SSFLAT_MCSN04_20260319_</v>
      </c>
    </row>
    <row r="85" spans="1:2" x14ac:dyDescent="0.25">
      <c r="A85" t="str">
        <v>Grab</v>
      </c>
      <c r="B85" t="str">
        <v>SSFLAT_MCSN04_20260319_</v>
      </c>
    </row>
    <row r="86" spans="1:2" x14ac:dyDescent="0.25">
      <c r="A86" t="str">
        <v>Grab</v>
      </c>
      <c r="B86" t="str">
        <v>SSFLAT_MCSN04_20260319_</v>
      </c>
    </row>
    <row r="87" spans="1:2" x14ac:dyDescent="0.25">
      <c r="A87" t="str">
        <v>Grab</v>
      </c>
      <c r="B87" t="str">
        <v>SSFLAT_MCSN04_20260319_</v>
      </c>
    </row>
    <row r="88" spans="1:2" x14ac:dyDescent="0.25">
      <c r="A88" t="str">
        <v>Grab</v>
      </c>
      <c r="B88" t="str">
        <v>SSFLAT_MCSN04_20260319_</v>
      </c>
    </row>
    <row r="89" spans="1:2" x14ac:dyDescent="0.25">
      <c r="A89" t="str">
        <v>Grab</v>
      </c>
      <c r="B89" t="str">
        <v>SSFLAT_MCSN04_20260319_</v>
      </c>
    </row>
    <row r="90" spans="1:2" x14ac:dyDescent="0.25">
      <c r="A90" t="str">
        <v>Grab</v>
      </c>
      <c r="B90" t="str">
        <v>SSFLAT_MCSN04_20260319_</v>
      </c>
    </row>
    <row r="91" spans="1:2" x14ac:dyDescent="0.25">
      <c r="A91" t="str">
        <v>Grab</v>
      </c>
      <c r="B91" t="str">
        <v>SSFLAT_MCSN04_20260319_</v>
      </c>
    </row>
    <row r="92" spans="1:2" x14ac:dyDescent="0.25">
      <c r="A92" t="str">
        <v>Grab</v>
      </c>
      <c r="B92" t="str">
        <v>SSFLAT_MCSN04_20260319_</v>
      </c>
    </row>
    <row r="93" spans="1:2" x14ac:dyDescent="0.25">
      <c r="A93" t="str">
        <v>Grab</v>
      </c>
      <c r="B93" t="str">
        <v>SSFLAT_MCSN04_20260319_</v>
      </c>
    </row>
    <row r="94" spans="1:2" x14ac:dyDescent="0.25">
      <c r="A94" t="str">
        <v>Grab</v>
      </c>
      <c r="B94" t="str">
        <v>SSFLAT_MCSN04_20260319_</v>
      </c>
    </row>
    <row r="95" spans="1:2" x14ac:dyDescent="0.25">
      <c r="A95" t="str">
        <v>Grab</v>
      </c>
      <c r="B95" t="str">
        <v>SSFLAT_MCSN04_20260319_</v>
      </c>
    </row>
    <row r="96" spans="1:2" x14ac:dyDescent="0.25">
      <c r="A96" t="str">
        <v>Grab</v>
      </c>
      <c r="B96" t="str">
        <v>SSFLAT_MCSN04_20260319_</v>
      </c>
    </row>
    <row r="97" spans="1:2" x14ac:dyDescent="0.25">
      <c r="A97" t="str">
        <v>Grab</v>
      </c>
      <c r="B97" t="str">
        <v>SSFLAT_MCSN04_20260319_</v>
      </c>
    </row>
    <row r="98" spans="1:2" x14ac:dyDescent="0.25">
      <c r="A98" t="str">
        <v>Grab</v>
      </c>
      <c r="B98" t="str">
        <v>SSFLAT_MCSN05_20260319_</v>
      </c>
    </row>
    <row r="99" spans="1:2" x14ac:dyDescent="0.25">
      <c r="A99" t="str">
        <v>Grab</v>
      </c>
      <c r="B99" t="str">
        <v>SSFLAT_MCSN05_20260319_</v>
      </c>
    </row>
    <row r="100" spans="1:2" x14ac:dyDescent="0.25">
      <c r="A100" t="str">
        <v>Grab</v>
      </c>
      <c r="B100" t="str">
        <v>SSFLAT_MCSN05_20260319_</v>
      </c>
    </row>
    <row r="101" spans="1:2" x14ac:dyDescent="0.25">
      <c r="A101" t="str">
        <v>Grab</v>
      </c>
      <c r="B101" t="str">
        <v>SSFLAT_MCSN05_20260319_</v>
      </c>
    </row>
    <row r="102" spans="1:2" x14ac:dyDescent="0.25">
      <c r="A102" t="str">
        <v>Grab</v>
      </c>
      <c r="B102" t="str">
        <v>SSFLAT_MCSN05_20260319_</v>
      </c>
    </row>
    <row r="103" spans="1:2" x14ac:dyDescent="0.25">
      <c r="A103" t="str">
        <v>Grab</v>
      </c>
      <c r="B103" t="str">
        <v>SSFLAT_MCSN05_20260319_</v>
      </c>
    </row>
    <row r="104" spans="1:2" x14ac:dyDescent="0.25">
      <c r="A104" t="str">
        <v>Grab</v>
      </c>
      <c r="B104" t="str">
        <v>SSFLAT_MCSN05_20260319_</v>
      </c>
    </row>
    <row r="105" spans="1:2" x14ac:dyDescent="0.25">
      <c r="A105" t="str">
        <v>Grab</v>
      </c>
      <c r="B105" t="str">
        <v>SSFLAT_MCSN05_20260319_</v>
      </c>
    </row>
    <row r="106" spans="1:2" x14ac:dyDescent="0.25">
      <c r="A106" t="str">
        <v>Grab</v>
      </c>
      <c r="B106" t="str">
        <v>SSFLAT_MCSN05_20260319_</v>
      </c>
    </row>
    <row r="107" spans="1:2" x14ac:dyDescent="0.25">
      <c r="A107" t="str">
        <v>Grab</v>
      </c>
      <c r="B107" t="str">
        <v>SSFLAT_MCSN05_20260319_</v>
      </c>
    </row>
    <row r="108" spans="1:2" x14ac:dyDescent="0.25">
      <c r="A108" t="str">
        <v>Grab</v>
      </c>
      <c r="B108" t="str">
        <v>SSFLAT_MCSN05_20260319_</v>
      </c>
    </row>
    <row r="109" spans="1:2" x14ac:dyDescent="0.25">
      <c r="A109" t="str">
        <v>Grab</v>
      </c>
      <c r="B109" t="str">
        <v>SSFLAT_MCSN05_20260319_</v>
      </c>
    </row>
    <row r="110" spans="1:2" x14ac:dyDescent="0.25">
      <c r="A110" t="str">
        <v>Grab</v>
      </c>
      <c r="B110" t="str">
        <v>SSFLAT_MCSN05_20260319_</v>
      </c>
    </row>
    <row r="111" spans="1:2" x14ac:dyDescent="0.25">
      <c r="A111" t="str">
        <v>Grab</v>
      </c>
      <c r="B111" t="str">
        <v>SSFLAT_MCSN05_20260319_</v>
      </c>
    </row>
    <row r="112" spans="1:2" x14ac:dyDescent="0.25">
      <c r="A112" t="str">
        <v>Grab</v>
      </c>
      <c r="B112" t="str">
        <v>SSFLAT_MCSN05_20260319_</v>
      </c>
    </row>
    <row r="113" spans="1:2" x14ac:dyDescent="0.25">
      <c r="A113" t="str">
        <v>Grab</v>
      </c>
      <c r="B113" t="str">
        <v>SSFLAT_MCSN05_20260319_</v>
      </c>
    </row>
    <row r="114" spans="1:2" x14ac:dyDescent="0.25">
      <c r="A114" t="str">
        <v>Grab</v>
      </c>
      <c r="B114" t="str">
        <v>SSFLAT_MCSN05_20260319_</v>
      </c>
    </row>
    <row r="115" spans="1:2" x14ac:dyDescent="0.25">
      <c r="A115" t="str">
        <v>Grab</v>
      </c>
      <c r="B115" t="str">
        <v>SSFLAT_MCSN05_20260319_</v>
      </c>
    </row>
    <row r="116" spans="1:2" x14ac:dyDescent="0.25">
      <c r="A116" t="str">
        <v>Grab</v>
      </c>
      <c r="B116" t="str">
        <v>SSFLAT_MCSN05_20260319_</v>
      </c>
    </row>
    <row r="117" spans="1:2" x14ac:dyDescent="0.25">
      <c r="A117" t="str">
        <v>Grab</v>
      </c>
      <c r="B117" t="str">
        <v>SSFLAT_MCSN05_20260319_</v>
      </c>
    </row>
    <row r="118" spans="1:2" x14ac:dyDescent="0.25">
      <c r="A118" t="str">
        <v>Grab</v>
      </c>
      <c r="B118" t="str">
        <v>SSFLAT_MCSN05_20260319_</v>
      </c>
    </row>
    <row r="119" spans="1:2" x14ac:dyDescent="0.25">
      <c r="A119" t="str">
        <v>Grab</v>
      </c>
      <c r="B119" t="str">
        <v>SSFLAT_MCSN05_20260319_</v>
      </c>
    </row>
    <row r="120" spans="1:2" x14ac:dyDescent="0.25">
      <c r="A120" t="str">
        <v>Grab</v>
      </c>
      <c r="B120" t="str">
        <v>SSFLAT_MCSN05_20260319_</v>
      </c>
    </row>
    <row r="121" spans="1:2" x14ac:dyDescent="0.25">
      <c r="A121" t="str">
        <v>Grab</v>
      </c>
      <c r="B121" t="str">
        <v>SSFLAT_MCSN05_20260319_</v>
      </c>
    </row>
    <row r="122" spans="1:2" x14ac:dyDescent="0.25">
      <c r="A122" t="str">
        <v>Grab</v>
      </c>
      <c r="B122" t="str">
        <v>SSFLAT_MCSN06_20260319_</v>
      </c>
    </row>
    <row r="123" spans="1:2" x14ac:dyDescent="0.25">
      <c r="A123" t="str">
        <v>Grab</v>
      </c>
      <c r="B123" t="str">
        <v>SSFLAT_MCSN06_20260319_</v>
      </c>
    </row>
    <row r="124" spans="1:2" x14ac:dyDescent="0.25">
      <c r="A124" t="str">
        <v>Grab</v>
      </c>
      <c r="B124" t="str">
        <v>SSFLAT_MCSN06_20260319_</v>
      </c>
    </row>
    <row r="125" spans="1:2" x14ac:dyDescent="0.25">
      <c r="A125" t="str">
        <v>Grab</v>
      </c>
      <c r="B125" t="str">
        <v>SSFLAT_MCSN06_20260319_</v>
      </c>
    </row>
    <row r="126" spans="1:2" x14ac:dyDescent="0.25">
      <c r="A126" t="str">
        <v>Grab</v>
      </c>
      <c r="B126" t="str">
        <v>SSFLAT_MCSN06_20260319_</v>
      </c>
    </row>
    <row r="127" spans="1:2" x14ac:dyDescent="0.25">
      <c r="A127" t="str">
        <v>Grab</v>
      </c>
      <c r="B127" t="str">
        <v>SSFLAT_MCSN06_20260319_</v>
      </c>
    </row>
    <row r="128" spans="1:2" x14ac:dyDescent="0.25">
      <c r="A128" t="str">
        <v>Grab</v>
      </c>
      <c r="B128" t="str">
        <v>SSFLAT_MCSN06_20260319_</v>
      </c>
    </row>
    <row r="129" spans="1:2" x14ac:dyDescent="0.25">
      <c r="A129" t="str">
        <v>Grab</v>
      </c>
      <c r="B129" t="str">
        <v>SSFLAT_MCSN06_20260319_</v>
      </c>
    </row>
    <row r="130" spans="1:2" x14ac:dyDescent="0.25">
      <c r="A130" t="str">
        <v>Grab</v>
      </c>
      <c r="B130" t="str">
        <v>SSFLAT_MCSN06_20260319_</v>
      </c>
    </row>
    <row r="131" spans="1:2" x14ac:dyDescent="0.25">
      <c r="A131" t="str">
        <v>Grab</v>
      </c>
      <c r="B131" t="str">
        <v>SSFLAT_MCSN06_20260319_</v>
      </c>
    </row>
    <row r="132" spans="1:2" x14ac:dyDescent="0.25">
      <c r="A132" t="str">
        <v>Grab</v>
      </c>
      <c r="B132" t="str">
        <v>SSFLAT_MCSN06_20260319_</v>
      </c>
    </row>
    <row r="133" spans="1:2" x14ac:dyDescent="0.25">
      <c r="A133" t="str">
        <v>Grab</v>
      </c>
      <c r="B133" t="str">
        <v>SSFLAT_MCSN06_20260319_</v>
      </c>
    </row>
    <row r="134" spans="1:2" x14ac:dyDescent="0.25">
      <c r="A134" t="str">
        <v>Grab</v>
      </c>
      <c r="B134" t="str">
        <v>SSFLAT_MCSN06_20260319_</v>
      </c>
    </row>
    <row r="135" spans="1:2" x14ac:dyDescent="0.25">
      <c r="A135" t="str">
        <v>Grab</v>
      </c>
      <c r="B135" t="str">
        <v>SSFLAT_MCSN06_20260319_</v>
      </c>
    </row>
    <row r="136" spans="1:2" x14ac:dyDescent="0.25">
      <c r="A136" t="str">
        <v>Grab</v>
      </c>
      <c r="B136" t="str">
        <v>SSFLAT_MCSN06_20260319_</v>
      </c>
    </row>
    <row r="137" spans="1:2" x14ac:dyDescent="0.25">
      <c r="A137" t="str">
        <v>Grab</v>
      </c>
      <c r="B137" t="str">
        <v>SSFLAT_MCSN06_20260319_</v>
      </c>
    </row>
    <row r="138" spans="1:2" x14ac:dyDescent="0.25">
      <c r="A138" t="str">
        <v>Grab</v>
      </c>
      <c r="B138" t="str">
        <v>SSFLAT_MCSN06_20260319_</v>
      </c>
    </row>
    <row r="139" spans="1:2" x14ac:dyDescent="0.25">
      <c r="A139" t="str">
        <v>Grab</v>
      </c>
      <c r="B139" t="str">
        <v>SSFLAT_MCSN06_20260319_</v>
      </c>
    </row>
    <row r="140" spans="1:2" x14ac:dyDescent="0.25">
      <c r="A140" t="str">
        <v>Grab</v>
      </c>
      <c r="B140" t="str">
        <v>SSFLAT_MCSN06_20260319_</v>
      </c>
    </row>
    <row r="141" spans="1:2" x14ac:dyDescent="0.25">
      <c r="A141" t="str">
        <v>Grab</v>
      </c>
      <c r="B141" t="str">
        <v>SSFLAT_MCSN06_20260319_</v>
      </c>
    </row>
    <row r="142" spans="1:2" x14ac:dyDescent="0.25">
      <c r="A142" t="str">
        <v>Grab</v>
      </c>
      <c r="B142" t="str">
        <v>SSFLAT_MCSN06_20260319_</v>
      </c>
    </row>
    <row r="143" spans="1:2" x14ac:dyDescent="0.25">
      <c r="A143" t="str">
        <v>Grab</v>
      </c>
      <c r="B143" t="str">
        <v>SSFLAT_MCSN06_20260319_</v>
      </c>
    </row>
    <row r="144" spans="1:2" x14ac:dyDescent="0.25">
      <c r="A144" t="str">
        <v>Grab</v>
      </c>
      <c r="B144" t="str">
        <v>SSFLAT_MCSN06_20260319_</v>
      </c>
    </row>
    <row r="145" spans="1:2" x14ac:dyDescent="0.25">
      <c r="A145" t="str">
        <v>Grab</v>
      </c>
      <c r="B145" t="str">
        <v>SSFLAT_MCSN06_20260319_</v>
      </c>
    </row>
    <row r="146" spans="1:2" x14ac:dyDescent="0.25">
      <c r="A146" t="str">
        <v>Grab</v>
      </c>
      <c r="B146" t="str">
        <v>SSFLAT_MCSN07_20260319_</v>
      </c>
    </row>
    <row r="147" spans="1:2" x14ac:dyDescent="0.25">
      <c r="A147" t="str">
        <v>Grab</v>
      </c>
      <c r="B147" t="str">
        <v>SSFLAT_MCSN07_20260319_</v>
      </c>
    </row>
    <row r="148" spans="1:2" x14ac:dyDescent="0.25">
      <c r="A148" t="str">
        <v>Grab</v>
      </c>
      <c r="B148" t="str">
        <v>SSFLAT_MCSN07_20260319_</v>
      </c>
    </row>
    <row r="149" spans="1:2" x14ac:dyDescent="0.25">
      <c r="A149" t="str">
        <v>Grab</v>
      </c>
      <c r="B149" t="str">
        <v>SSFLAT_MCSN07_20260319_</v>
      </c>
    </row>
    <row r="150" spans="1:2" x14ac:dyDescent="0.25">
      <c r="A150" t="str">
        <v>Grab</v>
      </c>
      <c r="B150" t="str">
        <v>SSFLAT_MCSN07_20260319_</v>
      </c>
    </row>
    <row r="151" spans="1:2" x14ac:dyDescent="0.25">
      <c r="A151" t="str">
        <v>Grab</v>
      </c>
      <c r="B151" t="str">
        <v>SSFLAT_MCSN07_20260319_</v>
      </c>
    </row>
    <row r="152" spans="1:2" x14ac:dyDescent="0.25">
      <c r="A152" t="str">
        <v>Grab</v>
      </c>
      <c r="B152" t="str">
        <v>SSFLAT_MCSN07_20260319_</v>
      </c>
    </row>
    <row r="153" spans="1:2" x14ac:dyDescent="0.25">
      <c r="A153" t="str">
        <v>Grab</v>
      </c>
      <c r="B153" t="str">
        <v>SSFLAT_MCSN07_20260319_</v>
      </c>
    </row>
    <row r="154" spans="1:2" x14ac:dyDescent="0.25">
      <c r="A154" t="str">
        <v>Grab</v>
      </c>
      <c r="B154" t="str">
        <v>SSFLAT_MCSN07_20260319_</v>
      </c>
    </row>
    <row r="155" spans="1:2" x14ac:dyDescent="0.25">
      <c r="A155" t="str">
        <v>Grab</v>
      </c>
      <c r="B155" t="str">
        <v>SSFLAT_MCSN07_20260319_</v>
      </c>
    </row>
    <row r="156" spans="1:2" x14ac:dyDescent="0.25">
      <c r="A156" t="str">
        <v>Grab</v>
      </c>
      <c r="B156" t="str">
        <v>SSFLAT_MCSN07_20260319_</v>
      </c>
    </row>
    <row r="157" spans="1:2" x14ac:dyDescent="0.25">
      <c r="A157" t="str">
        <v>Grab</v>
      </c>
      <c r="B157" t="str">
        <v>SSFLAT_MCSN07_20260319_</v>
      </c>
    </row>
    <row r="158" spans="1:2" x14ac:dyDescent="0.25">
      <c r="A158" t="str">
        <v>Grab</v>
      </c>
      <c r="B158" t="str">
        <v>SSFLAT_MCSN07_20260319_</v>
      </c>
    </row>
    <row r="159" spans="1:2" x14ac:dyDescent="0.25">
      <c r="A159" t="str">
        <v>Grab</v>
      </c>
      <c r="B159" t="str">
        <v>SSFLAT_MCSN07_20260319_</v>
      </c>
    </row>
    <row r="160" spans="1:2" x14ac:dyDescent="0.25">
      <c r="A160" t="str">
        <v>Grab</v>
      </c>
      <c r="B160" t="str">
        <v>SSFLAT_MCSN07_20260319_</v>
      </c>
    </row>
    <row r="161" spans="1:2" x14ac:dyDescent="0.25">
      <c r="A161" t="str">
        <v>Grab</v>
      </c>
      <c r="B161" t="str">
        <v>SSFLAT_MCSN07_20260319_</v>
      </c>
    </row>
    <row r="162" spans="1:2" x14ac:dyDescent="0.25">
      <c r="A162" t="str">
        <v>Grab</v>
      </c>
      <c r="B162" t="str">
        <v>SSFLAT_MCSN07_20260319_</v>
      </c>
    </row>
    <row r="163" spans="1:2" x14ac:dyDescent="0.25">
      <c r="A163" t="str">
        <v>Grab</v>
      </c>
      <c r="B163" t="str">
        <v>SSFLAT_MCSN07_20260319_</v>
      </c>
    </row>
    <row r="164" spans="1:2" x14ac:dyDescent="0.25">
      <c r="A164" t="str">
        <v>Grab</v>
      </c>
      <c r="B164" t="str">
        <v>SSFLAT_MCSN07_20260319_</v>
      </c>
    </row>
    <row r="165" spans="1:2" x14ac:dyDescent="0.25">
      <c r="A165" t="str">
        <v>Grab</v>
      </c>
      <c r="B165" t="str">
        <v>SSFLAT_MCSN07_20260319_</v>
      </c>
    </row>
    <row r="166" spans="1:2" x14ac:dyDescent="0.25">
      <c r="A166" t="str">
        <v>Grab</v>
      </c>
      <c r="B166" t="str">
        <v>SSFLAT_MCSN07_20260319_</v>
      </c>
    </row>
    <row r="167" spans="1:2" x14ac:dyDescent="0.25">
      <c r="A167" t="str">
        <v>Grab</v>
      </c>
      <c r="B167" t="str">
        <v>SSFLAT_MCSN07_20260319_</v>
      </c>
    </row>
    <row r="168" spans="1:2" x14ac:dyDescent="0.25">
      <c r="A168" t="str">
        <v>Grab</v>
      </c>
      <c r="B168" t="str">
        <v>SSFLAT_MCSN07_20260319_</v>
      </c>
    </row>
    <row r="169" spans="1:2" x14ac:dyDescent="0.25">
      <c r="A169" t="str">
        <v>Grab</v>
      </c>
      <c r="B169" t="str">
        <v>SSFLAT_MCSN07_20260319_</v>
      </c>
    </row>
    <row r="170" spans="1:2" x14ac:dyDescent="0.25">
      <c r="A170" t="str">
        <v>Grab</v>
      </c>
      <c r="B170" t="str">
        <v>SSFLAT_MCSN08_20260319_</v>
      </c>
    </row>
    <row r="171" spans="1:2" x14ac:dyDescent="0.25">
      <c r="A171" t="str">
        <v>Grab</v>
      </c>
      <c r="B171" t="str">
        <v>SSFLAT_MCSN08_20260319_</v>
      </c>
    </row>
    <row r="172" spans="1:2" x14ac:dyDescent="0.25">
      <c r="A172" t="str">
        <v>Grab</v>
      </c>
      <c r="B172" t="str">
        <v>SSFLAT_MCSN08_20260319_</v>
      </c>
    </row>
    <row r="173" spans="1:2" x14ac:dyDescent="0.25">
      <c r="A173" t="str">
        <v>Grab</v>
      </c>
      <c r="B173" t="str">
        <v>SSFLAT_MCSN08_20260319_</v>
      </c>
    </row>
    <row r="174" spans="1:2" x14ac:dyDescent="0.25">
      <c r="A174" t="str">
        <v>Grab</v>
      </c>
      <c r="B174" t="str">
        <v>SSFLAT_MCSN08_20260319_</v>
      </c>
    </row>
    <row r="175" spans="1:2" x14ac:dyDescent="0.25">
      <c r="A175" t="str">
        <v>Grab</v>
      </c>
      <c r="B175" t="str">
        <v>SSFLAT_MCSN08_20260319_</v>
      </c>
    </row>
    <row r="176" spans="1:2" x14ac:dyDescent="0.25">
      <c r="A176" t="str">
        <v>Grab</v>
      </c>
      <c r="B176" t="str">
        <v>SSFLAT_MCSN08_20260319_</v>
      </c>
    </row>
    <row r="177" spans="1:2" x14ac:dyDescent="0.25">
      <c r="A177" t="str">
        <v>Grab</v>
      </c>
      <c r="B177" t="str">
        <v>SSFLAT_MCSN08_20260319_</v>
      </c>
    </row>
    <row r="178" spans="1:2" x14ac:dyDescent="0.25">
      <c r="A178" t="str">
        <v>Grab</v>
      </c>
      <c r="B178" t="str">
        <v>SSFLAT_MCSN08_20260319_</v>
      </c>
    </row>
    <row r="179" spans="1:2" x14ac:dyDescent="0.25">
      <c r="A179" t="str">
        <v>Grab</v>
      </c>
      <c r="B179" t="str">
        <v>SSFLAT_MCSN08_20260319_</v>
      </c>
    </row>
    <row r="180" spans="1:2" x14ac:dyDescent="0.25">
      <c r="A180" t="str">
        <v>Grab</v>
      </c>
      <c r="B180" t="str">
        <v>SSFLAT_MCSN08_20260319_</v>
      </c>
    </row>
    <row r="181" spans="1:2" x14ac:dyDescent="0.25">
      <c r="A181" t="str">
        <v>Grab</v>
      </c>
      <c r="B181" t="str">
        <v>SSFLAT_MCSN08_20260319_</v>
      </c>
    </row>
    <row r="182" spans="1:2" x14ac:dyDescent="0.25">
      <c r="A182" t="str">
        <v>Grab</v>
      </c>
      <c r="B182" t="str">
        <v>SSFLAT_MCSN08_20260319_</v>
      </c>
    </row>
    <row r="183" spans="1:2" x14ac:dyDescent="0.25">
      <c r="A183" t="str">
        <v>Grab</v>
      </c>
      <c r="B183" t="str">
        <v>SSFLAT_MCSN08_20260319_</v>
      </c>
    </row>
    <row r="184" spans="1:2" x14ac:dyDescent="0.25">
      <c r="A184" t="str">
        <v>Grab</v>
      </c>
      <c r="B184" t="str">
        <v>SSFLAT_MCSN08_20260319_</v>
      </c>
    </row>
    <row r="185" spans="1:2" x14ac:dyDescent="0.25">
      <c r="A185" t="str">
        <v>Grab</v>
      </c>
      <c r="B185" t="str">
        <v>SSFLAT_MCSN08_20260319_</v>
      </c>
    </row>
    <row r="186" spans="1:2" x14ac:dyDescent="0.25">
      <c r="A186" t="str">
        <v>Grab</v>
      </c>
      <c r="B186" t="str">
        <v>SSFLAT_MCSN08_20260319_</v>
      </c>
    </row>
    <row r="187" spans="1:2" x14ac:dyDescent="0.25">
      <c r="A187" t="str">
        <v>Grab</v>
      </c>
      <c r="B187" t="str">
        <v>SSFLAT_MCSN08_20260319_</v>
      </c>
    </row>
    <row r="188" spans="1:2" x14ac:dyDescent="0.25">
      <c r="A188" t="str">
        <v>Grab</v>
      </c>
      <c r="B188" t="str">
        <v>SSFLAT_MCSN08_20260319_</v>
      </c>
    </row>
    <row r="189" spans="1:2" x14ac:dyDescent="0.25">
      <c r="A189" t="str">
        <v>Grab</v>
      </c>
      <c r="B189" t="str">
        <v>SSFLAT_MCSN08_20260319_</v>
      </c>
    </row>
    <row r="190" spans="1:2" x14ac:dyDescent="0.25">
      <c r="A190" t="str">
        <v>Grab</v>
      </c>
      <c r="B190" t="str">
        <v>SSFLAT_MCSN08_20260319_</v>
      </c>
    </row>
    <row r="191" spans="1:2" x14ac:dyDescent="0.25">
      <c r="A191" t="str">
        <v>Grab</v>
      </c>
      <c r="B191" t="str">
        <v>SSFLAT_MCSN08_20260319_</v>
      </c>
    </row>
    <row r="192" spans="1:2" x14ac:dyDescent="0.25">
      <c r="A192" t="str">
        <v>Grab</v>
      </c>
      <c r="B192" t="str">
        <v>SSFLAT_MCSN08_20260319_</v>
      </c>
    </row>
    <row r="193" spans="1:2" x14ac:dyDescent="0.25">
      <c r="A193" t="str">
        <v>Grab</v>
      </c>
      <c r="B193" t="str">
        <v>SSFLAT_MCSN08_20260319_</v>
      </c>
    </row>
    <row r="194" spans="1:2" x14ac:dyDescent="0.25">
      <c r="A194" t="str">
        <v>Grab</v>
      </c>
      <c r="B194" t="str">
        <v>SSFLAT_MCSN09_20260319_</v>
      </c>
    </row>
    <row r="195" spans="1:2" x14ac:dyDescent="0.25">
      <c r="A195" t="str">
        <v>Grab</v>
      </c>
      <c r="B195" t="str">
        <v>SSFLAT_MCSN09_20260319_</v>
      </c>
    </row>
    <row r="196" spans="1:2" x14ac:dyDescent="0.25">
      <c r="A196" t="str">
        <v>Grab</v>
      </c>
      <c r="B196" t="str">
        <v>SSFLAT_MCSN09_20260319_</v>
      </c>
    </row>
    <row r="197" spans="1:2" x14ac:dyDescent="0.25">
      <c r="A197" t="str">
        <v>Grab</v>
      </c>
      <c r="B197" t="str">
        <v>SSFLAT_MCSN09_20260319_</v>
      </c>
    </row>
    <row r="198" spans="1:2" x14ac:dyDescent="0.25">
      <c r="A198" t="str">
        <v>Grab</v>
      </c>
      <c r="B198" t="str">
        <v>SSFLAT_MCSN09_20260319_</v>
      </c>
    </row>
    <row r="199" spans="1:2" x14ac:dyDescent="0.25">
      <c r="A199" t="str">
        <v>Grab</v>
      </c>
      <c r="B199" t="str">
        <v>SSFLAT_MCSN09_20260319_</v>
      </c>
    </row>
    <row r="200" spans="1:2" x14ac:dyDescent="0.25">
      <c r="A200" t="str">
        <v>Grab</v>
      </c>
      <c r="B200" t="str">
        <v>SSFLAT_MCSN09_20260319_</v>
      </c>
    </row>
    <row r="201" spans="1:2" x14ac:dyDescent="0.25">
      <c r="A201" t="str">
        <v>Grab</v>
      </c>
      <c r="B201" t="str">
        <v>SSFLAT_MCSN09_20260319_</v>
      </c>
    </row>
    <row r="202" spans="1:2" x14ac:dyDescent="0.25">
      <c r="A202" t="str">
        <v>Grab</v>
      </c>
      <c r="B202" t="str">
        <v>SSFLAT_MCSN09_20260319_</v>
      </c>
    </row>
    <row r="203" spans="1:2" x14ac:dyDescent="0.25">
      <c r="A203" t="str">
        <v>Grab</v>
      </c>
      <c r="B203" t="str">
        <v>SSFLAT_MCSN09_20260319_</v>
      </c>
    </row>
    <row r="204" spans="1:2" x14ac:dyDescent="0.25">
      <c r="A204" t="str">
        <v>Grab</v>
      </c>
      <c r="B204" t="str">
        <v>SSFLAT_MCSN09_20260319_</v>
      </c>
    </row>
    <row r="205" spans="1:2" x14ac:dyDescent="0.25">
      <c r="A205" t="str">
        <v>Grab</v>
      </c>
      <c r="B205" t="str">
        <v>SSFLAT_MCSN09_20260319_</v>
      </c>
    </row>
    <row r="206" spans="1:2" x14ac:dyDescent="0.25">
      <c r="A206" t="str">
        <v>Grab</v>
      </c>
      <c r="B206" t="str">
        <v>SSFLAT_MCSN09_20260319_</v>
      </c>
    </row>
    <row r="207" spans="1:2" x14ac:dyDescent="0.25">
      <c r="A207" t="str">
        <v>Grab</v>
      </c>
      <c r="B207" t="str">
        <v>SSFLAT_MCSN09_20260319_</v>
      </c>
    </row>
    <row r="208" spans="1:2" x14ac:dyDescent="0.25">
      <c r="A208" t="str">
        <v>Grab</v>
      </c>
      <c r="B208" t="str">
        <v>SSFLAT_MCSN09_20260319_</v>
      </c>
    </row>
    <row r="209" spans="1:2" x14ac:dyDescent="0.25">
      <c r="A209" t="str">
        <v>Grab</v>
      </c>
      <c r="B209" t="str">
        <v>SSFLAT_MCSN09_20260319_</v>
      </c>
    </row>
    <row r="210" spans="1:2" x14ac:dyDescent="0.25">
      <c r="A210" t="str">
        <v>Grab</v>
      </c>
      <c r="B210" t="str">
        <v>SSFLAT_MCSN09_20260319_</v>
      </c>
    </row>
    <row r="211" spans="1:2" x14ac:dyDescent="0.25">
      <c r="A211" t="str">
        <v>Grab</v>
      </c>
      <c r="B211" t="str">
        <v>SSFLAT_MCSN09_20260319_</v>
      </c>
    </row>
    <row r="212" spans="1:2" x14ac:dyDescent="0.25">
      <c r="A212" t="str">
        <v>Grab</v>
      </c>
      <c r="B212" t="str">
        <v>SSFLAT_MCSN09_20260319_</v>
      </c>
    </row>
    <row r="213" spans="1:2" x14ac:dyDescent="0.25">
      <c r="A213" t="str">
        <v>Grab</v>
      </c>
      <c r="B213" t="str">
        <v>SSFLAT_MCSN09_20260319_</v>
      </c>
    </row>
    <row r="214" spans="1:2" x14ac:dyDescent="0.25">
      <c r="A214" t="str">
        <v>Grab</v>
      </c>
      <c r="B214" t="str">
        <v>SSFLAT_MCSN09_20260319_</v>
      </c>
    </row>
    <row r="215" spans="1:2" x14ac:dyDescent="0.25">
      <c r="A215" t="str">
        <v>Grab</v>
      </c>
      <c r="B215" t="str">
        <v>SSFLAT_MCSN09_20260319_</v>
      </c>
    </row>
    <row r="216" spans="1:2" x14ac:dyDescent="0.25">
      <c r="A216" t="str">
        <v>Grab</v>
      </c>
      <c r="B216" t="str">
        <v>SSFLAT_MCSN09_20260319_</v>
      </c>
    </row>
    <row r="217" spans="1:2" x14ac:dyDescent="0.25">
      <c r="A217" t="str">
        <v>Grab</v>
      </c>
      <c r="B217" t="str">
        <v>SSFLAT_MCSN09_20260319_</v>
      </c>
    </row>
    <row r="218" spans="1:2" x14ac:dyDescent="0.25">
      <c r="A218" t="str">
        <v>Grab</v>
      </c>
      <c r="B218" t="str">
        <v>SSFLAT_MCSN10_20260319_</v>
      </c>
    </row>
    <row r="219" spans="1:2" x14ac:dyDescent="0.25">
      <c r="A219" t="str">
        <v>Grab</v>
      </c>
      <c r="B219" t="str">
        <v>SSFLAT_MCSN10_20260319_</v>
      </c>
    </row>
    <row r="220" spans="1:2" x14ac:dyDescent="0.25">
      <c r="A220" t="str">
        <v>Grab</v>
      </c>
      <c r="B220" t="str">
        <v>SSFLAT_MCSN10_20260319_</v>
      </c>
    </row>
    <row r="221" spans="1:2" x14ac:dyDescent="0.25">
      <c r="A221" t="str">
        <v>Grab</v>
      </c>
      <c r="B221" t="str">
        <v>SSFLAT_MCSN10_20260319_</v>
      </c>
    </row>
    <row r="222" spans="1:2" x14ac:dyDescent="0.25">
      <c r="A222" t="str">
        <v>Grab</v>
      </c>
      <c r="B222" t="str">
        <v>SSFLAT_MCSN10_20260319_</v>
      </c>
    </row>
    <row r="223" spans="1:2" x14ac:dyDescent="0.25">
      <c r="A223" t="str">
        <v>Grab</v>
      </c>
      <c r="B223" t="str">
        <v>SSFLAT_MCSN10_20260319_</v>
      </c>
    </row>
    <row r="224" spans="1:2" x14ac:dyDescent="0.25">
      <c r="A224" t="str">
        <v>Grab</v>
      </c>
      <c r="B224" t="str">
        <v>SSFLAT_MCSN10_20260319_</v>
      </c>
    </row>
    <row r="225" spans="1:2" x14ac:dyDescent="0.25">
      <c r="A225" t="str">
        <v>Grab</v>
      </c>
      <c r="B225" t="str">
        <v>SSFLAT_MCSN10_20260319_</v>
      </c>
    </row>
    <row r="226" spans="1:2" x14ac:dyDescent="0.25">
      <c r="A226" t="str">
        <v>Grab</v>
      </c>
      <c r="B226" t="str">
        <v>SSFLAT_MCSN10_20260319_</v>
      </c>
    </row>
    <row r="227" spans="1:2" x14ac:dyDescent="0.25">
      <c r="A227" t="str">
        <v>Grab</v>
      </c>
      <c r="B227" t="str">
        <v>SSFLAT_MCSN10_20260319_</v>
      </c>
    </row>
    <row r="228" spans="1:2" x14ac:dyDescent="0.25">
      <c r="A228" t="str">
        <v>Grab</v>
      </c>
      <c r="B228" t="str">
        <v>SSFLAT_MCSN10_20260319_</v>
      </c>
    </row>
    <row r="229" spans="1:2" x14ac:dyDescent="0.25">
      <c r="A229" t="str">
        <v>Grab</v>
      </c>
      <c r="B229" t="str">
        <v>SSFLAT_MCSN10_20260319_</v>
      </c>
    </row>
    <row r="230" spans="1:2" x14ac:dyDescent="0.25">
      <c r="A230" t="str">
        <v>Grab</v>
      </c>
      <c r="B230" t="str">
        <v>SSFLAT_MCSN10_20260319_</v>
      </c>
    </row>
    <row r="231" spans="1:2" x14ac:dyDescent="0.25">
      <c r="A231" t="str">
        <v>Grab</v>
      </c>
      <c r="B231" t="str">
        <v>SSFLAT_MCSN10_20260319_</v>
      </c>
    </row>
    <row r="232" spans="1:2" x14ac:dyDescent="0.25">
      <c r="A232" t="str">
        <v>Grab</v>
      </c>
      <c r="B232" t="str">
        <v>SSFLAT_MCSN10_20260319_</v>
      </c>
    </row>
    <row r="233" spans="1:2" x14ac:dyDescent="0.25">
      <c r="A233" t="str">
        <v>Grab</v>
      </c>
      <c r="B233" t="str">
        <v>SSFLAT_MCSN10_20260319_</v>
      </c>
    </row>
    <row r="234" spans="1:2" x14ac:dyDescent="0.25">
      <c r="A234" t="str">
        <v>Grab</v>
      </c>
      <c r="B234" t="str">
        <v>SSFLAT_MCSN10_20260319_</v>
      </c>
    </row>
    <row r="235" spans="1:2" x14ac:dyDescent="0.25">
      <c r="A235" t="str">
        <v>Grab</v>
      </c>
      <c r="B235" t="str">
        <v>SSFLAT_MCSN10_20260319_</v>
      </c>
    </row>
    <row r="236" spans="1:2" x14ac:dyDescent="0.25">
      <c r="A236" t="str">
        <v>Grab</v>
      </c>
      <c r="B236" t="str">
        <v>SSFLAT_MCSN10_20260319_</v>
      </c>
    </row>
    <row r="237" spans="1:2" x14ac:dyDescent="0.25">
      <c r="A237" t="str">
        <v>Grab</v>
      </c>
      <c r="B237" t="str">
        <v>SSFLAT_MCSN10_20260319_</v>
      </c>
    </row>
    <row r="238" spans="1:2" x14ac:dyDescent="0.25">
      <c r="A238" t="str">
        <v>Grab</v>
      </c>
      <c r="B238" t="str">
        <v>SSFLAT_MCSN10_20260319_</v>
      </c>
    </row>
    <row r="239" spans="1:2" x14ac:dyDescent="0.25">
      <c r="A239" t="str">
        <v>Grab</v>
      </c>
      <c r="B239" t="str">
        <v>SSFLAT_MCSN10_20260319_</v>
      </c>
    </row>
    <row r="240" spans="1:2" x14ac:dyDescent="0.25">
      <c r="A240" t="str">
        <v>Grab</v>
      </c>
      <c r="B240" t="str">
        <v>SSFLAT_MCSN10_20260319_</v>
      </c>
    </row>
  </sheetData>
  <conditionalFormatting sqref="A1:A283">
    <cfRule type="cellIs" dxfId="13" priority="1" operator="equal">
      <formula>"Grab"</formula>
    </cfRule>
    <cfRule type="cellIs" dxfId="12" priority="2" operator="equal">
      <formula>"ISCO"</formula>
    </cfRule>
    <cfRule type="cellIs" dxfId="11" priority="3" operator="equal">
      <formula>"Excess"</formula>
    </cfRule>
    <cfRule type="cellIs" dxfId="10" priority="4" operator="equal">
      <formula>"CCAL"</formula>
    </cfRule>
    <cfRule type="cellIs" dxfId="9" priority="5" operator="equal">
      <formula>"Levoglucosan"</formula>
    </cfRule>
    <cfRule type="cellIs" dxfId="8" priority="6" operator="equal">
      <formula>"Aqualog"</formula>
    </cfRule>
    <cfRule type="cellIs" dxfId="7" priority="7" operator="equal">
      <formula>"Shimadzu"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BE4EE-0A7A-4560-B9C6-822B0B7C8D4A}">
  <sheetPr>
    <pageSetUpPr fitToPage="1"/>
  </sheetPr>
  <dimension ref="A1:B1196"/>
  <sheetViews>
    <sheetView zoomScaleNormal="100" workbookViewId="0">
      <selection activeCell="E8" sqref="E8"/>
    </sheetView>
  </sheetViews>
  <sheetFormatPr defaultRowHeight="15" x14ac:dyDescent="0.25"/>
  <cols>
    <col min="1" max="1" width="13.140625" customWidth="1"/>
    <col min="2" max="2" width="32.5703125" customWidth="1"/>
  </cols>
  <sheetData>
    <row r="1" spans="1:2" x14ac:dyDescent="0.25">
      <c r="A1" s="39" t="s">
        <v>50</v>
      </c>
      <c r="B1" s="39" t="s">
        <v>51</v>
      </c>
    </row>
    <row r="2" spans="1:2" x14ac:dyDescent="0.25">
      <c r="A2" t="str" cm="1">
        <f t="array" ref="A2:B1196">_xlfn._xlws.SORT(
    _xlfn.LET(
        _xlpm.data, 'Label IDs'!N2:R321,
        _xlpm.headers, 'Label IDs'!N1:R1,
        _xlpm.values, IF('FILL ME'!B10 = "Bottle Number", 'Label IDs'!J2:J321, 'Label IDs'!K2:K321),
        _xlpm.nrows, ROWS(_xlpm.data),
        _xlpm.ncols, COLUMNS(_xlpm.data),
        _xlpm.rowidx, INT((_xlfn.SEQUENCE(_xlpm.nrows*_xlpm.ncols)-1)/_xlpm.ncols)+1,
        _xlpm.colidx, MOD(_xlfn.SEQUENCE(_xlpm.nrows*_xlpm.ncols)-1, _xlpm.ncols)+1,
        _xlpm.flag, INDEX(_xlpm.data, _xlpm.rowidx, _xlpm.colidx),
        _xlpm.val, INDEX(_xlpm.values, _xlpm.rowidx),
        _xlpm.hdr, INDEX(_xlpm.headers, _xlpm.colidx),
        _xlfn._xlws.FILTER(CHOOSE({1,2}, _xlpm.hdr, _xlpm.val), _xlpm.flag)
    ),
    1, 1
)</f>
        <v>Aqualog</v>
      </c>
      <c r="B2" t="str">
        <v>SSFLAT_MCSN01_20260319_</v>
      </c>
    </row>
    <row r="3" spans="1:2" x14ac:dyDescent="0.25">
      <c r="A3" t="str">
        <v>Aqualog</v>
      </c>
      <c r="B3" t="str">
        <v>SSFLAT_MCSN01_20260319_</v>
      </c>
    </row>
    <row r="4" spans="1:2" x14ac:dyDescent="0.25">
      <c r="A4" t="str">
        <v>Aqualog</v>
      </c>
      <c r="B4" t="str">
        <v>SSFLAT_MCSN01_20260319_</v>
      </c>
    </row>
    <row r="5" spans="1:2" x14ac:dyDescent="0.25">
      <c r="A5" t="str">
        <v>Aqualog</v>
      </c>
      <c r="B5" t="str">
        <v>SSFLAT_MCSN01_20260319_</v>
      </c>
    </row>
    <row r="6" spans="1:2" x14ac:dyDescent="0.25">
      <c r="A6" t="str">
        <v>Aqualog</v>
      </c>
      <c r="B6" t="str">
        <v>SSFLAT_MCSN01_20260319_</v>
      </c>
    </row>
    <row r="7" spans="1:2" x14ac:dyDescent="0.25">
      <c r="A7" t="str">
        <v>Aqualog</v>
      </c>
      <c r="B7" t="str">
        <v>SSFLAT_MCSN01_20260319_</v>
      </c>
    </row>
    <row r="8" spans="1:2" x14ac:dyDescent="0.25">
      <c r="A8" t="str">
        <v>Aqualog</v>
      </c>
      <c r="B8" t="str">
        <v>SSFLAT_MCSN01_20260319_</v>
      </c>
    </row>
    <row r="9" spans="1:2" x14ac:dyDescent="0.25">
      <c r="A9" t="str">
        <v>Aqualog</v>
      </c>
      <c r="B9" t="str">
        <v>SSFLAT_MCSN01_20260319_</v>
      </c>
    </row>
    <row r="10" spans="1:2" x14ac:dyDescent="0.25">
      <c r="A10" t="str">
        <v>Aqualog</v>
      </c>
      <c r="B10" t="str">
        <v>SSFLAT_MCSN01_20260319_</v>
      </c>
    </row>
    <row r="11" spans="1:2" x14ac:dyDescent="0.25">
      <c r="A11" t="str">
        <v>Aqualog</v>
      </c>
      <c r="B11" t="str">
        <v>SSFLAT_MCSN01_20260319_</v>
      </c>
    </row>
    <row r="12" spans="1:2" x14ac:dyDescent="0.25">
      <c r="A12" t="str">
        <v>Aqualog</v>
      </c>
      <c r="B12" t="str">
        <v>SSFLAT_MCSN01_20260319_</v>
      </c>
    </row>
    <row r="13" spans="1:2" x14ac:dyDescent="0.25">
      <c r="A13" t="str">
        <v>Aqualog</v>
      </c>
      <c r="B13" t="str">
        <v>SSFLAT_MCSN01_20260319_</v>
      </c>
    </row>
    <row r="14" spans="1:2" x14ac:dyDescent="0.25">
      <c r="A14" t="str">
        <v>Aqualog</v>
      </c>
      <c r="B14" t="str">
        <v>SSFLAT_MCSN01_20260319_</v>
      </c>
    </row>
    <row r="15" spans="1:2" x14ac:dyDescent="0.25">
      <c r="A15" t="str">
        <v>Aqualog</v>
      </c>
      <c r="B15" t="str">
        <v>SSFLAT_MCSN01_20260319_</v>
      </c>
    </row>
    <row r="16" spans="1:2" x14ac:dyDescent="0.25">
      <c r="A16" t="str">
        <v>Aqualog</v>
      </c>
      <c r="B16" t="str">
        <v>SSFLAT_MCSN01_20260319_</v>
      </c>
    </row>
    <row r="17" spans="1:2" x14ac:dyDescent="0.25">
      <c r="A17" t="str">
        <v>Aqualog</v>
      </c>
      <c r="B17" t="str">
        <v>SSFLAT_MCSN01_20260319_</v>
      </c>
    </row>
    <row r="18" spans="1:2" x14ac:dyDescent="0.25">
      <c r="A18" t="str">
        <v>Aqualog</v>
      </c>
      <c r="B18" t="str">
        <v>SSFLAT_MCSN01_20260319_</v>
      </c>
    </row>
    <row r="19" spans="1:2" x14ac:dyDescent="0.25">
      <c r="A19" t="str">
        <v>Aqualog</v>
      </c>
      <c r="B19" t="str">
        <v>SSFLAT_MCSN01_20260319_</v>
      </c>
    </row>
    <row r="20" spans="1:2" x14ac:dyDescent="0.25">
      <c r="A20" t="str">
        <v>Aqualog</v>
      </c>
      <c r="B20" t="str">
        <v>SSFLAT_MCSN01_20260319_</v>
      </c>
    </row>
    <row r="21" spans="1:2" x14ac:dyDescent="0.25">
      <c r="A21" t="str">
        <v>Aqualog</v>
      </c>
      <c r="B21" t="str">
        <v>SSFLAT_MCSN01_20260319_</v>
      </c>
    </row>
    <row r="22" spans="1:2" x14ac:dyDescent="0.25">
      <c r="A22" t="str">
        <v>Aqualog</v>
      </c>
      <c r="B22" t="str">
        <v>SSFLAT_MCSN01_20260319_</v>
      </c>
    </row>
    <row r="23" spans="1:2" x14ac:dyDescent="0.25">
      <c r="A23" t="str">
        <v>Aqualog</v>
      </c>
      <c r="B23" t="str">
        <v>SSFLAT_MCSN01_20260319_</v>
      </c>
    </row>
    <row r="24" spans="1:2" x14ac:dyDescent="0.25">
      <c r="A24" t="str">
        <v>Aqualog</v>
      </c>
      <c r="B24" t="str">
        <v>SSFLAT_MCSN01_20260319_</v>
      </c>
    </row>
    <row r="25" spans="1:2" x14ac:dyDescent="0.25">
      <c r="A25" t="str">
        <v>Aqualog</v>
      </c>
      <c r="B25" t="str">
        <v>SSFLAT_MCSN01_20260319_</v>
      </c>
    </row>
    <row r="26" spans="1:2" x14ac:dyDescent="0.25">
      <c r="A26" t="str">
        <v>Aqualog</v>
      </c>
      <c r="B26" t="str">
        <v>SSFLAT_MCSN02_20260319_</v>
      </c>
    </row>
    <row r="27" spans="1:2" x14ac:dyDescent="0.25">
      <c r="A27" t="str">
        <v>Aqualog</v>
      </c>
      <c r="B27" t="str">
        <v>SSFLAT_MCSN02_20260319_</v>
      </c>
    </row>
    <row r="28" spans="1:2" x14ac:dyDescent="0.25">
      <c r="A28" t="str">
        <v>Aqualog</v>
      </c>
      <c r="B28" t="str">
        <v>SSFLAT_MCSN02_20260319_</v>
      </c>
    </row>
    <row r="29" spans="1:2" x14ac:dyDescent="0.25">
      <c r="A29" t="str">
        <v>Aqualog</v>
      </c>
      <c r="B29" t="str">
        <v>SSFLAT_MCSN02_20260319_</v>
      </c>
    </row>
    <row r="30" spans="1:2" x14ac:dyDescent="0.25">
      <c r="A30" t="str">
        <v>Aqualog</v>
      </c>
      <c r="B30" t="str">
        <v>SSFLAT_MCSN02_20260319_</v>
      </c>
    </row>
    <row r="31" spans="1:2" x14ac:dyDescent="0.25">
      <c r="A31" t="str">
        <v>Aqualog</v>
      </c>
      <c r="B31" t="str">
        <v>SSFLAT_MCSN02_20260319_</v>
      </c>
    </row>
    <row r="32" spans="1:2" x14ac:dyDescent="0.25">
      <c r="A32" t="str">
        <v>Aqualog</v>
      </c>
      <c r="B32" t="str">
        <v>SSFLAT_MCSN02_20260319_</v>
      </c>
    </row>
    <row r="33" spans="1:2" x14ac:dyDescent="0.25">
      <c r="A33" t="str">
        <v>Aqualog</v>
      </c>
      <c r="B33" t="str">
        <v>SSFLAT_MCSN02_20260319_</v>
      </c>
    </row>
    <row r="34" spans="1:2" x14ac:dyDescent="0.25">
      <c r="A34" t="str">
        <v>Aqualog</v>
      </c>
      <c r="B34" t="str">
        <v>SSFLAT_MCSN02_20260319_</v>
      </c>
    </row>
    <row r="35" spans="1:2" x14ac:dyDescent="0.25">
      <c r="A35" t="str">
        <v>Aqualog</v>
      </c>
      <c r="B35" t="str">
        <v>SSFLAT_MCSN02_20260319_</v>
      </c>
    </row>
    <row r="36" spans="1:2" x14ac:dyDescent="0.25">
      <c r="A36" t="str">
        <v>Aqualog</v>
      </c>
      <c r="B36" t="str">
        <v>SSFLAT_MCSN02_20260319_</v>
      </c>
    </row>
    <row r="37" spans="1:2" x14ac:dyDescent="0.25">
      <c r="A37" t="str">
        <v>Aqualog</v>
      </c>
      <c r="B37" t="str">
        <v>SSFLAT_MCSN02_20260319_</v>
      </c>
    </row>
    <row r="38" spans="1:2" x14ac:dyDescent="0.25">
      <c r="A38" t="str">
        <v>Aqualog</v>
      </c>
      <c r="B38" t="str">
        <v>SSFLAT_MCSN02_20260319_</v>
      </c>
    </row>
    <row r="39" spans="1:2" x14ac:dyDescent="0.25">
      <c r="A39" t="str">
        <v>Aqualog</v>
      </c>
      <c r="B39" t="str">
        <v>SSFLAT_MCSN02_20260319_</v>
      </c>
    </row>
    <row r="40" spans="1:2" x14ac:dyDescent="0.25">
      <c r="A40" t="str">
        <v>Aqualog</v>
      </c>
      <c r="B40" t="str">
        <v>SSFLAT_MCSN02_20260319_</v>
      </c>
    </row>
    <row r="41" spans="1:2" x14ac:dyDescent="0.25">
      <c r="A41" t="str">
        <v>Aqualog</v>
      </c>
      <c r="B41" t="str">
        <v>SSFLAT_MCSN02_20260319_</v>
      </c>
    </row>
    <row r="42" spans="1:2" x14ac:dyDescent="0.25">
      <c r="A42" t="str">
        <v>Aqualog</v>
      </c>
      <c r="B42" t="str">
        <v>SSFLAT_MCSN02_20260319_</v>
      </c>
    </row>
    <row r="43" spans="1:2" x14ac:dyDescent="0.25">
      <c r="A43" t="str">
        <v>Aqualog</v>
      </c>
      <c r="B43" t="str">
        <v>SSFLAT_MCSN02_20260319_</v>
      </c>
    </row>
    <row r="44" spans="1:2" x14ac:dyDescent="0.25">
      <c r="A44" t="str">
        <v>Aqualog</v>
      </c>
      <c r="B44" t="str">
        <v>SSFLAT_MCSN02_20260319_</v>
      </c>
    </row>
    <row r="45" spans="1:2" x14ac:dyDescent="0.25">
      <c r="A45" t="str">
        <v>Aqualog</v>
      </c>
      <c r="B45" t="str">
        <v>SSFLAT_MCSN02_20260319_</v>
      </c>
    </row>
    <row r="46" spans="1:2" x14ac:dyDescent="0.25">
      <c r="A46" t="str">
        <v>Aqualog</v>
      </c>
      <c r="B46" t="str">
        <v>SSFLAT_MCSN02_20260319_</v>
      </c>
    </row>
    <row r="47" spans="1:2" x14ac:dyDescent="0.25">
      <c r="A47" t="str">
        <v>Aqualog</v>
      </c>
      <c r="B47" t="str">
        <v>SSFLAT_MCSN02_20260319_</v>
      </c>
    </row>
    <row r="48" spans="1:2" x14ac:dyDescent="0.25">
      <c r="A48" t="str">
        <v>Aqualog</v>
      </c>
      <c r="B48" t="str">
        <v>SSFLAT_MCSN02_20260319_</v>
      </c>
    </row>
    <row r="49" spans="1:2" x14ac:dyDescent="0.25">
      <c r="A49" t="str">
        <v>Aqualog</v>
      </c>
      <c r="B49" t="str">
        <v>SSFLAT_MCSN02_20260319_</v>
      </c>
    </row>
    <row r="50" spans="1:2" x14ac:dyDescent="0.25">
      <c r="A50" t="str">
        <v>Aqualog</v>
      </c>
      <c r="B50" t="str">
        <v>SSFLAT_MCSN03_20260319_</v>
      </c>
    </row>
    <row r="51" spans="1:2" x14ac:dyDescent="0.25">
      <c r="A51" t="str">
        <v>Aqualog</v>
      </c>
      <c r="B51" t="str">
        <v>SSFLAT_MCSN03_20260319_</v>
      </c>
    </row>
    <row r="52" spans="1:2" x14ac:dyDescent="0.25">
      <c r="A52" t="str">
        <v>Aqualog</v>
      </c>
      <c r="B52" t="str">
        <v>SSFLAT_MCSN03_20260319_</v>
      </c>
    </row>
    <row r="53" spans="1:2" x14ac:dyDescent="0.25">
      <c r="A53" t="str">
        <v>Aqualog</v>
      </c>
      <c r="B53" t="str">
        <v>SSFLAT_MCSN03_20260319_</v>
      </c>
    </row>
    <row r="54" spans="1:2" x14ac:dyDescent="0.25">
      <c r="A54" t="str">
        <v>Aqualog</v>
      </c>
      <c r="B54" t="str">
        <v>SSFLAT_MCSN03_20260319_</v>
      </c>
    </row>
    <row r="55" spans="1:2" x14ac:dyDescent="0.25">
      <c r="A55" t="str">
        <v>Aqualog</v>
      </c>
      <c r="B55" t="str">
        <v>SSFLAT_MCSN03_20260319_</v>
      </c>
    </row>
    <row r="56" spans="1:2" x14ac:dyDescent="0.25">
      <c r="A56" t="str">
        <v>Aqualog</v>
      </c>
      <c r="B56" t="str">
        <v>SSFLAT_MCSN03_20260319_</v>
      </c>
    </row>
    <row r="57" spans="1:2" x14ac:dyDescent="0.25">
      <c r="A57" t="str">
        <v>Aqualog</v>
      </c>
      <c r="B57" t="str">
        <v>SSFLAT_MCSN03_20260319_</v>
      </c>
    </row>
    <row r="58" spans="1:2" x14ac:dyDescent="0.25">
      <c r="A58" t="str">
        <v>Aqualog</v>
      </c>
      <c r="B58" t="str">
        <v>SSFLAT_MCSN03_20260319_</v>
      </c>
    </row>
    <row r="59" spans="1:2" x14ac:dyDescent="0.25">
      <c r="A59" t="str">
        <v>Aqualog</v>
      </c>
      <c r="B59" t="str">
        <v>SSFLAT_MCSN03_20260319_</v>
      </c>
    </row>
    <row r="60" spans="1:2" x14ac:dyDescent="0.25">
      <c r="A60" t="str">
        <v>Aqualog</v>
      </c>
      <c r="B60" t="str">
        <v>SSFLAT_MCSN03_20260319_</v>
      </c>
    </row>
    <row r="61" spans="1:2" x14ac:dyDescent="0.25">
      <c r="A61" t="str">
        <v>Aqualog</v>
      </c>
      <c r="B61" t="str">
        <v>SSFLAT_MCSN03_20260319_</v>
      </c>
    </row>
    <row r="62" spans="1:2" x14ac:dyDescent="0.25">
      <c r="A62" t="str">
        <v>Aqualog</v>
      </c>
      <c r="B62" t="str">
        <v>SSFLAT_MCSN03_20260319_</v>
      </c>
    </row>
    <row r="63" spans="1:2" x14ac:dyDescent="0.25">
      <c r="A63" t="str">
        <v>Aqualog</v>
      </c>
      <c r="B63" t="str">
        <v>SSFLAT_MCSN03_20260319_</v>
      </c>
    </row>
    <row r="64" spans="1:2" x14ac:dyDescent="0.25">
      <c r="A64" t="str">
        <v>Aqualog</v>
      </c>
      <c r="B64" t="str">
        <v>SSFLAT_MCSN03_20260319_</v>
      </c>
    </row>
    <row r="65" spans="1:2" x14ac:dyDescent="0.25">
      <c r="A65" t="str">
        <v>Aqualog</v>
      </c>
      <c r="B65" t="str">
        <v>SSFLAT_MCSN03_20260319_</v>
      </c>
    </row>
    <row r="66" spans="1:2" x14ac:dyDescent="0.25">
      <c r="A66" t="str">
        <v>Aqualog</v>
      </c>
      <c r="B66" t="str">
        <v>SSFLAT_MCSN03_20260319_</v>
      </c>
    </row>
    <row r="67" spans="1:2" x14ac:dyDescent="0.25">
      <c r="A67" t="str">
        <v>Aqualog</v>
      </c>
      <c r="B67" t="str">
        <v>SSFLAT_MCSN03_20260319_</v>
      </c>
    </row>
    <row r="68" spans="1:2" x14ac:dyDescent="0.25">
      <c r="A68" t="str">
        <v>Aqualog</v>
      </c>
      <c r="B68" t="str">
        <v>SSFLAT_MCSN03_20260319_</v>
      </c>
    </row>
    <row r="69" spans="1:2" x14ac:dyDescent="0.25">
      <c r="A69" t="str">
        <v>Aqualog</v>
      </c>
      <c r="B69" t="str">
        <v>SSFLAT_MCSN03_20260319_</v>
      </c>
    </row>
    <row r="70" spans="1:2" x14ac:dyDescent="0.25">
      <c r="A70" t="str">
        <v>Aqualog</v>
      </c>
      <c r="B70" t="str">
        <v>SSFLAT_MCSN03_20260319_</v>
      </c>
    </row>
    <row r="71" spans="1:2" x14ac:dyDescent="0.25">
      <c r="A71" t="str">
        <v>Aqualog</v>
      </c>
      <c r="B71" t="str">
        <v>SSFLAT_MCSN03_20260319_</v>
      </c>
    </row>
    <row r="72" spans="1:2" x14ac:dyDescent="0.25">
      <c r="A72" t="str">
        <v>Aqualog</v>
      </c>
      <c r="B72" t="str">
        <v>SSFLAT_MCSN03_20260319_</v>
      </c>
    </row>
    <row r="73" spans="1:2" x14ac:dyDescent="0.25">
      <c r="A73" t="str">
        <v>Aqualog</v>
      </c>
      <c r="B73" t="str">
        <v>SSFLAT_MCSN03_20260319_</v>
      </c>
    </row>
    <row r="74" spans="1:2" x14ac:dyDescent="0.25">
      <c r="A74" t="str">
        <v>Aqualog</v>
      </c>
      <c r="B74" t="str">
        <v>SSFLAT_MCSN04_20260319_</v>
      </c>
    </row>
    <row r="75" spans="1:2" x14ac:dyDescent="0.25">
      <c r="A75" t="str">
        <v>Aqualog</v>
      </c>
      <c r="B75" t="str">
        <v>SSFLAT_MCSN04_20260319_</v>
      </c>
    </row>
    <row r="76" spans="1:2" x14ac:dyDescent="0.25">
      <c r="A76" t="str">
        <v>Aqualog</v>
      </c>
      <c r="B76" t="str">
        <v>SSFLAT_MCSN04_20260319_</v>
      </c>
    </row>
    <row r="77" spans="1:2" x14ac:dyDescent="0.25">
      <c r="A77" t="str">
        <v>Aqualog</v>
      </c>
      <c r="B77" t="str">
        <v>SSFLAT_MCSN04_20260319_</v>
      </c>
    </row>
    <row r="78" spans="1:2" x14ac:dyDescent="0.25">
      <c r="A78" t="str">
        <v>Aqualog</v>
      </c>
      <c r="B78" t="str">
        <v>SSFLAT_MCSN04_20260319_</v>
      </c>
    </row>
    <row r="79" spans="1:2" x14ac:dyDescent="0.25">
      <c r="A79" t="str">
        <v>Aqualog</v>
      </c>
      <c r="B79" t="str">
        <v>SSFLAT_MCSN04_20260319_</v>
      </c>
    </row>
    <row r="80" spans="1:2" x14ac:dyDescent="0.25">
      <c r="A80" t="str">
        <v>Aqualog</v>
      </c>
      <c r="B80" t="str">
        <v>SSFLAT_MCSN04_20260319_</v>
      </c>
    </row>
    <row r="81" spans="1:2" x14ac:dyDescent="0.25">
      <c r="A81" t="str">
        <v>Aqualog</v>
      </c>
      <c r="B81" t="str">
        <v>SSFLAT_MCSN04_20260319_</v>
      </c>
    </row>
    <row r="82" spans="1:2" x14ac:dyDescent="0.25">
      <c r="A82" t="str">
        <v>Aqualog</v>
      </c>
      <c r="B82" t="str">
        <v>SSFLAT_MCSN04_20260319_</v>
      </c>
    </row>
    <row r="83" spans="1:2" x14ac:dyDescent="0.25">
      <c r="A83" t="str">
        <v>Aqualog</v>
      </c>
      <c r="B83" t="str">
        <v>SSFLAT_MCSN04_20260319_</v>
      </c>
    </row>
    <row r="84" spans="1:2" x14ac:dyDescent="0.25">
      <c r="A84" t="str">
        <v>Aqualog</v>
      </c>
      <c r="B84" t="str">
        <v>SSFLAT_MCSN04_20260319_</v>
      </c>
    </row>
    <row r="85" spans="1:2" x14ac:dyDescent="0.25">
      <c r="A85" t="str">
        <v>Aqualog</v>
      </c>
      <c r="B85" t="str">
        <v>SSFLAT_MCSN04_20260319_</v>
      </c>
    </row>
    <row r="86" spans="1:2" x14ac:dyDescent="0.25">
      <c r="A86" t="str">
        <v>Aqualog</v>
      </c>
      <c r="B86" t="str">
        <v>SSFLAT_MCSN04_20260319_</v>
      </c>
    </row>
    <row r="87" spans="1:2" x14ac:dyDescent="0.25">
      <c r="A87" t="str">
        <v>Aqualog</v>
      </c>
      <c r="B87" t="str">
        <v>SSFLAT_MCSN04_20260319_</v>
      </c>
    </row>
    <row r="88" spans="1:2" x14ac:dyDescent="0.25">
      <c r="A88" t="str">
        <v>Aqualog</v>
      </c>
      <c r="B88" t="str">
        <v>SSFLAT_MCSN04_20260319_</v>
      </c>
    </row>
    <row r="89" spans="1:2" x14ac:dyDescent="0.25">
      <c r="A89" t="str">
        <v>Aqualog</v>
      </c>
      <c r="B89" t="str">
        <v>SSFLAT_MCSN04_20260319_</v>
      </c>
    </row>
    <row r="90" spans="1:2" x14ac:dyDescent="0.25">
      <c r="A90" t="str">
        <v>Aqualog</v>
      </c>
      <c r="B90" t="str">
        <v>SSFLAT_MCSN04_20260319_</v>
      </c>
    </row>
    <row r="91" spans="1:2" x14ac:dyDescent="0.25">
      <c r="A91" t="str">
        <v>Aqualog</v>
      </c>
      <c r="B91" t="str">
        <v>SSFLAT_MCSN04_20260319_</v>
      </c>
    </row>
    <row r="92" spans="1:2" x14ac:dyDescent="0.25">
      <c r="A92" t="str">
        <v>Aqualog</v>
      </c>
      <c r="B92" t="str">
        <v>SSFLAT_MCSN04_20260319_</v>
      </c>
    </row>
    <row r="93" spans="1:2" x14ac:dyDescent="0.25">
      <c r="A93" t="str">
        <v>Aqualog</v>
      </c>
      <c r="B93" t="str">
        <v>SSFLAT_MCSN04_20260319_</v>
      </c>
    </row>
    <row r="94" spans="1:2" x14ac:dyDescent="0.25">
      <c r="A94" t="str">
        <v>Aqualog</v>
      </c>
      <c r="B94" t="str">
        <v>SSFLAT_MCSN04_20260319_</v>
      </c>
    </row>
    <row r="95" spans="1:2" x14ac:dyDescent="0.25">
      <c r="A95" t="str">
        <v>Aqualog</v>
      </c>
      <c r="B95" t="str">
        <v>SSFLAT_MCSN04_20260319_</v>
      </c>
    </row>
    <row r="96" spans="1:2" x14ac:dyDescent="0.25">
      <c r="A96" t="str">
        <v>Aqualog</v>
      </c>
      <c r="B96" t="str">
        <v>SSFLAT_MCSN04_20260319_</v>
      </c>
    </row>
    <row r="97" spans="1:2" x14ac:dyDescent="0.25">
      <c r="A97" t="str">
        <v>Aqualog</v>
      </c>
      <c r="B97" t="str">
        <v>SSFLAT_MCSN04_20260319_</v>
      </c>
    </row>
    <row r="98" spans="1:2" x14ac:dyDescent="0.25">
      <c r="A98" t="str">
        <v>Aqualog</v>
      </c>
      <c r="B98" t="str">
        <v>SSFLAT_MCSN05_20260319_</v>
      </c>
    </row>
    <row r="99" spans="1:2" x14ac:dyDescent="0.25">
      <c r="A99" t="str">
        <v>Aqualog</v>
      </c>
      <c r="B99" t="str">
        <v>SSFLAT_MCSN05_20260319_</v>
      </c>
    </row>
    <row r="100" spans="1:2" x14ac:dyDescent="0.25">
      <c r="A100" t="str">
        <v>Aqualog</v>
      </c>
      <c r="B100" t="str">
        <v>SSFLAT_MCSN05_20260319_</v>
      </c>
    </row>
    <row r="101" spans="1:2" x14ac:dyDescent="0.25">
      <c r="A101" t="str">
        <v>Aqualog</v>
      </c>
      <c r="B101" t="str">
        <v>SSFLAT_MCSN05_20260319_</v>
      </c>
    </row>
    <row r="102" spans="1:2" x14ac:dyDescent="0.25">
      <c r="A102" t="str">
        <v>Aqualog</v>
      </c>
      <c r="B102" t="str">
        <v>SSFLAT_MCSN05_20260319_</v>
      </c>
    </row>
    <row r="103" spans="1:2" x14ac:dyDescent="0.25">
      <c r="A103" t="str">
        <v>Aqualog</v>
      </c>
      <c r="B103" t="str">
        <v>SSFLAT_MCSN05_20260319_</v>
      </c>
    </row>
    <row r="104" spans="1:2" x14ac:dyDescent="0.25">
      <c r="A104" t="str">
        <v>Aqualog</v>
      </c>
      <c r="B104" t="str">
        <v>SSFLAT_MCSN05_20260319_</v>
      </c>
    </row>
    <row r="105" spans="1:2" x14ac:dyDescent="0.25">
      <c r="A105" t="str">
        <v>Aqualog</v>
      </c>
      <c r="B105" t="str">
        <v>SSFLAT_MCSN05_20260319_</v>
      </c>
    </row>
    <row r="106" spans="1:2" x14ac:dyDescent="0.25">
      <c r="A106" t="str">
        <v>Aqualog</v>
      </c>
      <c r="B106" t="str">
        <v>SSFLAT_MCSN05_20260319_</v>
      </c>
    </row>
    <row r="107" spans="1:2" x14ac:dyDescent="0.25">
      <c r="A107" t="str">
        <v>Aqualog</v>
      </c>
      <c r="B107" t="str">
        <v>SSFLAT_MCSN05_20260319_</v>
      </c>
    </row>
    <row r="108" spans="1:2" x14ac:dyDescent="0.25">
      <c r="A108" t="str">
        <v>Aqualog</v>
      </c>
      <c r="B108" t="str">
        <v>SSFLAT_MCSN05_20260319_</v>
      </c>
    </row>
    <row r="109" spans="1:2" x14ac:dyDescent="0.25">
      <c r="A109" t="str">
        <v>Aqualog</v>
      </c>
      <c r="B109" t="str">
        <v>SSFLAT_MCSN05_20260319_</v>
      </c>
    </row>
    <row r="110" spans="1:2" x14ac:dyDescent="0.25">
      <c r="A110" t="str">
        <v>Aqualog</v>
      </c>
      <c r="B110" t="str">
        <v>SSFLAT_MCSN05_20260319_</v>
      </c>
    </row>
    <row r="111" spans="1:2" x14ac:dyDescent="0.25">
      <c r="A111" t="str">
        <v>Aqualog</v>
      </c>
      <c r="B111" t="str">
        <v>SSFLAT_MCSN05_20260319_</v>
      </c>
    </row>
    <row r="112" spans="1:2" x14ac:dyDescent="0.25">
      <c r="A112" t="str">
        <v>Aqualog</v>
      </c>
      <c r="B112" t="str">
        <v>SSFLAT_MCSN05_20260319_</v>
      </c>
    </row>
    <row r="113" spans="1:2" x14ac:dyDescent="0.25">
      <c r="A113" t="str">
        <v>Aqualog</v>
      </c>
      <c r="B113" t="str">
        <v>SSFLAT_MCSN05_20260319_</v>
      </c>
    </row>
    <row r="114" spans="1:2" x14ac:dyDescent="0.25">
      <c r="A114" t="str">
        <v>Aqualog</v>
      </c>
      <c r="B114" t="str">
        <v>SSFLAT_MCSN05_20260319_</v>
      </c>
    </row>
    <row r="115" spans="1:2" x14ac:dyDescent="0.25">
      <c r="A115" t="str">
        <v>Aqualog</v>
      </c>
      <c r="B115" t="str">
        <v>SSFLAT_MCSN05_20260319_</v>
      </c>
    </row>
    <row r="116" spans="1:2" x14ac:dyDescent="0.25">
      <c r="A116" t="str">
        <v>Aqualog</v>
      </c>
      <c r="B116" t="str">
        <v>SSFLAT_MCSN05_20260319_</v>
      </c>
    </row>
    <row r="117" spans="1:2" x14ac:dyDescent="0.25">
      <c r="A117" t="str">
        <v>Aqualog</v>
      </c>
      <c r="B117" t="str">
        <v>SSFLAT_MCSN05_20260319_</v>
      </c>
    </row>
    <row r="118" spans="1:2" x14ac:dyDescent="0.25">
      <c r="A118" t="str">
        <v>Aqualog</v>
      </c>
      <c r="B118" t="str">
        <v>SSFLAT_MCSN05_20260319_</v>
      </c>
    </row>
    <row r="119" spans="1:2" x14ac:dyDescent="0.25">
      <c r="A119" t="str">
        <v>Aqualog</v>
      </c>
      <c r="B119" t="str">
        <v>SSFLAT_MCSN05_20260319_</v>
      </c>
    </row>
    <row r="120" spans="1:2" x14ac:dyDescent="0.25">
      <c r="A120" t="str">
        <v>Aqualog</v>
      </c>
      <c r="B120" t="str">
        <v>SSFLAT_MCSN05_20260319_</v>
      </c>
    </row>
    <row r="121" spans="1:2" x14ac:dyDescent="0.25">
      <c r="A121" t="str">
        <v>Aqualog</v>
      </c>
      <c r="B121" t="str">
        <v>SSFLAT_MCSN05_20260319_</v>
      </c>
    </row>
    <row r="122" spans="1:2" x14ac:dyDescent="0.25">
      <c r="A122" t="str">
        <v>Aqualog</v>
      </c>
      <c r="B122" t="str">
        <v>SSFLAT_MCSN06_20260319_</v>
      </c>
    </row>
    <row r="123" spans="1:2" x14ac:dyDescent="0.25">
      <c r="A123" t="str">
        <v>Aqualog</v>
      </c>
      <c r="B123" t="str">
        <v>SSFLAT_MCSN06_20260319_</v>
      </c>
    </row>
    <row r="124" spans="1:2" x14ac:dyDescent="0.25">
      <c r="A124" t="str">
        <v>Aqualog</v>
      </c>
      <c r="B124" t="str">
        <v>SSFLAT_MCSN06_20260319_</v>
      </c>
    </row>
    <row r="125" spans="1:2" x14ac:dyDescent="0.25">
      <c r="A125" t="str">
        <v>Aqualog</v>
      </c>
      <c r="B125" t="str">
        <v>SSFLAT_MCSN06_20260319_</v>
      </c>
    </row>
    <row r="126" spans="1:2" x14ac:dyDescent="0.25">
      <c r="A126" t="str">
        <v>Aqualog</v>
      </c>
      <c r="B126" t="str">
        <v>SSFLAT_MCSN06_20260319_</v>
      </c>
    </row>
    <row r="127" spans="1:2" x14ac:dyDescent="0.25">
      <c r="A127" t="str">
        <v>Aqualog</v>
      </c>
      <c r="B127" t="str">
        <v>SSFLAT_MCSN06_20260319_</v>
      </c>
    </row>
    <row r="128" spans="1:2" x14ac:dyDescent="0.25">
      <c r="A128" t="str">
        <v>Aqualog</v>
      </c>
      <c r="B128" t="str">
        <v>SSFLAT_MCSN06_20260319_</v>
      </c>
    </row>
    <row r="129" spans="1:2" x14ac:dyDescent="0.25">
      <c r="A129" t="str">
        <v>Aqualog</v>
      </c>
      <c r="B129" t="str">
        <v>SSFLAT_MCSN06_20260319_</v>
      </c>
    </row>
    <row r="130" spans="1:2" x14ac:dyDescent="0.25">
      <c r="A130" t="str">
        <v>Aqualog</v>
      </c>
      <c r="B130" t="str">
        <v>SSFLAT_MCSN06_20260319_</v>
      </c>
    </row>
    <row r="131" spans="1:2" x14ac:dyDescent="0.25">
      <c r="A131" t="str">
        <v>Aqualog</v>
      </c>
      <c r="B131" t="str">
        <v>SSFLAT_MCSN06_20260319_</v>
      </c>
    </row>
    <row r="132" spans="1:2" x14ac:dyDescent="0.25">
      <c r="A132" t="str">
        <v>Aqualog</v>
      </c>
      <c r="B132" t="str">
        <v>SSFLAT_MCSN06_20260319_</v>
      </c>
    </row>
    <row r="133" spans="1:2" x14ac:dyDescent="0.25">
      <c r="A133" t="str">
        <v>Aqualog</v>
      </c>
      <c r="B133" t="str">
        <v>SSFLAT_MCSN06_20260319_</v>
      </c>
    </row>
    <row r="134" spans="1:2" x14ac:dyDescent="0.25">
      <c r="A134" t="str">
        <v>Aqualog</v>
      </c>
      <c r="B134" t="str">
        <v>SSFLAT_MCSN06_20260319_</v>
      </c>
    </row>
    <row r="135" spans="1:2" x14ac:dyDescent="0.25">
      <c r="A135" t="str">
        <v>Aqualog</v>
      </c>
      <c r="B135" t="str">
        <v>SSFLAT_MCSN06_20260319_</v>
      </c>
    </row>
    <row r="136" spans="1:2" x14ac:dyDescent="0.25">
      <c r="A136" t="str">
        <v>Aqualog</v>
      </c>
      <c r="B136" t="str">
        <v>SSFLAT_MCSN06_20260319_</v>
      </c>
    </row>
    <row r="137" spans="1:2" x14ac:dyDescent="0.25">
      <c r="A137" t="str">
        <v>Aqualog</v>
      </c>
      <c r="B137" t="str">
        <v>SSFLAT_MCSN06_20260319_</v>
      </c>
    </row>
    <row r="138" spans="1:2" x14ac:dyDescent="0.25">
      <c r="A138" t="str">
        <v>Aqualog</v>
      </c>
      <c r="B138" t="str">
        <v>SSFLAT_MCSN06_20260319_</v>
      </c>
    </row>
    <row r="139" spans="1:2" x14ac:dyDescent="0.25">
      <c r="A139" t="str">
        <v>Aqualog</v>
      </c>
      <c r="B139" t="str">
        <v>SSFLAT_MCSN06_20260319_</v>
      </c>
    </row>
    <row r="140" spans="1:2" x14ac:dyDescent="0.25">
      <c r="A140" t="str">
        <v>Aqualog</v>
      </c>
      <c r="B140" t="str">
        <v>SSFLAT_MCSN06_20260319_</v>
      </c>
    </row>
    <row r="141" spans="1:2" x14ac:dyDescent="0.25">
      <c r="A141" t="str">
        <v>Aqualog</v>
      </c>
      <c r="B141" t="str">
        <v>SSFLAT_MCSN06_20260319_</v>
      </c>
    </row>
    <row r="142" spans="1:2" x14ac:dyDescent="0.25">
      <c r="A142" t="str">
        <v>Aqualog</v>
      </c>
      <c r="B142" t="str">
        <v>SSFLAT_MCSN06_20260319_</v>
      </c>
    </row>
    <row r="143" spans="1:2" x14ac:dyDescent="0.25">
      <c r="A143" t="str">
        <v>Aqualog</v>
      </c>
      <c r="B143" t="str">
        <v>SSFLAT_MCSN06_20260319_</v>
      </c>
    </row>
    <row r="144" spans="1:2" x14ac:dyDescent="0.25">
      <c r="A144" t="str">
        <v>Aqualog</v>
      </c>
      <c r="B144" t="str">
        <v>SSFLAT_MCSN06_20260319_</v>
      </c>
    </row>
    <row r="145" spans="1:2" x14ac:dyDescent="0.25">
      <c r="A145" t="str">
        <v>Aqualog</v>
      </c>
      <c r="B145" t="str">
        <v>SSFLAT_MCSN06_20260319_</v>
      </c>
    </row>
    <row r="146" spans="1:2" x14ac:dyDescent="0.25">
      <c r="A146" t="str">
        <v>Aqualog</v>
      </c>
      <c r="B146" t="str">
        <v>SSFLAT_MCSN07_20260319_</v>
      </c>
    </row>
    <row r="147" spans="1:2" x14ac:dyDescent="0.25">
      <c r="A147" t="str">
        <v>Aqualog</v>
      </c>
      <c r="B147" t="str">
        <v>SSFLAT_MCSN07_20260319_</v>
      </c>
    </row>
    <row r="148" spans="1:2" x14ac:dyDescent="0.25">
      <c r="A148" t="str">
        <v>Aqualog</v>
      </c>
      <c r="B148" t="str">
        <v>SSFLAT_MCSN07_20260319_</v>
      </c>
    </row>
    <row r="149" spans="1:2" x14ac:dyDescent="0.25">
      <c r="A149" t="str">
        <v>Aqualog</v>
      </c>
      <c r="B149" t="str">
        <v>SSFLAT_MCSN07_20260319_</v>
      </c>
    </row>
    <row r="150" spans="1:2" x14ac:dyDescent="0.25">
      <c r="A150" t="str">
        <v>Aqualog</v>
      </c>
      <c r="B150" t="str">
        <v>SSFLAT_MCSN07_20260319_</v>
      </c>
    </row>
    <row r="151" spans="1:2" x14ac:dyDescent="0.25">
      <c r="A151" t="str">
        <v>Aqualog</v>
      </c>
      <c r="B151" t="str">
        <v>SSFLAT_MCSN07_20260319_</v>
      </c>
    </row>
    <row r="152" spans="1:2" x14ac:dyDescent="0.25">
      <c r="A152" t="str">
        <v>Aqualog</v>
      </c>
      <c r="B152" t="str">
        <v>SSFLAT_MCSN07_20260319_</v>
      </c>
    </row>
    <row r="153" spans="1:2" x14ac:dyDescent="0.25">
      <c r="A153" t="str">
        <v>Aqualog</v>
      </c>
      <c r="B153" t="str">
        <v>SSFLAT_MCSN07_20260319_</v>
      </c>
    </row>
    <row r="154" spans="1:2" x14ac:dyDescent="0.25">
      <c r="A154" t="str">
        <v>Aqualog</v>
      </c>
      <c r="B154" t="str">
        <v>SSFLAT_MCSN07_20260319_</v>
      </c>
    </row>
    <row r="155" spans="1:2" x14ac:dyDescent="0.25">
      <c r="A155" t="str">
        <v>Aqualog</v>
      </c>
      <c r="B155" t="str">
        <v>SSFLAT_MCSN07_20260319_</v>
      </c>
    </row>
    <row r="156" spans="1:2" x14ac:dyDescent="0.25">
      <c r="A156" t="str">
        <v>Aqualog</v>
      </c>
      <c r="B156" t="str">
        <v>SSFLAT_MCSN07_20260319_</v>
      </c>
    </row>
    <row r="157" spans="1:2" x14ac:dyDescent="0.25">
      <c r="A157" t="str">
        <v>Aqualog</v>
      </c>
      <c r="B157" t="str">
        <v>SSFLAT_MCSN07_20260319_</v>
      </c>
    </row>
    <row r="158" spans="1:2" x14ac:dyDescent="0.25">
      <c r="A158" t="str">
        <v>Aqualog</v>
      </c>
      <c r="B158" t="str">
        <v>SSFLAT_MCSN07_20260319_</v>
      </c>
    </row>
    <row r="159" spans="1:2" x14ac:dyDescent="0.25">
      <c r="A159" t="str">
        <v>Aqualog</v>
      </c>
      <c r="B159" t="str">
        <v>SSFLAT_MCSN07_20260319_</v>
      </c>
    </row>
    <row r="160" spans="1:2" x14ac:dyDescent="0.25">
      <c r="A160" t="str">
        <v>Aqualog</v>
      </c>
      <c r="B160" t="str">
        <v>SSFLAT_MCSN07_20260319_</v>
      </c>
    </row>
    <row r="161" spans="1:2" x14ac:dyDescent="0.25">
      <c r="A161" t="str">
        <v>Aqualog</v>
      </c>
      <c r="B161" t="str">
        <v>SSFLAT_MCSN07_20260319_</v>
      </c>
    </row>
    <row r="162" spans="1:2" x14ac:dyDescent="0.25">
      <c r="A162" t="str">
        <v>Aqualog</v>
      </c>
      <c r="B162" t="str">
        <v>SSFLAT_MCSN07_20260319_</v>
      </c>
    </row>
    <row r="163" spans="1:2" x14ac:dyDescent="0.25">
      <c r="A163" t="str">
        <v>Aqualog</v>
      </c>
      <c r="B163" t="str">
        <v>SSFLAT_MCSN07_20260319_</v>
      </c>
    </row>
    <row r="164" spans="1:2" x14ac:dyDescent="0.25">
      <c r="A164" t="str">
        <v>Aqualog</v>
      </c>
      <c r="B164" t="str">
        <v>SSFLAT_MCSN07_20260319_</v>
      </c>
    </row>
    <row r="165" spans="1:2" x14ac:dyDescent="0.25">
      <c r="A165" t="str">
        <v>Aqualog</v>
      </c>
      <c r="B165" t="str">
        <v>SSFLAT_MCSN07_20260319_</v>
      </c>
    </row>
    <row r="166" spans="1:2" x14ac:dyDescent="0.25">
      <c r="A166" t="str">
        <v>Aqualog</v>
      </c>
      <c r="B166" t="str">
        <v>SSFLAT_MCSN07_20260319_</v>
      </c>
    </row>
    <row r="167" spans="1:2" x14ac:dyDescent="0.25">
      <c r="A167" t="str">
        <v>Aqualog</v>
      </c>
      <c r="B167" t="str">
        <v>SSFLAT_MCSN07_20260319_</v>
      </c>
    </row>
    <row r="168" spans="1:2" x14ac:dyDescent="0.25">
      <c r="A168" t="str">
        <v>Aqualog</v>
      </c>
      <c r="B168" t="str">
        <v>SSFLAT_MCSN07_20260319_</v>
      </c>
    </row>
    <row r="169" spans="1:2" x14ac:dyDescent="0.25">
      <c r="A169" t="str">
        <v>Aqualog</v>
      </c>
      <c r="B169" t="str">
        <v>SSFLAT_MCSN07_20260319_</v>
      </c>
    </row>
    <row r="170" spans="1:2" x14ac:dyDescent="0.25">
      <c r="A170" t="str">
        <v>Aqualog</v>
      </c>
      <c r="B170" t="str">
        <v>SSFLAT_MCSN08_20260319_</v>
      </c>
    </row>
    <row r="171" spans="1:2" x14ac:dyDescent="0.25">
      <c r="A171" t="str">
        <v>Aqualog</v>
      </c>
      <c r="B171" t="str">
        <v>SSFLAT_MCSN08_20260319_</v>
      </c>
    </row>
    <row r="172" spans="1:2" x14ac:dyDescent="0.25">
      <c r="A172" t="str">
        <v>Aqualog</v>
      </c>
      <c r="B172" t="str">
        <v>SSFLAT_MCSN08_20260319_</v>
      </c>
    </row>
    <row r="173" spans="1:2" x14ac:dyDescent="0.25">
      <c r="A173" t="str">
        <v>Aqualog</v>
      </c>
      <c r="B173" t="str">
        <v>SSFLAT_MCSN08_20260319_</v>
      </c>
    </row>
    <row r="174" spans="1:2" x14ac:dyDescent="0.25">
      <c r="A174" t="str">
        <v>Aqualog</v>
      </c>
      <c r="B174" t="str">
        <v>SSFLAT_MCSN08_20260319_</v>
      </c>
    </row>
    <row r="175" spans="1:2" x14ac:dyDescent="0.25">
      <c r="A175" t="str">
        <v>Aqualog</v>
      </c>
      <c r="B175" t="str">
        <v>SSFLAT_MCSN08_20260319_</v>
      </c>
    </row>
    <row r="176" spans="1:2" x14ac:dyDescent="0.25">
      <c r="A176" t="str">
        <v>Aqualog</v>
      </c>
      <c r="B176" t="str">
        <v>SSFLAT_MCSN08_20260319_</v>
      </c>
    </row>
    <row r="177" spans="1:2" x14ac:dyDescent="0.25">
      <c r="A177" t="str">
        <v>Aqualog</v>
      </c>
      <c r="B177" t="str">
        <v>SSFLAT_MCSN08_20260319_</v>
      </c>
    </row>
    <row r="178" spans="1:2" x14ac:dyDescent="0.25">
      <c r="A178" t="str">
        <v>Aqualog</v>
      </c>
      <c r="B178" t="str">
        <v>SSFLAT_MCSN08_20260319_</v>
      </c>
    </row>
    <row r="179" spans="1:2" x14ac:dyDescent="0.25">
      <c r="A179" t="str">
        <v>Aqualog</v>
      </c>
      <c r="B179" t="str">
        <v>SSFLAT_MCSN08_20260319_</v>
      </c>
    </row>
    <row r="180" spans="1:2" x14ac:dyDescent="0.25">
      <c r="A180" t="str">
        <v>Aqualog</v>
      </c>
      <c r="B180" t="str">
        <v>SSFLAT_MCSN08_20260319_</v>
      </c>
    </row>
    <row r="181" spans="1:2" x14ac:dyDescent="0.25">
      <c r="A181" t="str">
        <v>Aqualog</v>
      </c>
      <c r="B181" t="str">
        <v>SSFLAT_MCSN08_20260319_</v>
      </c>
    </row>
    <row r="182" spans="1:2" x14ac:dyDescent="0.25">
      <c r="A182" t="str">
        <v>Aqualog</v>
      </c>
      <c r="B182" t="str">
        <v>SSFLAT_MCSN08_20260319_</v>
      </c>
    </row>
    <row r="183" spans="1:2" x14ac:dyDescent="0.25">
      <c r="A183" t="str">
        <v>Aqualog</v>
      </c>
      <c r="B183" t="str">
        <v>SSFLAT_MCSN08_20260319_</v>
      </c>
    </row>
    <row r="184" spans="1:2" x14ac:dyDescent="0.25">
      <c r="A184" t="str">
        <v>Aqualog</v>
      </c>
      <c r="B184" t="str">
        <v>SSFLAT_MCSN08_20260319_</v>
      </c>
    </row>
    <row r="185" spans="1:2" x14ac:dyDescent="0.25">
      <c r="A185" t="str">
        <v>Aqualog</v>
      </c>
      <c r="B185" t="str">
        <v>SSFLAT_MCSN08_20260319_</v>
      </c>
    </row>
    <row r="186" spans="1:2" x14ac:dyDescent="0.25">
      <c r="A186" t="str">
        <v>Aqualog</v>
      </c>
      <c r="B186" t="str">
        <v>SSFLAT_MCSN08_20260319_</v>
      </c>
    </row>
    <row r="187" spans="1:2" x14ac:dyDescent="0.25">
      <c r="A187" t="str">
        <v>Aqualog</v>
      </c>
      <c r="B187" t="str">
        <v>SSFLAT_MCSN08_20260319_</v>
      </c>
    </row>
    <row r="188" spans="1:2" x14ac:dyDescent="0.25">
      <c r="A188" t="str">
        <v>Aqualog</v>
      </c>
      <c r="B188" t="str">
        <v>SSFLAT_MCSN08_20260319_</v>
      </c>
    </row>
    <row r="189" spans="1:2" x14ac:dyDescent="0.25">
      <c r="A189" t="str">
        <v>Aqualog</v>
      </c>
      <c r="B189" t="str">
        <v>SSFLAT_MCSN08_20260319_</v>
      </c>
    </row>
    <row r="190" spans="1:2" x14ac:dyDescent="0.25">
      <c r="A190" t="str">
        <v>Aqualog</v>
      </c>
      <c r="B190" t="str">
        <v>SSFLAT_MCSN08_20260319_</v>
      </c>
    </row>
    <row r="191" spans="1:2" x14ac:dyDescent="0.25">
      <c r="A191" t="str">
        <v>Aqualog</v>
      </c>
      <c r="B191" t="str">
        <v>SSFLAT_MCSN08_20260319_</v>
      </c>
    </row>
    <row r="192" spans="1:2" x14ac:dyDescent="0.25">
      <c r="A192" t="str">
        <v>Aqualog</v>
      </c>
      <c r="B192" t="str">
        <v>SSFLAT_MCSN08_20260319_</v>
      </c>
    </row>
    <row r="193" spans="1:2" x14ac:dyDescent="0.25">
      <c r="A193" t="str">
        <v>Aqualog</v>
      </c>
      <c r="B193" t="str">
        <v>SSFLAT_MCSN08_20260319_</v>
      </c>
    </row>
    <row r="194" spans="1:2" x14ac:dyDescent="0.25">
      <c r="A194" t="str">
        <v>Aqualog</v>
      </c>
      <c r="B194" t="str">
        <v>SSFLAT_MCSN09_20260319_</v>
      </c>
    </row>
    <row r="195" spans="1:2" x14ac:dyDescent="0.25">
      <c r="A195" t="str">
        <v>Aqualog</v>
      </c>
      <c r="B195" t="str">
        <v>SSFLAT_MCSN09_20260319_</v>
      </c>
    </row>
    <row r="196" spans="1:2" x14ac:dyDescent="0.25">
      <c r="A196" t="str">
        <v>Aqualog</v>
      </c>
      <c r="B196" t="str">
        <v>SSFLAT_MCSN09_20260319_</v>
      </c>
    </row>
    <row r="197" spans="1:2" x14ac:dyDescent="0.25">
      <c r="A197" t="str">
        <v>Aqualog</v>
      </c>
      <c r="B197" t="str">
        <v>SSFLAT_MCSN09_20260319_</v>
      </c>
    </row>
    <row r="198" spans="1:2" x14ac:dyDescent="0.25">
      <c r="A198" t="str">
        <v>Aqualog</v>
      </c>
      <c r="B198" t="str">
        <v>SSFLAT_MCSN09_20260319_</v>
      </c>
    </row>
    <row r="199" spans="1:2" x14ac:dyDescent="0.25">
      <c r="A199" t="str">
        <v>Aqualog</v>
      </c>
      <c r="B199" t="str">
        <v>SSFLAT_MCSN09_20260319_</v>
      </c>
    </row>
    <row r="200" spans="1:2" x14ac:dyDescent="0.25">
      <c r="A200" t="str">
        <v>Aqualog</v>
      </c>
      <c r="B200" t="str">
        <v>SSFLAT_MCSN09_20260319_</v>
      </c>
    </row>
    <row r="201" spans="1:2" x14ac:dyDescent="0.25">
      <c r="A201" t="str">
        <v>Aqualog</v>
      </c>
      <c r="B201" t="str">
        <v>SSFLAT_MCSN09_20260319_</v>
      </c>
    </row>
    <row r="202" spans="1:2" x14ac:dyDescent="0.25">
      <c r="A202" t="str">
        <v>Aqualog</v>
      </c>
      <c r="B202" t="str">
        <v>SSFLAT_MCSN09_20260319_</v>
      </c>
    </row>
    <row r="203" spans="1:2" x14ac:dyDescent="0.25">
      <c r="A203" t="str">
        <v>Aqualog</v>
      </c>
      <c r="B203" t="str">
        <v>SSFLAT_MCSN09_20260319_</v>
      </c>
    </row>
    <row r="204" spans="1:2" x14ac:dyDescent="0.25">
      <c r="A204" t="str">
        <v>Aqualog</v>
      </c>
      <c r="B204" t="str">
        <v>SSFLAT_MCSN09_20260319_</v>
      </c>
    </row>
    <row r="205" spans="1:2" x14ac:dyDescent="0.25">
      <c r="A205" t="str">
        <v>Aqualog</v>
      </c>
      <c r="B205" t="str">
        <v>SSFLAT_MCSN09_20260319_</v>
      </c>
    </row>
    <row r="206" spans="1:2" x14ac:dyDescent="0.25">
      <c r="A206" t="str">
        <v>Aqualog</v>
      </c>
      <c r="B206" t="str">
        <v>SSFLAT_MCSN09_20260319_</v>
      </c>
    </row>
    <row r="207" spans="1:2" x14ac:dyDescent="0.25">
      <c r="A207" t="str">
        <v>Aqualog</v>
      </c>
      <c r="B207" t="str">
        <v>SSFLAT_MCSN09_20260319_</v>
      </c>
    </row>
    <row r="208" spans="1:2" x14ac:dyDescent="0.25">
      <c r="A208" t="str">
        <v>Aqualog</v>
      </c>
      <c r="B208" t="str">
        <v>SSFLAT_MCSN09_20260319_</v>
      </c>
    </row>
    <row r="209" spans="1:2" x14ac:dyDescent="0.25">
      <c r="A209" t="str">
        <v>Aqualog</v>
      </c>
      <c r="B209" t="str">
        <v>SSFLAT_MCSN09_20260319_</v>
      </c>
    </row>
    <row r="210" spans="1:2" x14ac:dyDescent="0.25">
      <c r="A210" t="str">
        <v>Aqualog</v>
      </c>
      <c r="B210" t="str">
        <v>SSFLAT_MCSN09_20260319_</v>
      </c>
    </row>
    <row r="211" spans="1:2" x14ac:dyDescent="0.25">
      <c r="A211" t="str">
        <v>Aqualog</v>
      </c>
      <c r="B211" t="str">
        <v>SSFLAT_MCSN09_20260319_</v>
      </c>
    </row>
    <row r="212" spans="1:2" x14ac:dyDescent="0.25">
      <c r="A212" t="str">
        <v>Aqualog</v>
      </c>
      <c r="B212" t="str">
        <v>SSFLAT_MCSN09_20260319_</v>
      </c>
    </row>
    <row r="213" spans="1:2" x14ac:dyDescent="0.25">
      <c r="A213" t="str">
        <v>Aqualog</v>
      </c>
      <c r="B213" t="str">
        <v>SSFLAT_MCSN09_20260319_</v>
      </c>
    </row>
    <row r="214" spans="1:2" x14ac:dyDescent="0.25">
      <c r="A214" t="str">
        <v>Aqualog</v>
      </c>
      <c r="B214" t="str">
        <v>SSFLAT_MCSN09_20260319_</v>
      </c>
    </row>
    <row r="215" spans="1:2" x14ac:dyDescent="0.25">
      <c r="A215" t="str">
        <v>Aqualog</v>
      </c>
      <c r="B215" t="str">
        <v>SSFLAT_MCSN09_20260319_</v>
      </c>
    </row>
    <row r="216" spans="1:2" x14ac:dyDescent="0.25">
      <c r="A216" t="str">
        <v>Aqualog</v>
      </c>
      <c r="B216" t="str">
        <v>SSFLAT_MCSN09_20260319_</v>
      </c>
    </row>
    <row r="217" spans="1:2" x14ac:dyDescent="0.25">
      <c r="A217" t="str">
        <v>Aqualog</v>
      </c>
      <c r="B217" t="str">
        <v>SSFLAT_MCSN09_20260319_</v>
      </c>
    </row>
    <row r="218" spans="1:2" x14ac:dyDescent="0.25">
      <c r="A218" t="str">
        <v>Aqualog</v>
      </c>
      <c r="B218" t="str">
        <v>SSFLAT_MCSN10_20260319_</v>
      </c>
    </row>
    <row r="219" spans="1:2" x14ac:dyDescent="0.25">
      <c r="A219" t="str">
        <v>Aqualog</v>
      </c>
      <c r="B219" t="str">
        <v>SSFLAT_MCSN10_20260319_</v>
      </c>
    </row>
    <row r="220" spans="1:2" x14ac:dyDescent="0.25">
      <c r="A220" t="str">
        <v>Aqualog</v>
      </c>
      <c r="B220" t="str">
        <v>SSFLAT_MCSN10_20260319_</v>
      </c>
    </row>
    <row r="221" spans="1:2" x14ac:dyDescent="0.25">
      <c r="A221" t="str">
        <v>Aqualog</v>
      </c>
      <c r="B221" t="str">
        <v>SSFLAT_MCSN10_20260319_</v>
      </c>
    </row>
    <row r="222" spans="1:2" x14ac:dyDescent="0.25">
      <c r="A222" t="str">
        <v>Aqualog</v>
      </c>
      <c r="B222" t="str">
        <v>SSFLAT_MCSN10_20260319_</v>
      </c>
    </row>
    <row r="223" spans="1:2" x14ac:dyDescent="0.25">
      <c r="A223" t="str">
        <v>Aqualog</v>
      </c>
      <c r="B223" t="str">
        <v>SSFLAT_MCSN10_20260319_</v>
      </c>
    </row>
    <row r="224" spans="1:2" x14ac:dyDescent="0.25">
      <c r="A224" t="str">
        <v>Aqualog</v>
      </c>
      <c r="B224" t="str">
        <v>SSFLAT_MCSN10_20260319_</v>
      </c>
    </row>
    <row r="225" spans="1:2" x14ac:dyDescent="0.25">
      <c r="A225" t="str">
        <v>Aqualog</v>
      </c>
      <c r="B225" t="str">
        <v>SSFLAT_MCSN10_20260319_</v>
      </c>
    </row>
    <row r="226" spans="1:2" x14ac:dyDescent="0.25">
      <c r="A226" t="str">
        <v>Aqualog</v>
      </c>
      <c r="B226" t="str">
        <v>SSFLAT_MCSN10_20260319_</v>
      </c>
    </row>
    <row r="227" spans="1:2" x14ac:dyDescent="0.25">
      <c r="A227" t="str">
        <v>Aqualog</v>
      </c>
      <c r="B227" t="str">
        <v>SSFLAT_MCSN10_20260319_</v>
      </c>
    </row>
    <row r="228" spans="1:2" x14ac:dyDescent="0.25">
      <c r="A228" t="str">
        <v>Aqualog</v>
      </c>
      <c r="B228" t="str">
        <v>SSFLAT_MCSN10_20260319_</v>
      </c>
    </row>
    <row r="229" spans="1:2" x14ac:dyDescent="0.25">
      <c r="A229" t="str">
        <v>Aqualog</v>
      </c>
      <c r="B229" t="str">
        <v>SSFLAT_MCSN10_20260319_</v>
      </c>
    </row>
    <row r="230" spans="1:2" x14ac:dyDescent="0.25">
      <c r="A230" t="str">
        <v>Aqualog</v>
      </c>
      <c r="B230" t="str">
        <v>SSFLAT_MCSN10_20260319_</v>
      </c>
    </row>
    <row r="231" spans="1:2" x14ac:dyDescent="0.25">
      <c r="A231" t="str">
        <v>Aqualog</v>
      </c>
      <c r="B231" t="str">
        <v>SSFLAT_MCSN10_20260319_</v>
      </c>
    </row>
    <row r="232" spans="1:2" x14ac:dyDescent="0.25">
      <c r="A232" t="str">
        <v>Aqualog</v>
      </c>
      <c r="B232" t="str">
        <v>SSFLAT_MCSN10_20260319_</v>
      </c>
    </row>
    <row r="233" spans="1:2" x14ac:dyDescent="0.25">
      <c r="A233" t="str">
        <v>Aqualog</v>
      </c>
      <c r="B233" t="str">
        <v>SSFLAT_MCSN10_20260319_</v>
      </c>
    </row>
    <row r="234" spans="1:2" x14ac:dyDescent="0.25">
      <c r="A234" t="str">
        <v>Aqualog</v>
      </c>
      <c r="B234" t="str">
        <v>SSFLAT_MCSN10_20260319_</v>
      </c>
    </row>
    <row r="235" spans="1:2" x14ac:dyDescent="0.25">
      <c r="A235" t="str">
        <v>Aqualog</v>
      </c>
      <c r="B235" t="str">
        <v>SSFLAT_MCSN10_20260319_</v>
      </c>
    </row>
    <row r="236" spans="1:2" x14ac:dyDescent="0.25">
      <c r="A236" t="str">
        <v>Aqualog</v>
      </c>
      <c r="B236" t="str">
        <v>SSFLAT_MCSN10_20260319_</v>
      </c>
    </row>
    <row r="237" spans="1:2" x14ac:dyDescent="0.25">
      <c r="A237" t="str">
        <v>Aqualog</v>
      </c>
      <c r="B237" t="str">
        <v>SSFLAT_MCSN10_20260319_</v>
      </c>
    </row>
    <row r="238" spans="1:2" x14ac:dyDescent="0.25">
      <c r="A238" t="str">
        <v>Aqualog</v>
      </c>
      <c r="B238" t="str">
        <v>SSFLAT_MCSN10_20260319_</v>
      </c>
    </row>
    <row r="239" spans="1:2" x14ac:dyDescent="0.25">
      <c r="A239" t="str">
        <v>Aqualog</v>
      </c>
      <c r="B239" t="str">
        <v>SSFLAT_MCSN10_20260319_</v>
      </c>
    </row>
    <row r="240" spans="1:2" x14ac:dyDescent="0.25">
      <c r="A240" t="str">
        <v>Aqualog</v>
      </c>
      <c r="B240" t="str">
        <v>SSFLAT_MCSN10_20260319_</v>
      </c>
    </row>
    <row r="241" spans="1:2" x14ac:dyDescent="0.25">
      <c r="A241" t="str">
        <v>CCAL</v>
      </c>
      <c r="B241" t="str">
        <v>SSFLAT_MCSN01_20260319_</v>
      </c>
    </row>
    <row r="242" spans="1:2" x14ac:dyDescent="0.25">
      <c r="A242" t="str">
        <v>CCAL</v>
      </c>
      <c r="B242" t="str">
        <v>SSFLAT_MCSN01_20260319_</v>
      </c>
    </row>
    <row r="243" spans="1:2" x14ac:dyDescent="0.25">
      <c r="A243" t="str">
        <v>CCAL</v>
      </c>
      <c r="B243" t="str">
        <v>SSFLAT_MCSN01_20260319_</v>
      </c>
    </row>
    <row r="244" spans="1:2" x14ac:dyDescent="0.25">
      <c r="A244" t="str">
        <v>CCAL</v>
      </c>
      <c r="B244" t="str">
        <v>SSFLAT_MCSN01_20260319_</v>
      </c>
    </row>
    <row r="245" spans="1:2" x14ac:dyDescent="0.25">
      <c r="A245" t="str">
        <v>CCAL</v>
      </c>
      <c r="B245" t="str">
        <v>SSFLAT_MCSN01_20260319_</v>
      </c>
    </row>
    <row r="246" spans="1:2" x14ac:dyDescent="0.25">
      <c r="A246" t="str">
        <v>CCAL</v>
      </c>
      <c r="B246" t="str">
        <v>SSFLAT_MCSN01_20260319_</v>
      </c>
    </row>
    <row r="247" spans="1:2" x14ac:dyDescent="0.25">
      <c r="A247" t="str">
        <v>CCAL</v>
      </c>
      <c r="B247" t="str">
        <v>SSFLAT_MCSN01_20260319_</v>
      </c>
    </row>
    <row r="248" spans="1:2" x14ac:dyDescent="0.25">
      <c r="A248" t="str">
        <v>CCAL</v>
      </c>
      <c r="B248" t="str">
        <v>SSFLAT_MCSN01_20260319_</v>
      </c>
    </row>
    <row r="249" spans="1:2" x14ac:dyDescent="0.25">
      <c r="A249" t="str">
        <v>CCAL</v>
      </c>
      <c r="B249" t="str">
        <v>SSFLAT_MCSN01_20260319_</v>
      </c>
    </row>
    <row r="250" spans="1:2" x14ac:dyDescent="0.25">
      <c r="A250" t="str">
        <v>CCAL</v>
      </c>
      <c r="B250" t="str">
        <v>SSFLAT_MCSN01_20260319_</v>
      </c>
    </row>
    <row r="251" spans="1:2" x14ac:dyDescent="0.25">
      <c r="A251" t="str">
        <v>CCAL</v>
      </c>
      <c r="B251" t="str">
        <v>SSFLAT_MCSN01_20260319_</v>
      </c>
    </row>
    <row r="252" spans="1:2" x14ac:dyDescent="0.25">
      <c r="A252" t="str">
        <v>CCAL</v>
      </c>
      <c r="B252" t="str">
        <v>SSFLAT_MCSN01_20260319_</v>
      </c>
    </row>
    <row r="253" spans="1:2" x14ac:dyDescent="0.25">
      <c r="A253" t="str">
        <v>CCAL</v>
      </c>
      <c r="B253" t="str">
        <v>SSFLAT_MCSN01_20260319_</v>
      </c>
    </row>
    <row r="254" spans="1:2" x14ac:dyDescent="0.25">
      <c r="A254" t="str">
        <v>CCAL</v>
      </c>
      <c r="B254" t="str">
        <v>SSFLAT_MCSN01_20260319_</v>
      </c>
    </row>
    <row r="255" spans="1:2" x14ac:dyDescent="0.25">
      <c r="A255" t="str">
        <v>CCAL</v>
      </c>
      <c r="B255" t="str">
        <v>SSFLAT_MCSN01_20260319_</v>
      </c>
    </row>
    <row r="256" spans="1:2" x14ac:dyDescent="0.25">
      <c r="A256" t="str">
        <v>CCAL</v>
      </c>
      <c r="B256" t="str">
        <v>SSFLAT_MCSN01_20260319_</v>
      </c>
    </row>
    <row r="257" spans="1:2" x14ac:dyDescent="0.25">
      <c r="A257" t="str">
        <v>CCAL</v>
      </c>
      <c r="B257" t="str">
        <v>SSFLAT_MCSN01_20260319_</v>
      </c>
    </row>
    <row r="258" spans="1:2" x14ac:dyDescent="0.25">
      <c r="A258" t="str">
        <v>CCAL</v>
      </c>
      <c r="B258" t="str">
        <v>SSFLAT_MCSN01_20260319_</v>
      </c>
    </row>
    <row r="259" spans="1:2" x14ac:dyDescent="0.25">
      <c r="A259" t="str">
        <v>CCAL</v>
      </c>
      <c r="B259" t="str">
        <v>SSFLAT_MCSN01_20260319_</v>
      </c>
    </row>
    <row r="260" spans="1:2" x14ac:dyDescent="0.25">
      <c r="A260" t="str">
        <v>CCAL</v>
      </c>
      <c r="B260" t="str">
        <v>SSFLAT_MCSN01_20260319_</v>
      </c>
    </row>
    <row r="261" spans="1:2" x14ac:dyDescent="0.25">
      <c r="A261" t="str">
        <v>CCAL</v>
      </c>
      <c r="B261" t="str">
        <v>SSFLAT_MCSN01_20260319_</v>
      </c>
    </row>
    <row r="262" spans="1:2" x14ac:dyDescent="0.25">
      <c r="A262" t="str">
        <v>CCAL</v>
      </c>
      <c r="B262" t="str">
        <v>SSFLAT_MCSN01_20260319_</v>
      </c>
    </row>
    <row r="263" spans="1:2" x14ac:dyDescent="0.25">
      <c r="A263" t="str">
        <v>CCAL</v>
      </c>
      <c r="B263" t="str">
        <v>SSFLAT_MCSN01_20260319_</v>
      </c>
    </row>
    <row r="264" spans="1:2" x14ac:dyDescent="0.25">
      <c r="A264" t="str">
        <v>CCAL</v>
      </c>
      <c r="B264" t="str">
        <v>SSFLAT_MCSN01_20260319_</v>
      </c>
    </row>
    <row r="265" spans="1:2" x14ac:dyDescent="0.25">
      <c r="A265" t="str">
        <v>CCAL</v>
      </c>
      <c r="B265" t="str">
        <v>SSFLAT_MCSN02_20260319_</v>
      </c>
    </row>
    <row r="266" spans="1:2" x14ac:dyDescent="0.25">
      <c r="A266" t="str">
        <v>CCAL</v>
      </c>
      <c r="B266" t="str">
        <v>SSFLAT_MCSN02_20260319_</v>
      </c>
    </row>
    <row r="267" spans="1:2" x14ac:dyDescent="0.25">
      <c r="A267" t="str">
        <v>CCAL</v>
      </c>
      <c r="B267" t="str">
        <v>SSFLAT_MCSN02_20260319_</v>
      </c>
    </row>
    <row r="268" spans="1:2" x14ac:dyDescent="0.25">
      <c r="A268" t="str">
        <v>CCAL</v>
      </c>
      <c r="B268" t="str">
        <v>SSFLAT_MCSN02_20260319_</v>
      </c>
    </row>
    <row r="269" spans="1:2" x14ac:dyDescent="0.25">
      <c r="A269" t="str">
        <v>CCAL</v>
      </c>
      <c r="B269" t="str">
        <v>SSFLAT_MCSN02_20260319_</v>
      </c>
    </row>
    <row r="270" spans="1:2" x14ac:dyDescent="0.25">
      <c r="A270" t="str">
        <v>CCAL</v>
      </c>
      <c r="B270" t="str">
        <v>SSFLAT_MCSN02_20260319_</v>
      </c>
    </row>
    <row r="271" spans="1:2" x14ac:dyDescent="0.25">
      <c r="A271" t="str">
        <v>CCAL</v>
      </c>
      <c r="B271" t="str">
        <v>SSFLAT_MCSN02_20260319_</v>
      </c>
    </row>
    <row r="272" spans="1:2" x14ac:dyDescent="0.25">
      <c r="A272" t="str">
        <v>CCAL</v>
      </c>
      <c r="B272" t="str">
        <v>SSFLAT_MCSN02_20260319_</v>
      </c>
    </row>
    <row r="273" spans="1:2" x14ac:dyDescent="0.25">
      <c r="A273" t="str">
        <v>CCAL</v>
      </c>
      <c r="B273" t="str">
        <v>SSFLAT_MCSN02_20260319_</v>
      </c>
    </row>
    <row r="274" spans="1:2" x14ac:dyDescent="0.25">
      <c r="A274" t="str">
        <v>CCAL</v>
      </c>
      <c r="B274" t="str">
        <v>SSFLAT_MCSN02_20260319_</v>
      </c>
    </row>
    <row r="275" spans="1:2" x14ac:dyDescent="0.25">
      <c r="A275" t="str">
        <v>CCAL</v>
      </c>
      <c r="B275" t="str">
        <v>SSFLAT_MCSN02_20260319_</v>
      </c>
    </row>
    <row r="276" spans="1:2" x14ac:dyDescent="0.25">
      <c r="A276" t="str">
        <v>CCAL</v>
      </c>
      <c r="B276" t="str">
        <v>SSFLAT_MCSN02_20260319_</v>
      </c>
    </row>
    <row r="277" spans="1:2" x14ac:dyDescent="0.25">
      <c r="A277" t="str">
        <v>CCAL</v>
      </c>
      <c r="B277" t="str">
        <v>SSFLAT_MCSN02_20260319_</v>
      </c>
    </row>
    <row r="278" spans="1:2" x14ac:dyDescent="0.25">
      <c r="A278" t="str">
        <v>CCAL</v>
      </c>
      <c r="B278" t="str">
        <v>SSFLAT_MCSN02_20260319_</v>
      </c>
    </row>
    <row r="279" spans="1:2" x14ac:dyDescent="0.25">
      <c r="A279" t="str">
        <v>CCAL</v>
      </c>
      <c r="B279" t="str">
        <v>SSFLAT_MCSN02_20260319_</v>
      </c>
    </row>
    <row r="280" spans="1:2" x14ac:dyDescent="0.25">
      <c r="A280" t="str">
        <v>CCAL</v>
      </c>
      <c r="B280" t="str">
        <v>SSFLAT_MCSN02_20260319_</v>
      </c>
    </row>
    <row r="281" spans="1:2" x14ac:dyDescent="0.25">
      <c r="A281" t="str">
        <v>CCAL</v>
      </c>
      <c r="B281" t="str">
        <v>SSFLAT_MCSN02_20260319_</v>
      </c>
    </row>
    <row r="282" spans="1:2" x14ac:dyDescent="0.25">
      <c r="A282" t="str">
        <v>CCAL</v>
      </c>
      <c r="B282" t="str">
        <v>SSFLAT_MCSN02_20260319_</v>
      </c>
    </row>
    <row r="283" spans="1:2" x14ac:dyDescent="0.25">
      <c r="A283" t="str">
        <v>CCAL</v>
      </c>
      <c r="B283" t="str">
        <v>SSFLAT_MCSN02_20260319_</v>
      </c>
    </row>
    <row r="284" spans="1:2" x14ac:dyDescent="0.25">
      <c r="A284" t="str">
        <v>CCAL</v>
      </c>
      <c r="B284" t="str">
        <v>SSFLAT_MCSN02_20260319_</v>
      </c>
    </row>
    <row r="285" spans="1:2" x14ac:dyDescent="0.25">
      <c r="A285" t="str">
        <v>CCAL</v>
      </c>
      <c r="B285" t="str">
        <v>SSFLAT_MCSN02_20260319_</v>
      </c>
    </row>
    <row r="286" spans="1:2" x14ac:dyDescent="0.25">
      <c r="A286" t="str">
        <v>CCAL</v>
      </c>
      <c r="B286" t="str">
        <v>SSFLAT_MCSN02_20260319_</v>
      </c>
    </row>
    <row r="287" spans="1:2" x14ac:dyDescent="0.25">
      <c r="A287" t="str">
        <v>CCAL</v>
      </c>
      <c r="B287" t="str">
        <v>SSFLAT_MCSN02_20260319_</v>
      </c>
    </row>
    <row r="288" spans="1:2" x14ac:dyDescent="0.25">
      <c r="A288" t="str">
        <v>CCAL</v>
      </c>
      <c r="B288" t="str">
        <v>SSFLAT_MCSN02_20260319_</v>
      </c>
    </row>
    <row r="289" spans="1:2" x14ac:dyDescent="0.25">
      <c r="A289" t="str">
        <v>CCAL</v>
      </c>
      <c r="B289" t="str">
        <v>SSFLAT_MCSN03_20260319_</v>
      </c>
    </row>
    <row r="290" spans="1:2" x14ac:dyDescent="0.25">
      <c r="A290" t="str">
        <v>CCAL</v>
      </c>
      <c r="B290" t="str">
        <v>SSFLAT_MCSN03_20260319_</v>
      </c>
    </row>
    <row r="291" spans="1:2" x14ac:dyDescent="0.25">
      <c r="A291" t="str">
        <v>CCAL</v>
      </c>
      <c r="B291" t="str">
        <v>SSFLAT_MCSN03_20260319_</v>
      </c>
    </row>
    <row r="292" spans="1:2" x14ac:dyDescent="0.25">
      <c r="A292" t="str">
        <v>CCAL</v>
      </c>
      <c r="B292" t="str">
        <v>SSFLAT_MCSN03_20260319_</v>
      </c>
    </row>
    <row r="293" spans="1:2" x14ac:dyDescent="0.25">
      <c r="A293" t="str">
        <v>CCAL</v>
      </c>
      <c r="B293" t="str">
        <v>SSFLAT_MCSN03_20260319_</v>
      </c>
    </row>
    <row r="294" spans="1:2" x14ac:dyDescent="0.25">
      <c r="A294" t="str">
        <v>CCAL</v>
      </c>
      <c r="B294" t="str">
        <v>SSFLAT_MCSN03_20260319_</v>
      </c>
    </row>
    <row r="295" spans="1:2" x14ac:dyDescent="0.25">
      <c r="A295" t="str">
        <v>CCAL</v>
      </c>
      <c r="B295" t="str">
        <v>SSFLAT_MCSN03_20260319_</v>
      </c>
    </row>
    <row r="296" spans="1:2" x14ac:dyDescent="0.25">
      <c r="A296" t="str">
        <v>CCAL</v>
      </c>
      <c r="B296" t="str">
        <v>SSFLAT_MCSN03_20260319_</v>
      </c>
    </row>
    <row r="297" spans="1:2" x14ac:dyDescent="0.25">
      <c r="A297" t="str">
        <v>CCAL</v>
      </c>
      <c r="B297" t="str">
        <v>SSFLAT_MCSN03_20260319_</v>
      </c>
    </row>
    <row r="298" spans="1:2" x14ac:dyDescent="0.25">
      <c r="A298" t="str">
        <v>CCAL</v>
      </c>
      <c r="B298" t="str">
        <v>SSFLAT_MCSN03_20260319_</v>
      </c>
    </row>
    <row r="299" spans="1:2" x14ac:dyDescent="0.25">
      <c r="A299" t="str">
        <v>CCAL</v>
      </c>
      <c r="B299" t="str">
        <v>SSFLAT_MCSN03_20260319_</v>
      </c>
    </row>
    <row r="300" spans="1:2" x14ac:dyDescent="0.25">
      <c r="A300" t="str">
        <v>CCAL</v>
      </c>
      <c r="B300" t="str">
        <v>SSFLAT_MCSN03_20260319_</v>
      </c>
    </row>
    <row r="301" spans="1:2" x14ac:dyDescent="0.25">
      <c r="A301" t="str">
        <v>CCAL</v>
      </c>
      <c r="B301" t="str">
        <v>SSFLAT_MCSN03_20260319_</v>
      </c>
    </row>
    <row r="302" spans="1:2" x14ac:dyDescent="0.25">
      <c r="A302" t="str">
        <v>CCAL</v>
      </c>
      <c r="B302" t="str">
        <v>SSFLAT_MCSN03_20260319_</v>
      </c>
    </row>
    <row r="303" spans="1:2" x14ac:dyDescent="0.25">
      <c r="A303" t="str">
        <v>CCAL</v>
      </c>
      <c r="B303" t="str">
        <v>SSFLAT_MCSN03_20260319_</v>
      </c>
    </row>
    <row r="304" spans="1:2" x14ac:dyDescent="0.25">
      <c r="A304" t="str">
        <v>CCAL</v>
      </c>
      <c r="B304" t="str">
        <v>SSFLAT_MCSN03_20260319_</v>
      </c>
    </row>
    <row r="305" spans="1:2" x14ac:dyDescent="0.25">
      <c r="A305" t="str">
        <v>CCAL</v>
      </c>
      <c r="B305" t="str">
        <v>SSFLAT_MCSN03_20260319_</v>
      </c>
    </row>
    <row r="306" spans="1:2" x14ac:dyDescent="0.25">
      <c r="A306" t="str">
        <v>CCAL</v>
      </c>
      <c r="B306" t="str">
        <v>SSFLAT_MCSN03_20260319_</v>
      </c>
    </row>
    <row r="307" spans="1:2" x14ac:dyDescent="0.25">
      <c r="A307" t="str">
        <v>CCAL</v>
      </c>
      <c r="B307" t="str">
        <v>SSFLAT_MCSN03_20260319_</v>
      </c>
    </row>
    <row r="308" spans="1:2" x14ac:dyDescent="0.25">
      <c r="A308" t="str">
        <v>CCAL</v>
      </c>
      <c r="B308" t="str">
        <v>SSFLAT_MCSN03_20260319_</v>
      </c>
    </row>
    <row r="309" spans="1:2" x14ac:dyDescent="0.25">
      <c r="A309" t="str">
        <v>CCAL</v>
      </c>
      <c r="B309" t="str">
        <v>SSFLAT_MCSN03_20260319_</v>
      </c>
    </row>
    <row r="310" spans="1:2" x14ac:dyDescent="0.25">
      <c r="A310" t="str">
        <v>CCAL</v>
      </c>
      <c r="B310" t="str">
        <v>SSFLAT_MCSN03_20260319_</v>
      </c>
    </row>
    <row r="311" spans="1:2" x14ac:dyDescent="0.25">
      <c r="A311" t="str">
        <v>CCAL</v>
      </c>
      <c r="B311" t="str">
        <v>SSFLAT_MCSN03_20260319_</v>
      </c>
    </row>
    <row r="312" spans="1:2" x14ac:dyDescent="0.25">
      <c r="A312" t="str">
        <v>CCAL</v>
      </c>
      <c r="B312" t="str">
        <v>SSFLAT_MCSN03_20260319_</v>
      </c>
    </row>
    <row r="313" spans="1:2" x14ac:dyDescent="0.25">
      <c r="A313" t="str">
        <v>CCAL</v>
      </c>
      <c r="B313" t="str">
        <v>SSFLAT_MCSN04_20260319_</v>
      </c>
    </row>
    <row r="314" spans="1:2" x14ac:dyDescent="0.25">
      <c r="A314" t="str">
        <v>CCAL</v>
      </c>
      <c r="B314" t="str">
        <v>SSFLAT_MCSN04_20260319_</v>
      </c>
    </row>
    <row r="315" spans="1:2" x14ac:dyDescent="0.25">
      <c r="A315" t="str">
        <v>CCAL</v>
      </c>
      <c r="B315" t="str">
        <v>SSFLAT_MCSN04_20260319_</v>
      </c>
    </row>
    <row r="316" spans="1:2" x14ac:dyDescent="0.25">
      <c r="A316" t="str">
        <v>CCAL</v>
      </c>
      <c r="B316" t="str">
        <v>SSFLAT_MCSN04_20260319_</v>
      </c>
    </row>
    <row r="317" spans="1:2" x14ac:dyDescent="0.25">
      <c r="A317" t="str">
        <v>CCAL</v>
      </c>
      <c r="B317" t="str">
        <v>SSFLAT_MCSN04_20260319_</v>
      </c>
    </row>
    <row r="318" spans="1:2" x14ac:dyDescent="0.25">
      <c r="A318" t="str">
        <v>CCAL</v>
      </c>
      <c r="B318" t="str">
        <v>SSFLAT_MCSN04_20260319_</v>
      </c>
    </row>
    <row r="319" spans="1:2" x14ac:dyDescent="0.25">
      <c r="A319" t="str">
        <v>CCAL</v>
      </c>
      <c r="B319" t="str">
        <v>SSFLAT_MCSN04_20260319_</v>
      </c>
    </row>
    <row r="320" spans="1:2" x14ac:dyDescent="0.25">
      <c r="A320" t="str">
        <v>CCAL</v>
      </c>
      <c r="B320" t="str">
        <v>SSFLAT_MCSN04_20260319_</v>
      </c>
    </row>
    <row r="321" spans="1:2" x14ac:dyDescent="0.25">
      <c r="A321" t="str">
        <v>CCAL</v>
      </c>
      <c r="B321" t="str">
        <v>SSFLAT_MCSN04_20260319_</v>
      </c>
    </row>
    <row r="322" spans="1:2" x14ac:dyDescent="0.25">
      <c r="A322" t="str">
        <v>CCAL</v>
      </c>
      <c r="B322" t="str">
        <v>SSFLAT_MCSN04_20260319_</v>
      </c>
    </row>
    <row r="323" spans="1:2" x14ac:dyDescent="0.25">
      <c r="A323" t="str">
        <v>CCAL</v>
      </c>
      <c r="B323" t="str">
        <v>SSFLAT_MCSN04_20260319_</v>
      </c>
    </row>
    <row r="324" spans="1:2" x14ac:dyDescent="0.25">
      <c r="A324" t="str">
        <v>CCAL</v>
      </c>
      <c r="B324" t="str">
        <v>SSFLAT_MCSN04_20260319_</v>
      </c>
    </row>
    <row r="325" spans="1:2" x14ac:dyDescent="0.25">
      <c r="A325" t="str">
        <v>CCAL</v>
      </c>
      <c r="B325" t="str">
        <v>SSFLAT_MCSN04_20260319_</v>
      </c>
    </row>
    <row r="326" spans="1:2" x14ac:dyDescent="0.25">
      <c r="A326" t="str">
        <v>CCAL</v>
      </c>
      <c r="B326" t="str">
        <v>SSFLAT_MCSN04_20260319_</v>
      </c>
    </row>
    <row r="327" spans="1:2" x14ac:dyDescent="0.25">
      <c r="A327" t="str">
        <v>CCAL</v>
      </c>
      <c r="B327" t="str">
        <v>SSFLAT_MCSN04_20260319_</v>
      </c>
    </row>
    <row r="328" spans="1:2" x14ac:dyDescent="0.25">
      <c r="A328" t="str">
        <v>CCAL</v>
      </c>
      <c r="B328" t="str">
        <v>SSFLAT_MCSN04_20260319_</v>
      </c>
    </row>
    <row r="329" spans="1:2" x14ac:dyDescent="0.25">
      <c r="A329" t="str">
        <v>CCAL</v>
      </c>
      <c r="B329" t="str">
        <v>SSFLAT_MCSN04_20260319_</v>
      </c>
    </row>
    <row r="330" spans="1:2" x14ac:dyDescent="0.25">
      <c r="A330" t="str">
        <v>CCAL</v>
      </c>
      <c r="B330" t="str">
        <v>SSFLAT_MCSN04_20260319_</v>
      </c>
    </row>
    <row r="331" spans="1:2" x14ac:dyDescent="0.25">
      <c r="A331" t="str">
        <v>CCAL</v>
      </c>
      <c r="B331" t="str">
        <v>SSFLAT_MCSN04_20260319_</v>
      </c>
    </row>
    <row r="332" spans="1:2" x14ac:dyDescent="0.25">
      <c r="A332" t="str">
        <v>CCAL</v>
      </c>
      <c r="B332" t="str">
        <v>SSFLAT_MCSN04_20260319_</v>
      </c>
    </row>
    <row r="333" spans="1:2" x14ac:dyDescent="0.25">
      <c r="A333" t="str">
        <v>CCAL</v>
      </c>
      <c r="B333" t="str">
        <v>SSFLAT_MCSN04_20260319_</v>
      </c>
    </row>
    <row r="334" spans="1:2" x14ac:dyDescent="0.25">
      <c r="A334" t="str">
        <v>CCAL</v>
      </c>
      <c r="B334" t="str">
        <v>SSFLAT_MCSN04_20260319_</v>
      </c>
    </row>
    <row r="335" spans="1:2" x14ac:dyDescent="0.25">
      <c r="A335" t="str">
        <v>CCAL</v>
      </c>
      <c r="B335" t="str">
        <v>SSFLAT_MCSN04_20260319_</v>
      </c>
    </row>
    <row r="336" spans="1:2" x14ac:dyDescent="0.25">
      <c r="A336" t="str">
        <v>CCAL</v>
      </c>
      <c r="B336" t="str">
        <v>SSFLAT_MCSN04_20260319_</v>
      </c>
    </row>
    <row r="337" spans="1:2" x14ac:dyDescent="0.25">
      <c r="A337" t="str">
        <v>CCAL</v>
      </c>
      <c r="B337" t="str">
        <v>SSFLAT_MCSN05_20260319_</v>
      </c>
    </row>
    <row r="338" spans="1:2" x14ac:dyDescent="0.25">
      <c r="A338" t="str">
        <v>CCAL</v>
      </c>
      <c r="B338" t="str">
        <v>SSFLAT_MCSN05_20260319_</v>
      </c>
    </row>
    <row r="339" spans="1:2" x14ac:dyDescent="0.25">
      <c r="A339" t="str">
        <v>CCAL</v>
      </c>
      <c r="B339" t="str">
        <v>SSFLAT_MCSN05_20260319_</v>
      </c>
    </row>
    <row r="340" spans="1:2" x14ac:dyDescent="0.25">
      <c r="A340" t="str">
        <v>CCAL</v>
      </c>
      <c r="B340" t="str">
        <v>SSFLAT_MCSN05_20260319_</v>
      </c>
    </row>
    <row r="341" spans="1:2" x14ac:dyDescent="0.25">
      <c r="A341" t="str">
        <v>CCAL</v>
      </c>
      <c r="B341" t="str">
        <v>SSFLAT_MCSN05_20260319_</v>
      </c>
    </row>
    <row r="342" spans="1:2" x14ac:dyDescent="0.25">
      <c r="A342" t="str">
        <v>CCAL</v>
      </c>
      <c r="B342" t="str">
        <v>SSFLAT_MCSN05_20260319_</v>
      </c>
    </row>
    <row r="343" spans="1:2" x14ac:dyDescent="0.25">
      <c r="A343" t="str">
        <v>CCAL</v>
      </c>
      <c r="B343" t="str">
        <v>SSFLAT_MCSN05_20260319_</v>
      </c>
    </row>
    <row r="344" spans="1:2" x14ac:dyDescent="0.25">
      <c r="A344" t="str">
        <v>CCAL</v>
      </c>
      <c r="B344" t="str">
        <v>SSFLAT_MCSN05_20260319_</v>
      </c>
    </row>
    <row r="345" spans="1:2" x14ac:dyDescent="0.25">
      <c r="A345" t="str">
        <v>CCAL</v>
      </c>
      <c r="B345" t="str">
        <v>SSFLAT_MCSN05_20260319_</v>
      </c>
    </row>
    <row r="346" spans="1:2" x14ac:dyDescent="0.25">
      <c r="A346" t="str">
        <v>CCAL</v>
      </c>
      <c r="B346" t="str">
        <v>SSFLAT_MCSN05_20260319_</v>
      </c>
    </row>
    <row r="347" spans="1:2" x14ac:dyDescent="0.25">
      <c r="A347" t="str">
        <v>CCAL</v>
      </c>
      <c r="B347" t="str">
        <v>SSFLAT_MCSN05_20260319_</v>
      </c>
    </row>
    <row r="348" spans="1:2" x14ac:dyDescent="0.25">
      <c r="A348" t="str">
        <v>CCAL</v>
      </c>
      <c r="B348" t="str">
        <v>SSFLAT_MCSN05_20260319_</v>
      </c>
    </row>
    <row r="349" spans="1:2" x14ac:dyDescent="0.25">
      <c r="A349" t="str">
        <v>CCAL</v>
      </c>
      <c r="B349" t="str">
        <v>SSFLAT_MCSN05_20260319_</v>
      </c>
    </row>
    <row r="350" spans="1:2" x14ac:dyDescent="0.25">
      <c r="A350" t="str">
        <v>CCAL</v>
      </c>
      <c r="B350" t="str">
        <v>SSFLAT_MCSN05_20260319_</v>
      </c>
    </row>
    <row r="351" spans="1:2" x14ac:dyDescent="0.25">
      <c r="A351" t="str">
        <v>CCAL</v>
      </c>
      <c r="B351" t="str">
        <v>SSFLAT_MCSN05_20260319_</v>
      </c>
    </row>
    <row r="352" spans="1:2" x14ac:dyDescent="0.25">
      <c r="A352" t="str">
        <v>CCAL</v>
      </c>
      <c r="B352" t="str">
        <v>SSFLAT_MCSN05_20260319_</v>
      </c>
    </row>
    <row r="353" spans="1:2" x14ac:dyDescent="0.25">
      <c r="A353" t="str">
        <v>CCAL</v>
      </c>
      <c r="B353" t="str">
        <v>SSFLAT_MCSN05_20260319_</v>
      </c>
    </row>
    <row r="354" spans="1:2" x14ac:dyDescent="0.25">
      <c r="A354" t="str">
        <v>CCAL</v>
      </c>
      <c r="B354" t="str">
        <v>SSFLAT_MCSN05_20260319_</v>
      </c>
    </row>
    <row r="355" spans="1:2" x14ac:dyDescent="0.25">
      <c r="A355" t="str">
        <v>CCAL</v>
      </c>
      <c r="B355" t="str">
        <v>SSFLAT_MCSN05_20260319_</v>
      </c>
    </row>
    <row r="356" spans="1:2" x14ac:dyDescent="0.25">
      <c r="A356" t="str">
        <v>CCAL</v>
      </c>
      <c r="B356" t="str">
        <v>SSFLAT_MCSN05_20260319_</v>
      </c>
    </row>
    <row r="357" spans="1:2" x14ac:dyDescent="0.25">
      <c r="A357" t="str">
        <v>CCAL</v>
      </c>
      <c r="B357" t="str">
        <v>SSFLAT_MCSN05_20260319_</v>
      </c>
    </row>
    <row r="358" spans="1:2" x14ac:dyDescent="0.25">
      <c r="A358" t="str">
        <v>CCAL</v>
      </c>
      <c r="B358" t="str">
        <v>SSFLAT_MCSN05_20260319_</v>
      </c>
    </row>
    <row r="359" spans="1:2" x14ac:dyDescent="0.25">
      <c r="A359" t="str">
        <v>CCAL</v>
      </c>
      <c r="B359" t="str">
        <v>SSFLAT_MCSN05_20260319_</v>
      </c>
    </row>
    <row r="360" spans="1:2" x14ac:dyDescent="0.25">
      <c r="A360" t="str">
        <v>CCAL</v>
      </c>
      <c r="B360" t="str">
        <v>SSFLAT_MCSN05_20260319_</v>
      </c>
    </row>
    <row r="361" spans="1:2" x14ac:dyDescent="0.25">
      <c r="A361" t="str">
        <v>CCAL</v>
      </c>
      <c r="B361" t="str">
        <v>SSFLAT_MCSN06_20260319_</v>
      </c>
    </row>
    <row r="362" spans="1:2" x14ac:dyDescent="0.25">
      <c r="A362" t="str">
        <v>CCAL</v>
      </c>
      <c r="B362" t="str">
        <v>SSFLAT_MCSN06_20260319_</v>
      </c>
    </row>
    <row r="363" spans="1:2" x14ac:dyDescent="0.25">
      <c r="A363" t="str">
        <v>CCAL</v>
      </c>
      <c r="B363" t="str">
        <v>SSFLAT_MCSN06_20260319_</v>
      </c>
    </row>
    <row r="364" spans="1:2" x14ac:dyDescent="0.25">
      <c r="A364" t="str">
        <v>CCAL</v>
      </c>
      <c r="B364" t="str">
        <v>SSFLAT_MCSN06_20260319_</v>
      </c>
    </row>
    <row r="365" spans="1:2" x14ac:dyDescent="0.25">
      <c r="A365" t="str">
        <v>CCAL</v>
      </c>
      <c r="B365" t="str">
        <v>SSFLAT_MCSN06_20260319_</v>
      </c>
    </row>
    <row r="366" spans="1:2" x14ac:dyDescent="0.25">
      <c r="A366" t="str">
        <v>CCAL</v>
      </c>
      <c r="B366" t="str">
        <v>SSFLAT_MCSN06_20260319_</v>
      </c>
    </row>
    <row r="367" spans="1:2" x14ac:dyDescent="0.25">
      <c r="A367" t="str">
        <v>CCAL</v>
      </c>
      <c r="B367" t="str">
        <v>SSFLAT_MCSN06_20260319_</v>
      </c>
    </row>
    <row r="368" spans="1:2" x14ac:dyDescent="0.25">
      <c r="A368" t="str">
        <v>CCAL</v>
      </c>
      <c r="B368" t="str">
        <v>SSFLAT_MCSN06_20260319_</v>
      </c>
    </row>
    <row r="369" spans="1:2" x14ac:dyDescent="0.25">
      <c r="A369" t="str">
        <v>CCAL</v>
      </c>
      <c r="B369" t="str">
        <v>SSFLAT_MCSN06_20260319_</v>
      </c>
    </row>
    <row r="370" spans="1:2" x14ac:dyDescent="0.25">
      <c r="A370" t="str">
        <v>CCAL</v>
      </c>
      <c r="B370" t="str">
        <v>SSFLAT_MCSN06_20260319_</v>
      </c>
    </row>
    <row r="371" spans="1:2" x14ac:dyDescent="0.25">
      <c r="A371" t="str">
        <v>CCAL</v>
      </c>
      <c r="B371" t="str">
        <v>SSFLAT_MCSN06_20260319_</v>
      </c>
    </row>
    <row r="372" spans="1:2" x14ac:dyDescent="0.25">
      <c r="A372" t="str">
        <v>CCAL</v>
      </c>
      <c r="B372" t="str">
        <v>SSFLAT_MCSN06_20260319_</v>
      </c>
    </row>
    <row r="373" spans="1:2" x14ac:dyDescent="0.25">
      <c r="A373" t="str">
        <v>CCAL</v>
      </c>
      <c r="B373" t="str">
        <v>SSFLAT_MCSN06_20260319_</v>
      </c>
    </row>
    <row r="374" spans="1:2" x14ac:dyDescent="0.25">
      <c r="A374" t="str">
        <v>CCAL</v>
      </c>
      <c r="B374" t="str">
        <v>SSFLAT_MCSN06_20260319_</v>
      </c>
    </row>
    <row r="375" spans="1:2" x14ac:dyDescent="0.25">
      <c r="A375" t="str">
        <v>CCAL</v>
      </c>
      <c r="B375" t="str">
        <v>SSFLAT_MCSN06_20260319_</v>
      </c>
    </row>
    <row r="376" spans="1:2" x14ac:dyDescent="0.25">
      <c r="A376" t="str">
        <v>CCAL</v>
      </c>
      <c r="B376" t="str">
        <v>SSFLAT_MCSN06_20260319_</v>
      </c>
    </row>
    <row r="377" spans="1:2" x14ac:dyDescent="0.25">
      <c r="A377" t="str">
        <v>CCAL</v>
      </c>
      <c r="B377" t="str">
        <v>SSFLAT_MCSN06_20260319_</v>
      </c>
    </row>
    <row r="378" spans="1:2" x14ac:dyDescent="0.25">
      <c r="A378" t="str">
        <v>CCAL</v>
      </c>
      <c r="B378" t="str">
        <v>SSFLAT_MCSN06_20260319_</v>
      </c>
    </row>
    <row r="379" spans="1:2" x14ac:dyDescent="0.25">
      <c r="A379" t="str">
        <v>CCAL</v>
      </c>
      <c r="B379" t="str">
        <v>SSFLAT_MCSN06_20260319_</v>
      </c>
    </row>
    <row r="380" spans="1:2" x14ac:dyDescent="0.25">
      <c r="A380" t="str">
        <v>CCAL</v>
      </c>
      <c r="B380" t="str">
        <v>SSFLAT_MCSN06_20260319_</v>
      </c>
    </row>
    <row r="381" spans="1:2" x14ac:dyDescent="0.25">
      <c r="A381" t="str">
        <v>CCAL</v>
      </c>
      <c r="B381" t="str">
        <v>SSFLAT_MCSN06_20260319_</v>
      </c>
    </row>
    <row r="382" spans="1:2" x14ac:dyDescent="0.25">
      <c r="A382" t="str">
        <v>CCAL</v>
      </c>
      <c r="B382" t="str">
        <v>SSFLAT_MCSN06_20260319_</v>
      </c>
    </row>
    <row r="383" spans="1:2" x14ac:dyDescent="0.25">
      <c r="A383" t="str">
        <v>CCAL</v>
      </c>
      <c r="B383" t="str">
        <v>SSFLAT_MCSN06_20260319_</v>
      </c>
    </row>
    <row r="384" spans="1:2" x14ac:dyDescent="0.25">
      <c r="A384" t="str">
        <v>CCAL</v>
      </c>
      <c r="B384" t="str">
        <v>SSFLAT_MCSN06_20260319_</v>
      </c>
    </row>
    <row r="385" spans="1:2" x14ac:dyDescent="0.25">
      <c r="A385" t="str">
        <v>CCAL</v>
      </c>
      <c r="B385" t="str">
        <v>SSFLAT_MCSN07_20260319_</v>
      </c>
    </row>
    <row r="386" spans="1:2" x14ac:dyDescent="0.25">
      <c r="A386" t="str">
        <v>CCAL</v>
      </c>
      <c r="B386" t="str">
        <v>SSFLAT_MCSN07_20260319_</v>
      </c>
    </row>
    <row r="387" spans="1:2" x14ac:dyDescent="0.25">
      <c r="A387" t="str">
        <v>CCAL</v>
      </c>
      <c r="B387" t="str">
        <v>SSFLAT_MCSN07_20260319_</v>
      </c>
    </row>
    <row r="388" spans="1:2" x14ac:dyDescent="0.25">
      <c r="A388" t="str">
        <v>CCAL</v>
      </c>
      <c r="B388" t="str">
        <v>SSFLAT_MCSN07_20260319_</v>
      </c>
    </row>
    <row r="389" spans="1:2" x14ac:dyDescent="0.25">
      <c r="A389" t="str">
        <v>CCAL</v>
      </c>
      <c r="B389" t="str">
        <v>SSFLAT_MCSN07_20260319_</v>
      </c>
    </row>
    <row r="390" spans="1:2" x14ac:dyDescent="0.25">
      <c r="A390" t="str">
        <v>CCAL</v>
      </c>
      <c r="B390" t="str">
        <v>SSFLAT_MCSN07_20260319_</v>
      </c>
    </row>
    <row r="391" spans="1:2" x14ac:dyDescent="0.25">
      <c r="A391" t="str">
        <v>CCAL</v>
      </c>
      <c r="B391" t="str">
        <v>SSFLAT_MCSN07_20260319_</v>
      </c>
    </row>
    <row r="392" spans="1:2" x14ac:dyDescent="0.25">
      <c r="A392" t="str">
        <v>CCAL</v>
      </c>
      <c r="B392" t="str">
        <v>SSFLAT_MCSN07_20260319_</v>
      </c>
    </row>
    <row r="393" spans="1:2" x14ac:dyDescent="0.25">
      <c r="A393" t="str">
        <v>CCAL</v>
      </c>
      <c r="B393" t="str">
        <v>SSFLAT_MCSN07_20260319_</v>
      </c>
    </row>
    <row r="394" spans="1:2" x14ac:dyDescent="0.25">
      <c r="A394" t="str">
        <v>CCAL</v>
      </c>
      <c r="B394" t="str">
        <v>SSFLAT_MCSN07_20260319_</v>
      </c>
    </row>
    <row r="395" spans="1:2" x14ac:dyDescent="0.25">
      <c r="A395" t="str">
        <v>CCAL</v>
      </c>
      <c r="B395" t="str">
        <v>SSFLAT_MCSN07_20260319_</v>
      </c>
    </row>
    <row r="396" spans="1:2" x14ac:dyDescent="0.25">
      <c r="A396" t="str">
        <v>CCAL</v>
      </c>
      <c r="B396" t="str">
        <v>SSFLAT_MCSN07_20260319_</v>
      </c>
    </row>
    <row r="397" spans="1:2" x14ac:dyDescent="0.25">
      <c r="A397" t="str">
        <v>CCAL</v>
      </c>
      <c r="B397" t="str">
        <v>SSFLAT_MCSN07_20260319_</v>
      </c>
    </row>
    <row r="398" spans="1:2" x14ac:dyDescent="0.25">
      <c r="A398" t="str">
        <v>CCAL</v>
      </c>
      <c r="B398" t="str">
        <v>SSFLAT_MCSN07_20260319_</v>
      </c>
    </row>
    <row r="399" spans="1:2" x14ac:dyDescent="0.25">
      <c r="A399" t="str">
        <v>CCAL</v>
      </c>
      <c r="B399" t="str">
        <v>SSFLAT_MCSN07_20260319_</v>
      </c>
    </row>
    <row r="400" spans="1:2" x14ac:dyDescent="0.25">
      <c r="A400" t="str">
        <v>CCAL</v>
      </c>
      <c r="B400" t="str">
        <v>SSFLAT_MCSN07_20260319_</v>
      </c>
    </row>
    <row r="401" spans="1:2" x14ac:dyDescent="0.25">
      <c r="A401" t="str">
        <v>CCAL</v>
      </c>
      <c r="B401" t="str">
        <v>SSFLAT_MCSN07_20260319_</v>
      </c>
    </row>
    <row r="402" spans="1:2" x14ac:dyDescent="0.25">
      <c r="A402" t="str">
        <v>CCAL</v>
      </c>
      <c r="B402" t="str">
        <v>SSFLAT_MCSN07_20260319_</v>
      </c>
    </row>
    <row r="403" spans="1:2" x14ac:dyDescent="0.25">
      <c r="A403" t="str">
        <v>CCAL</v>
      </c>
      <c r="B403" t="str">
        <v>SSFLAT_MCSN07_20260319_</v>
      </c>
    </row>
    <row r="404" spans="1:2" x14ac:dyDescent="0.25">
      <c r="A404" t="str">
        <v>CCAL</v>
      </c>
      <c r="B404" t="str">
        <v>SSFLAT_MCSN07_20260319_</v>
      </c>
    </row>
    <row r="405" spans="1:2" x14ac:dyDescent="0.25">
      <c r="A405" t="str">
        <v>CCAL</v>
      </c>
      <c r="B405" t="str">
        <v>SSFLAT_MCSN07_20260319_</v>
      </c>
    </row>
    <row r="406" spans="1:2" x14ac:dyDescent="0.25">
      <c r="A406" t="str">
        <v>CCAL</v>
      </c>
      <c r="B406" t="str">
        <v>SSFLAT_MCSN07_20260319_</v>
      </c>
    </row>
    <row r="407" spans="1:2" x14ac:dyDescent="0.25">
      <c r="A407" t="str">
        <v>CCAL</v>
      </c>
      <c r="B407" t="str">
        <v>SSFLAT_MCSN07_20260319_</v>
      </c>
    </row>
    <row r="408" spans="1:2" x14ac:dyDescent="0.25">
      <c r="A408" t="str">
        <v>CCAL</v>
      </c>
      <c r="B408" t="str">
        <v>SSFLAT_MCSN07_20260319_</v>
      </c>
    </row>
    <row r="409" spans="1:2" x14ac:dyDescent="0.25">
      <c r="A409" t="str">
        <v>CCAL</v>
      </c>
      <c r="B409" t="str">
        <v>SSFLAT_MCSN08_20260319_</v>
      </c>
    </row>
    <row r="410" spans="1:2" x14ac:dyDescent="0.25">
      <c r="A410" t="str">
        <v>CCAL</v>
      </c>
      <c r="B410" t="str">
        <v>SSFLAT_MCSN08_20260319_</v>
      </c>
    </row>
    <row r="411" spans="1:2" x14ac:dyDescent="0.25">
      <c r="A411" t="str">
        <v>CCAL</v>
      </c>
      <c r="B411" t="str">
        <v>SSFLAT_MCSN08_20260319_</v>
      </c>
    </row>
    <row r="412" spans="1:2" x14ac:dyDescent="0.25">
      <c r="A412" t="str">
        <v>CCAL</v>
      </c>
      <c r="B412" t="str">
        <v>SSFLAT_MCSN08_20260319_</v>
      </c>
    </row>
    <row r="413" spans="1:2" x14ac:dyDescent="0.25">
      <c r="A413" t="str">
        <v>CCAL</v>
      </c>
      <c r="B413" t="str">
        <v>SSFLAT_MCSN08_20260319_</v>
      </c>
    </row>
    <row r="414" spans="1:2" x14ac:dyDescent="0.25">
      <c r="A414" t="str">
        <v>CCAL</v>
      </c>
      <c r="B414" t="str">
        <v>SSFLAT_MCSN08_20260319_</v>
      </c>
    </row>
    <row r="415" spans="1:2" x14ac:dyDescent="0.25">
      <c r="A415" t="str">
        <v>CCAL</v>
      </c>
      <c r="B415" t="str">
        <v>SSFLAT_MCSN08_20260319_</v>
      </c>
    </row>
    <row r="416" spans="1:2" x14ac:dyDescent="0.25">
      <c r="A416" t="str">
        <v>CCAL</v>
      </c>
      <c r="B416" t="str">
        <v>SSFLAT_MCSN08_20260319_</v>
      </c>
    </row>
    <row r="417" spans="1:2" x14ac:dyDescent="0.25">
      <c r="A417" t="str">
        <v>CCAL</v>
      </c>
      <c r="B417" t="str">
        <v>SSFLAT_MCSN08_20260319_</v>
      </c>
    </row>
    <row r="418" spans="1:2" x14ac:dyDescent="0.25">
      <c r="A418" t="str">
        <v>CCAL</v>
      </c>
      <c r="B418" t="str">
        <v>SSFLAT_MCSN08_20260319_</v>
      </c>
    </row>
    <row r="419" spans="1:2" x14ac:dyDescent="0.25">
      <c r="A419" t="str">
        <v>CCAL</v>
      </c>
      <c r="B419" t="str">
        <v>SSFLAT_MCSN08_20260319_</v>
      </c>
    </row>
    <row r="420" spans="1:2" x14ac:dyDescent="0.25">
      <c r="A420" t="str">
        <v>CCAL</v>
      </c>
      <c r="B420" t="str">
        <v>SSFLAT_MCSN08_20260319_</v>
      </c>
    </row>
    <row r="421" spans="1:2" x14ac:dyDescent="0.25">
      <c r="A421" t="str">
        <v>CCAL</v>
      </c>
      <c r="B421" t="str">
        <v>SSFLAT_MCSN08_20260319_</v>
      </c>
    </row>
    <row r="422" spans="1:2" x14ac:dyDescent="0.25">
      <c r="A422" t="str">
        <v>CCAL</v>
      </c>
      <c r="B422" t="str">
        <v>SSFLAT_MCSN08_20260319_</v>
      </c>
    </row>
    <row r="423" spans="1:2" x14ac:dyDescent="0.25">
      <c r="A423" t="str">
        <v>CCAL</v>
      </c>
      <c r="B423" t="str">
        <v>SSFLAT_MCSN08_20260319_</v>
      </c>
    </row>
    <row r="424" spans="1:2" x14ac:dyDescent="0.25">
      <c r="A424" t="str">
        <v>CCAL</v>
      </c>
      <c r="B424" t="str">
        <v>SSFLAT_MCSN08_20260319_</v>
      </c>
    </row>
    <row r="425" spans="1:2" x14ac:dyDescent="0.25">
      <c r="A425" t="str">
        <v>CCAL</v>
      </c>
      <c r="B425" t="str">
        <v>SSFLAT_MCSN08_20260319_</v>
      </c>
    </row>
    <row r="426" spans="1:2" x14ac:dyDescent="0.25">
      <c r="A426" t="str">
        <v>CCAL</v>
      </c>
      <c r="B426" t="str">
        <v>SSFLAT_MCSN08_20260319_</v>
      </c>
    </row>
    <row r="427" spans="1:2" x14ac:dyDescent="0.25">
      <c r="A427" t="str">
        <v>CCAL</v>
      </c>
      <c r="B427" t="str">
        <v>SSFLAT_MCSN08_20260319_</v>
      </c>
    </row>
    <row r="428" spans="1:2" x14ac:dyDescent="0.25">
      <c r="A428" t="str">
        <v>CCAL</v>
      </c>
      <c r="B428" t="str">
        <v>SSFLAT_MCSN08_20260319_</v>
      </c>
    </row>
    <row r="429" spans="1:2" x14ac:dyDescent="0.25">
      <c r="A429" t="str">
        <v>CCAL</v>
      </c>
      <c r="B429" t="str">
        <v>SSFLAT_MCSN08_20260319_</v>
      </c>
    </row>
    <row r="430" spans="1:2" x14ac:dyDescent="0.25">
      <c r="A430" t="str">
        <v>CCAL</v>
      </c>
      <c r="B430" t="str">
        <v>SSFLAT_MCSN08_20260319_</v>
      </c>
    </row>
    <row r="431" spans="1:2" x14ac:dyDescent="0.25">
      <c r="A431" t="str">
        <v>CCAL</v>
      </c>
      <c r="B431" t="str">
        <v>SSFLAT_MCSN08_20260319_</v>
      </c>
    </row>
    <row r="432" spans="1:2" x14ac:dyDescent="0.25">
      <c r="A432" t="str">
        <v>CCAL</v>
      </c>
      <c r="B432" t="str">
        <v>SSFLAT_MCSN08_20260319_</v>
      </c>
    </row>
    <row r="433" spans="1:2" x14ac:dyDescent="0.25">
      <c r="A433" t="str">
        <v>CCAL</v>
      </c>
      <c r="B433" t="str">
        <v>SSFLAT_MCSN09_20260319_</v>
      </c>
    </row>
    <row r="434" spans="1:2" x14ac:dyDescent="0.25">
      <c r="A434" t="str">
        <v>CCAL</v>
      </c>
      <c r="B434" t="str">
        <v>SSFLAT_MCSN09_20260319_</v>
      </c>
    </row>
    <row r="435" spans="1:2" x14ac:dyDescent="0.25">
      <c r="A435" t="str">
        <v>CCAL</v>
      </c>
      <c r="B435" t="str">
        <v>SSFLAT_MCSN09_20260319_</v>
      </c>
    </row>
    <row r="436" spans="1:2" x14ac:dyDescent="0.25">
      <c r="A436" t="str">
        <v>CCAL</v>
      </c>
      <c r="B436" t="str">
        <v>SSFLAT_MCSN09_20260319_</v>
      </c>
    </row>
    <row r="437" spans="1:2" x14ac:dyDescent="0.25">
      <c r="A437" t="str">
        <v>CCAL</v>
      </c>
      <c r="B437" t="str">
        <v>SSFLAT_MCSN09_20260319_</v>
      </c>
    </row>
    <row r="438" spans="1:2" x14ac:dyDescent="0.25">
      <c r="A438" t="str">
        <v>CCAL</v>
      </c>
      <c r="B438" t="str">
        <v>SSFLAT_MCSN09_20260319_</v>
      </c>
    </row>
    <row r="439" spans="1:2" x14ac:dyDescent="0.25">
      <c r="A439" t="str">
        <v>CCAL</v>
      </c>
      <c r="B439" t="str">
        <v>SSFLAT_MCSN09_20260319_</v>
      </c>
    </row>
    <row r="440" spans="1:2" x14ac:dyDescent="0.25">
      <c r="A440" t="str">
        <v>CCAL</v>
      </c>
      <c r="B440" t="str">
        <v>SSFLAT_MCSN09_20260319_</v>
      </c>
    </row>
    <row r="441" spans="1:2" x14ac:dyDescent="0.25">
      <c r="A441" t="str">
        <v>CCAL</v>
      </c>
      <c r="B441" t="str">
        <v>SSFLAT_MCSN09_20260319_</v>
      </c>
    </row>
    <row r="442" spans="1:2" x14ac:dyDescent="0.25">
      <c r="A442" t="str">
        <v>CCAL</v>
      </c>
      <c r="B442" t="str">
        <v>SSFLAT_MCSN09_20260319_</v>
      </c>
    </row>
    <row r="443" spans="1:2" x14ac:dyDescent="0.25">
      <c r="A443" t="str">
        <v>CCAL</v>
      </c>
      <c r="B443" t="str">
        <v>SSFLAT_MCSN09_20260319_</v>
      </c>
    </row>
    <row r="444" spans="1:2" x14ac:dyDescent="0.25">
      <c r="A444" t="str">
        <v>CCAL</v>
      </c>
      <c r="B444" t="str">
        <v>SSFLAT_MCSN09_20260319_</v>
      </c>
    </row>
    <row r="445" spans="1:2" x14ac:dyDescent="0.25">
      <c r="A445" t="str">
        <v>CCAL</v>
      </c>
      <c r="B445" t="str">
        <v>SSFLAT_MCSN09_20260319_</v>
      </c>
    </row>
    <row r="446" spans="1:2" x14ac:dyDescent="0.25">
      <c r="A446" t="str">
        <v>CCAL</v>
      </c>
      <c r="B446" t="str">
        <v>SSFLAT_MCSN09_20260319_</v>
      </c>
    </row>
    <row r="447" spans="1:2" x14ac:dyDescent="0.25">
      <c r="A447" t="str">
        <v>CCAL</v>
      </c>
      <c r="B447" t="str">
        <v>SSFLAT_MCSN09_20260319_</v>
      </c>
    </row>
    <row r="448" spans="1:2" x14ac:dyDescent="0.25">
      <c r="A448" t="str">
        <v>CCAL</v>
      </c>
      <c r="B448" t="str">
        <v>SSFLAT_MCSN09_20260319_</v>
      </c>
    </row>
    <row r="449" spans="1:2" x14ac:dyDescent="0.25">
      <c r="A449" t="str">
        <v>CCAL</v>
      </c>
      <c r="B449" t="str">
        <v>SSFLAT_MCSN09_20260319_</v>
      </c>
    </row>
    <row r="450" spans="1:2" x14ac:dyDescent="0.25">
      <c r="A450" t="str">
        <v>CCAL</v>
      </c>
      <c r="B450" t="str">
        <v>SSFLAT_MCSN09_20260319_</v>
      </c>
    </row>
    <row r="451" spans="1:2" x14ac:dyDescent="0.25">
      <c r="A451" t="str">
        <v>CCAL</v>
      </c>
      <c r="B451" t="str">
        <v>SSFLAT_MCSN09_20260319_</v>
      </c>
    </row>
    <row r="452" spans="1:2" x14ac:dyDescent="0.25">
      <c r="A452" t="str">
        <v>CCAL</v>
      </c>
      <c r="B452" t="str">
        <v>SSFLAT_MCSN09_20260319_</v>
      </c>
    </row>
    <row r="453" spans="1:2" x14ac:dyDescent="0.25">
      <c r="A453" t="str">
        <v>CCAL</v>
      </c>
      <c r="B453" t="str">
        <v>SSFLAT_MCSN09_20260319_</v>
      </c>
    </row>
    <row r="454" spans="1:2" x14ac:dyDescent="0.25">
      <c r="A454" t="str">
        <v>CCAL</v>
      </c>
      <c r="B454" t="str">
        <v>SSFLAT_MCSN09_20260319_</v>
      </c>
    </row>
    <row r="455" spans="1:2" x14ac:dyDescent="0.25">
      <c r="A455" t="str">
        <v>CCAL</v>
      </c>
      <c r="B455" t="str">
        <v>SSFLAT_MCSN09_20260319_</v>
      </c>
    </row>
    <row r="456" spans="1:2" x14ac:dyDescent="0.25">
      <c r="A456" t="str">
        <v>CCAL</v>
      </c>
      <c r="B456" t="str">
        <v>SSFLAT_MCSN09_20260319_</v>
      </c>
    </row>
    <row r="457" spans="1:2" x14ac:dyDescent="0.25">
      <c r="A457" t="str">
        <v>CCAL</v>
      </c>
      <c r="B457" t="str">
        <v>SSFLAT_MCSN10_20260319_</v>
      </c>
    </row>
    <row r="458" spans="1:2" x14ac:dyDescent="0.25">
      <c r="A458" t="str">
        <v>CCAL</v>
      </c>
      <c r="B458" t="str">
        <v>SSFLAT_MCSN10_20260319_</v>
      </c>
    </row>
    <row r="459" spans="1:2" x14ac:dyDescent="0.25">
      <c r="A459" t="str">
        <v>CCAL</v>
      </c>
      <c r="B459" t="str">
        <v>SSFLAT_MCSN10_20260319_</v>
      </c>
    </row>
    <row r="460" spans="1:2" x14ac:dyDescent="0.25">
      <c r="A460" t="str">
        <v>CCAL</v>
      </c>
      <c r="B460" t="str">
        <v>SSFLAT_MCSN10_20260319_</v>
      </c>
    </row>
    <row r="461" spans="1:2" x14ac:dyDescent="0.25">
      <c r="A461" t="str">
        <v>CCAL</v>
      </c>
      <c r="B461" t="str">
        <v>SSFLAT_MCSN10_20260319_</v>
      </c>
    </row>
    <row r="462" spans="1:2" x14ac:dyDescent="0.25">
      <c r="A462" t="str">
        <v>CCAL</v>
      </c>
      <c r="B462" t="str">
        <v>SSFLAT_MCSN10_20260319_</v>
      </c>
    </row>
    <row r="463" spans="1:2" x14ac:dyDescent="0.25">
      <c r="A463" t="str">
        <v>CCAL</v>
      </c>
      <c r="B463" t="str">
        <v>SSFLAT_MCSN10_20260319_</v>
      </c>
    </row>
    <row r="464" spans="1:2" x14ac:dyDescent="0.25">
      <c r="A464" t="str">
        <v>CCAL</v>
      </c>
      <c r="B464" t="str">
        <v>SSFLAT_MCSN10_20260319_</v>
      </c>
    </row>
    <row r="465" spans="1:2" x14ac:dyDescent="0.25">
      <c r="A465" t="str">
        <v>CCAL</v>
      </c>
      <c r="B465" t="str">
        <v>SSFLAT_MCSN10_20260319_</v>
      </c>
    </row>
    <row r="466" spans="1:2" x14ac:dyDescent="0.25">
      <c r="A466" t="str">
        <v>CCAL</v>
      </c>
      <c r="B466" t="str">
        <v>SSFLAT_MCSN10_20260319_</v>
      </c>
    </row>
    <row r="467" spans="1:2" x14ac:dyDescent="0.25">
      <c r="A467" t="str">
        <v>CCAL</v>
      </c>
      <c r="B467" t="str">
        <v>SSFLAT_MCSN10_20260319_</v>
      </c>
    </row>
    <row r="468" spans="1:2" x14ac:dyDescent="0.25">
      <c r="A468" t="str">
        <v>CCAL</v>
      </c>
      <c r="B468" t="str">
        <v>SSFLAT_MCSN10_20260319_</v>
      </c>
    </row>
    <row r="469" spans="1:2" x14ac:dyDescent="0.25">
      <c r="A469" t="str">
        <v>CCAL</v>
      </c>
      <c r="B469" t="str">
        <v>SSFLAT_MCSN10_20260319_</v>
      </c>
    </row>
    <row r="470" spans="1:2" x14ac:dyDescent="0.25">
      <c r="A470" t="str">
        <v>CCAL</v>
      </c>
      <c r="B470" t="str">
        <v>SSFLAT_MCSN10_20260319_</v>
      </c>
    </row>
    <row r="471" spans="1:2" x14ac:dyDescent="0.25">
      <c r="A471" t="str">
        <v>CCAL</v>
      </c>
      <c r="B471" t="str">
        <v>SSFLAT_MCSN10_20260319_</v>
      </c>
    </row>
    <row r="472" spans="1:2" x14ac:dyDescent="0.25">
      <c r="A472" t="str">
        <v>CCAL</v>
      </c>
      <c r="B472" t="str">
        <v>SSFLAT_MCSN10_20260319_</v>
      </c>
    </row>
    <row r="473" spans="1:2" x14ac:dyDescent="0.25">
      <c r="A473" t="str">
        <v>CCAL</v>
      </c>
      <c r="B473" t="str">
        <v>SSFLAT_MCSN10_20260319_</v>
      </c>
    </row>
    <row r="474" spans="1:2" x14ac:dyDescent="0.25">
      <c r="A474" t="str">
        <v>CCAL</v>
      </c>
      <c r="B474" t="str">
        <v>SSFLAT_MCSN10_20260319_</v>
      </c>
    </row>
    <row r="475" spans="1:2" x14ac:dyDescent="0.25">
      <c r="A475" t="str">
        <v>CCAL</v>
      </c>
      <c r="B475" t="str">
        <v>SSFLAT_MCSN10_20260319_</v>
      </c>
    </row>
    <row r="476" spans="1:2" x14ac:dyDescent="0.25">
      <c r="A476" t="str">
        <v>CCAL</v>
      </c>
      <c r="B476" t="str">
        <v>SSFLAT_MCSN10_20260319_</v>
      </c>
    </row>
    <row r="477" spans="1:2" x14ac:dyDescent="0.25">
      <c r="A477" t="str">
        <v>CCAL</v>
      </c>
      <c r="B477" t="str">
        <v>SSFLAT_MCSN10_20260319_</v>
      </c>
    </row>
    <row r="478" spans="1:2" x14ac:dyDescent="0.25">
      <c r="A478" t="str">
        <v>CCAL</v>
      </c>
      <c r="B478" t="str">
        <v>SSFLAT_MCSN10_20260319_</v>
      </c>
    </row>
    <row r="479" spans="1:2" x14ac:dyDescent="0.25">
      <c r="A479" t="str">
        <v>CCAL</v>
      </c>
      <c r="B479" t="str">
        <v>SSFLAT_MCSN10_20260319_</v>
      </c>
    </row>
    <row r="480" spans="1:2" x14ac:dyDescent="0.25">
      <c r="A480" t="str">
        <v>Excess</v>
      </c>
      <c r="B480" t="str">
        <v>SSFLAT_MCSN01_20260319_</v>
      </c>
    </row>
    <row r="481" spans="1:2" x14ac:dyDescent="0.25">
      <c r="A481" t="str">
        <v>Excess</v>
      </c>
      <c r="B481" t="str">
        <v>SSFLAT_MCSN01_20260319_</v>
      </c>
    </row>
    <row r="482" spans="1:2" x14ac:dyDescent="0.25">
      <c r="A482" t="str">
        <v>Excess</v>
      </c>
      <c r="B482" t="str">
        <v>SSFLAT_MCSN01_20260319_</v>
      </c>
    </row>
    <row r="483" spans="1:2" x14ac:dyDescent="0.25">
      <c r="A483" t="str">
        <v>Excess</v>
      </c>
      <c r="B483" t="str">
        <v>SSFLAT_MCSN01_20260319_</v>
      </c>
    </row>
    <row r="484" spans="1:2" x14ac:dyDescent="0.25">
      <c r="A484" t="str">
        <v>Excess</v>
      </c>
      <c r="B484" t="str">
        <v>SSFLAT_MCSN01_20260319_</v>
      </c>
    </row>
    <row r="485" spans="1:2" x14ac:dyDescent="0.25">
      <c r="A485" t="str">
        <v>Excess</v>
      </c>
      <c r="B485" t="str">
        <v>SSFLAT_MCSN01_20260319_</v>
      </c>
    </row>
    <row r="486" spans="1:2" x14ac:dyDescent="0.25">
      <c r="A486" t="str">
        <v>Excess</v>
      </c>
      <c r="B486" t="str">
        <v>SSFLAT_MCSN01_20260319_</v>
      </c>
    </row>
    <row r="487" spans="1:2" x14ac:dyDescent="0.25">
      <c r="A487" t="str">
        <v>Excess</v>
      </c>
      <c r="B487" t="str">
        <v>SSFLAT_MCSN01_20260319_</v>
      </c>
    </row>
    <row r="488" spans="1:2" x14ac:dyDescent="0.25">
      <c r="A488" t="str">
        <v>Excess</v>
      </c>
      <c r="B488" t="str">
        <v>SSFLAT_MCSN01_20260319_</v>
      </c>
    </row>
    <row r="489" spans="1:2" x14ac:dyDescent="0.25">
      <c r="A489" t="str">
        <v>Excess</v>
      </c>
      <c r="B489" t="str">
        <v>SSFLAT_MCSN01_20260319_</v>
      </c>
    </row>
    <row r="490" spans="1:2" x14ac:dyDescent="0.25">
      <c r="A490" t="str">
        <v>Excess</v>
      </c>
      <c r="B490" t="str">
        <v>SSFLAT_MCSN01_20260319_</v>
      </c>
    </row>
    <row r="491" spans="1:2" x14ac:dyDescent="0.25">
      <c r="A491" t="str">
        <v>Excess</v>
      </c>
      <c r="B491" t="str">
        <v>SSFLAT_MCSN01_20260319_</v>
      </c>
    </row>
    <row r="492" spans="1:2" x14ac:dyDescent="0.25">
      <c r="A492" t="str">
        <v>Excess</v>
      </c>
      <c r="B492" t="str">
        <v>SSFLAT_MCSN01_20260319_</v>
      </c>
    </row>
    <row r="493" spans="1:2" x14ac:dyDescent="0.25">
      <c r="A493" t="str">
        <v>Excess</v>
      </c>
      <c r="B493" t="str">
        <v>SSFLAT_MCSN01_20260319_</v>
      </c>
    </row>
    <row r="494" spans="1:2" x14ac:dyDescent="0.25">
      <c r="A494" t="str">
        <v>Excess</v>
      </c>
      <c r="B494" t="str">
        <v>SSFLAT_MCSN01_20260319_</v>
      </c>
    </row>
    <row r="495" spans="1:2" x14ac:dyDescent="0.25">
      <c r="A495" t="str">
        <v>Excess</v>
      </c>
      <c r="B495" t="str">
        <v>SSFLAT_MCSN01_20260319_</v>
      </c>
    </row>
    <row r="496" spans="1:2" x14ac:dyDescent="0.25">
      <c r="A496" t="str">
        <v>Excess</v>
      </c>
      <c r="B496" t="str">
        <v>SSFLAT_MCSN01_20260319_</v>
      </c>
    </row>
    <row r="497" spans="1:2" x14ac:dyDescent="0.25">
      <c r="A497" t="str">
        <v>Excess</v>
      </c>
      <c r="B497" t="str">
        <v>SSFLAT_MCSN01_20260319_</v>
      </c>
    </row>
    <row r="498" spans="1:2" x14ac:dyDescent="0.25">
      <c r="A498" t="str">
        <v>Excess</v>
      </c>
      <c r="B498" t="str">
        <v>SSFLAT_MCSN01_20260319_</v>
      </c>
    </row>
    <row r="499" spans="1:2" x14ac:dyDescent="0.25">
      <c r="A499" t="str">
        <v>Excess</v>
      </c>
      <c r="B499" t="str">
        <v>SSFLAT_MCSN01_20260319_</v>
      </c>
    </row>
    <row r="500" spans="1:2" x14ac:dyDescent="0.25">
      <c r="A500" t="str">
        <v>Excess</v>
      </c>
      <c r="B500" t="str">
        <v>SSFLAT_MCSN01_20260319_</v>
      </c>
    </row>
    <row r="501" spans="1:2" x14ac:dyDescent="0.25">
      <c r="A501" t="str">
        <v>Excess</v>
      </c>
      <c r="B501" t="str">
        <v>SSFLAT_MCSN01_20260319_</v>
      </c>
    </row>
    <row r="502" spans="1:2" x14ac:dyDescent="0.25">
      <c r="A502" t="str">
        <v>Excess</v>
      </c>
      <c r="B502" t="str">
        <v>SSFLAT_MCSN01_20260319_</v>
      </c>
    </row>
    <row r="503" spans="1:2" x14ac:dyDescent="0.25">
      <c r="A503" t="str">
        <v>Excess</v>
      </c>
      <c r="B503" t="str">
        <v>SSFLAT_MCSN01_20260319_</v>
      </c>
    </row>
    <row r="504" spans="1:2" x14ac:dyDescent="0.25">
      <c r="A504" t="str">
        <v>Excess</v>
      </c>
      <c r="B504" t="str">
        <v>SSFLAT_MCSN02_20260319_</v>
      </c>
    </row>
    <row r="505" spans="1:2" x14ac:dyDescent="0.25">
      <c r="A505" t="str">
        <v>Excess</v>
      </c>
      <c r="B505" t="str">
        <v>SSFLAT_MCSN02_20260319_</v>
      </c>
    </row>
    <row r="506" spans="1:2" x14ac:dyDescent="0.25">
      <c r="A506" t="str">
        <v>Excess</v>
      </c>
      <c r="B506" t="str">
        <v>SSFLAT_MCSN02_20260319_</v>
      </c>
    </row>
    <row r="507" spans="1:2" x14ac:dyDescent="0.25">
      <c r="A507" t="str">
        <v>Excess</v>
      </c>
      <c r="B507" t="str">
        <v>SSFLAT_MCSN02_20260319_</v>
      </c>
    </row>
    <row r="508" spans="1:2" x14ac:dyDescent="0.25">
      <c r="A508" t="str">
        <v>Excess</v>
      </c>
      <c r="B508" t="str">
        <v>SSFLAT_MCSN02_20260319_</v>
      </c>
    </row>
    <row r="509" spans="1:2" x14ac:dyDescent="0.25">
      <c r="A509" t="str">
        <v>Excess</v>
      </c>
      <c r="B509" t="str">
        <v>SSFLAT_MCSN02_20260319_</v>
      </c>
    </row>
    <row r="510" spans="1:2" x14ac:dyDescent="0.25">
      <c r="A510" t="str">
        <v>Excess</v>
      </c>
      <c r="B510" t="str">
        <v>SSFLAT_MCSN02_20260319_</v>
      </c>
    </row>
    <row r="511" spans="1:2" x14ac:dyDescent="0.25">
      <c r="A511" t="str">
        <v>Excess</v>
      </c>
      <c r="B511" t="str">
        <v>SSFLAT_MCSN02_20260319_</v>
      </c>
    </row>
    <row r="512" spans="1:2" x14ac:dyDescent="0.25">
      <c r="A512" t="str">
        <v>Excess</v>
      </c>
      <c r="B512" t="str">
        <v>SSFLAT_MCSN02_20260319_</v>
      </c>
    </row>
    <row r="513" spans="1:2" x14ac:dyDescent="0.25">
      <c r="A513" t="str">
        <v>Excess</v>
      </c>
      <c r="B513" t="str">
        <v>SSFLAT_MCSN02_20260319_</v>
      </c>
    </row>
    <row r="514" spans="1:2" x14ac:dyDescent="0.25">
      <c r="A514" t="str">
        <v>Excess</v>
      </c>
      <c r="B514" t="str">
        <v>SSFLAT_MCSN02_20260319_</v>
      </c>
    </row>
    <row r="515" spans="1:2" x14ac:dyDescent="0.25">
      <c r="A515" t="str">
        <v>Excess</v>
      </c>
      <c r="B515" t="str">
        <v>SSFLAT_MCSN02_20260319_</v>
      </c>
    </row>
    <row r="516" spans="1:2" x14ac:dyDescent="0.25">
      <c r="A516" t="str">
        <v>Excess</v>
      </c>
      <c r="B516" t="str">
        <v>SSFLAT_MCSN02_20260319_</v>
      </c>
    </row>
    <row r="517" spans="1:2" x14ac:dyDescent="0.25">
      <c r="A517" t="str">
        <v>Excess</v>
      </c>
      <c r="B517" t="str">
        <v>SSFLAT_MCSN02_20260319_</v>
      </c>
    </row>
    <row r="518" spans="1:2" x14ac:dyDescent="0.25">
      <c r="A518" t="str">
        <v>Excess</v>
      </c>
      <c r="B518" t="str">
        <v>SSFLAT_MCSN02_20260319_</v>
      </c>
    </row>
    <row r="519" spans="1:2" x14ac:dyDescent="0.25">
      <c r="A519" t="str">
        <v>Excess</v>
      </c>
      <c r="B519" t="str">
        <v>SSFLAT_MCSN02_20260319_</v>
      </c>
    </row>
    <row r="520" spans="1:2" x14ac:dyDescent="0.25">
      <c r="A520" t="str">
        <v>Excess</v>
      </c>
      <c r="B520" t="str">
        <v>SSFLAT_MCSN02_20260319_</v>
      </c>
    </row>
    <row r="521" spans="1:2" x14ac:dyDescent="0.25">
      <c r="A521" t="str">
        <v>Excess</v>
      </c>
      <c r="B521" t="str">
        <v>SSFLAT_MCSN02_20260319_</v>
      </c>
    </row>
    <row r="522" spans="1:2" x14ac:dyDescent="0.25">
      <c r="A522" t="str">
        <v>Excess</v>
      </c>
      <c r="B522" t="str">
        <v>SSFLAT_MCSN02_20260319_</v>
      </c>
    </row>
    <row r="523" spans="1:2" x14ac:dyDescent="0.25">
      <c r="A523" t="str">
        <v>Excess</v>
      </c>
      <c r="B523" t="str">
        <v>SSFLAT_MCSN02_20260319_</v>
      </c>
    </row>
    <row r="524" spans="1:2" x14ac:dyDescent="0.25">
      <c r="A524" t="str">
        <v>Excess</v>
      </c>
      <c r="B524" t="str">
        <v>SSFLAT_MCSN02_20260319_</v>
      </c>
    </row>
    <row r="525" spans="1:2" x14ac:dyDescent="0.25">
      <c r="A525" t="str">
        <v>Excess</v>
      </c>
      <c r="B525" t="str">
        <v>SSFLAT_MCSN02_20260319_</v>
      </c>
    </row>
    <row r="526" spans="1:2" x14ac:dyDescent="0.25">
      <c r="A526" t="str">
        <v>Excess</v>
      </c>
      <c r="B526" t="str">
        <v>SSFLAT_MCSN02_20260319_</v>
      </c>
    </row>
    <row r="527" spans="1:2" x14ac:dyDescent="0.25">
      <c r="A527" t="str">
        <v>Excess</v>
      </c>
      <c r="B527" t="str">
        <v>SSFLAT_MCSN02_20260319_</v>
      </c>
    </row>
    <row r="528" spans="1:2" x14ac:dyDescent="0.25">
      <c r="A528" t="str">
        <v>Excess</v>
      </c>
      <c r="B528" t="str">
        <v>SSFLAT_MCSN03_20260319_</v>
      </c>
    </row>
    <row r="529" spans="1:2" x14ac:dyDescent="0.25">
      <c r="A529" t="str">
        <v>Excess</v>
      </c>
      <c r="B529" t="str">
        <v>SSFLAT_MCSN03_20260319_</v>
      </c>
    </row>
    <row r="530" spans="1:2" x14ac:dyDescent="0.25">
      <c r="A530" t="str">
        <v>Excess</v>
      </c>
      <c r="B530" t="str">
        <v>SSFLAT_MCSN03_20260319_</v>
      </c>
    </row>
    <row r="531" spans="1:2" x14ac:dyDescent="0.25">
      <c r="A531" t="str">
        <v>Excess</v>
      </c>
      <c r="B531" t="str">
        <v>SSFLAT_MCSN03_20260319_</v>
      </c>
    </row>
    <row r="532" spans="1:2" x14ac:dyDescent="0.25">
      <c r="A532" t="str">
        <v>Excess</v>
      </c>
      <c r="B532" t="str">
        <v>SSFLAT_MCSN03_20260319_</v>
      </c>
    </row>
    <row r="533" spans="1:2" x14ac:dyDescent="0.25">
      <c r="A533" t="str">
        <v>Excess</v>
      </c>
      <c r="B533" t="str">
        <v>SSFLAT_MCSN03_20260319_</v>
      </c>
    </row>
    <row r="534" spans="1:2" x14ac:dyDescent="0.25">
      <c r="A534" t="str">
        <v>Excess</v>
      </c>
      <c r="B534" t="str">
        <v>SSFLAT_MCSN03_20260319_</v>
      </c>
    </row>
    <row r="535" spans="1:2" x14ac:dyDescent="0.25">
      <c r="A535" t="str">
        <v>Excess</v>
      </c>
      <c r="B535" t="str">
        <v>SSFLAT_MCSN03_20260319_</v>
      </c>
    </row>
    <row r="536" spans="1:2" x14ac:dyDescent="0.25">
      <c r="A536" t="str">
        <v>Excess</v>
      </c>
      <c r="B536" t="str">
        <v>SSFLAT_MCSN03_20260319_</v>
      </c>
    </row>
    <row r="537" spans="1:2" x14ac:dyDescent="0.25">
      <c r="A537" t="str">
        <v>Excess</v>
      </c>
      <c r="B537" t="str">
        <v>SSFLAT_MCSN03_20260319_</v>
      </c>
    </row>
    <row r="538" spans="1:2" x14ac:dyDescent="0.25">
      <c r="A538" t="str">
        <v>Excess</v>
      </c>
      <c r="B538" t="str">
        <v>SSFLAT_MCSN03_20260319_</v>
      </c>
    </row>
    <row r="539" spans="1:2" x14ac:dyDescent="0.25">
      <c r="A539" t="str">
        <v>Excess</v>
      </c>
      <c r="B539" t="str">
        <v>SSFLAT_MCSN03_20260319_</v>
      </c>
    </row>
    <row r="540" spans="1:2" x14ac:dyDescent="0.25">
      <c r="A540" t="str">
        <v>Excess</v>
      </c>
      <c r="B540" t="str">
        <v>SSFLAT_MCSN03_20260319_</v>
      </c>
    </row>
    <row r="541" spans="1:2" x14ac:dyDescent="0.25">
      <c r="A541" t="str">
        <v>Excess</v>
      </c>
      <c r="B541" t="str">
        <v>SSFLAT_MCSN03_20260319_</v>
      </c>
    </row>
    <row r="542" spans="1:2" x14ac:dyDescent="0.25">
      <c r="A542" t="str">
        <v>Excess</v>
      </c>
      <c r="B542" t="str">
        <v>SSFLAT_MCSN03_20260319_</v>
      </c>
    </row>
    <row r="543" spans="1:2" x14ac:dyDescent="0.25">
      <c r="A543" t="str">
        <v>Excess</v>
      </c>
      <c r="B543" t="str">
        <v>SSFLAT_MCSN03_20260319_</v>
      </c>
    </row>
    <row r="544" spans="1:2" x14ac:dyDescent="0.25">
      <c r="A544" t="str">
        <v>Excess</v>
      </c>
      <c r="B544" t="str">
        <v>SSFLAT_MCSN03_20260319_</v>
      </c>
    </row>
    <row r="545" spans="1:2" x14ac:dyDescent="0.25">
      <c r="A545" t="str">
        <v>Excess</v>
      </c>
      <c r="B545" t="str">
        <v>SSFLAT_MCSN03_20260319_</v>
      </c>
    </row>
    <row r="546" spans="1:2" x14ac:dyDescent="0.25">
      <c r="A546" t="str">
        <v>Excess</v>
      </c>
      <c r="B546" t="str">
        <v>SSFLAT_MCSN03_20260319_</v>
      </c>
    </row>
    <row r="547" spans="1:2" x14ac:dyDescent="0.25">
      <c r="A547" t="str">
        <v>Excess</v>
      </c>
      <c r="B547" t="str">
        <v>SSFLAT_MCSN03_20260319_</v>
      </c>
    </row>
    <row r="548" spans="1:2" x14ac:dyDescent="0.25">
      <c r="A548" t="str">
        <v>Excess</v>
      </c>
      <c r="B548" t="str">
        <v>SSFLAT_MCSN03_20260319_</v>
      </c>
    </row>
    <row r="549" spans="1:2" x14ac:dyDescent="0.25">
      <c r="A549" t="str">
        <v>Excess</v>
      </c>
      <c r="B549" t="str">
        <v>SSFLAT_MCSN03_20260319_</v>
      </c>
    </row>
    <row r="550" spans="1:2" x14ac:dyDescent="0.25">
      <c r="A550" t="str">
        <v>Excess</v>
      </c>
      <c r="B550" t="str">
        <v>SSFLAT_MCSN03_20260319_</v>
      </c>
    </row>
    <row r="551" spans="1:2" x14ac:dyDescent="0.25">
      <c r="A551" t="str">
        <v>Excess</v>
      </c>
      <c r="B551" t="str">
        <v>SSFLAT_MCSN03_20260319_</v>
      </c>
    </row>
    <row r="552" spans="1:2" x14ac:dyDescent="0.25">
      <c r="A552" t="str">
        <v>Excess</v>
      </c>
      <c r="B552" t="str">
        <v>SSFLAT_MCSN04_20260319_</v>
      </c>
    </row>
    <row r="553" spans="1:2" x14ac:dyDescent="0.25">
      <c r="A553" t="str">
        <v>Excess</v>
      </c>
      <c r="B553" t="str">
        <v>SSFLAT_MCSN04_20260319_</v>
      </c>
    </row>
    <row r="554" spans="1:2" x14ac:dyDescent="0.25">
      <c r="A554" t="str">
        <v>Excess</v>
      </c>
      <c r="B554" t="str">
        <v>SSFLAT_MCSN04_20260319_</v>
      </c>
    </row>
    <row r="555" spans="1:2" x14ac:dyDescent="0.25">
      <c r="A555" t="str">
        <v>Excess</v>
      </c>
      <c r="B555" t="str">
        <v>SSFLAT_MCSN04_20260319_</v>
      </c>
    </row>
    <row r="556" spans="1:2" x14ac:dyDescent="0.25">
      <c r="A556" t="str">
        <v>Excess</v>
      </c>
      <c r="B556" t="str">
        <v>SSFLAT_MCSN04_20260319_</v>
      </c>
    </row>
    <row r="557" spans="1:2" x14ac:dyDescent="0.25">
      <c r="A557" t="str">
        <v>Excess</v>
      </c>
      <c r="B557" t="str">
        <v>SSFLAT_MCSN04_20260319_</v>
      </c>
    </row>
    <row r="558" spans="1:2" x14ac:dyDescent="0.25">
      <c r="A558" t="str">
        <v>Excess</v>
      </c>
      <c r="B558" t="str">
        <v>SSFLAT_MCSN04_20260319_</v>
      </c>
    </row>
    <row r="559" spans="1:2" x14ac:dyDescent="0.25">
      <c r="A559" t="str">
        <v>Excess</v>
      </c>
      <c r="B559" t="str">
        <v>SSFLAT_MCSN04_20260319_</v>
      </c>
    </row>
    <row r="560" spans="1:2" x14ac:dyDescent="0.25">
      <c r="A560" t="str">
        <v>Excess</v>
      </c>
      <c r="B560" t="str">
        <v>SSFLAT_MCSN04_20260319_</v>
      </c>
    </row>
    <row r="561" spans="1:2" x14ac:dyDescent="0.25">
      <c r="A561" t="str">
        <v>Excess</v>
      </c>
      <c r="B561" t="str">
        <v>SSFLAT_MCSN04_20260319_</v>
      </c>
    </row>
    <row r="562" spans="1:2" x14ac:dyDescent="0.25">
      <c r="A562" t="str">
        <v>Excess</v>
      </c>
      <c r="B562" t="str">
        <v>SSFLAT_MCSN04_20260319_</v>
      </c>
    </row>
    <row r="563" spans="1:2" x14ac:dyDescent="0.25">
      <c r="A563" t="str">
        <v>Excess</v>
      </c>
      <c r="B563" t="str">
        <v>SSFLAT_MCSN04_20260319_</v>
      </c>
    </row>
    <row r="564" spans="1:2" x14ac:dyDescent="0.25">
      <c r="A564" t="str">
        <v>Excess</v>
      </c>
      <c r="B564" t="str">
        <v>SSFLAT_MCSN04_20260319_</v>
      </c>
    </row>
    <row r="565" spans="1:2" x14ac:dyDescent="0.25">
      <c r="A565" t="str">
        <v>Excess</v>
      </c>
      <c r="B565" t="str">
        <v>SSFLAT_MCSN04_20260319_</v>
      </c>
    </row>
    <row r="566" spans="1:2" x14ac:dyDescent="0.25">
      <c r="A566" t="str">
        <v>Excess</v>
      </c>
      <c r="B566" t="str">
        <v>SSFLAT_MCSN04_20260319_</v>
      </c>
    </row>
    <row r="567" spans="1:2" x14ac:dyDescent="0.25">
      <c r="A567" t="str">
        <v>Excess</v>
      </c>
      <c r="B567" t="str">
        <v>SSFLAT_MCSN04_20260319_</v>
      </c>
    </row>
    <row r="568" spans="1:2" x14ac:dyDescent="0.25">
      <c r="A568" t="str">
        <v>Excess</v>
      </c>
      <c r="B568" t="str">
        <v>SSFLAT_MCSN04_20260319_</v>
      </c>
    </row>
    <row r="569" spans="1:2" x14ac:dyDescent="0.25">
      <c r="A569" t="str">
        <v>Excess</v>
      </c>
      <c r="B569" t="str">
        <v>SSFLAT_MCSN04_20260319_</v>
      </c>
    </row>
    <row r="570" spans="1:2" x14ac:dyDescent="0.25">
      <c r="A570" t="str">
        <v>Excess</v>
      </c>
      <c r="B570" t="str">
        <v>SSFLAT_MCSN04_20260319_</v>
      </c>
    </row>
    <row r="571" spans="1:2" x14ac:dyDescent="0.25">
      <c r="A571" t="str">
        <v>Excess</v>
      </c>
      <c r="B571" t="str">
        <v>SSFLAT_MCSN04_20260319_</v>
      </c>
    </row>
    <row r="572" spans="1:2" x14ac:dyDescent="0.25">
      <c r="A572" t="str">
        <v>Excess</v>
      </c>
      <c r="B572" t="str">
        <v>SSFLAT_MCSN04_20260319_</v>
      </c>
    </row>
    <row r="573" spans="1:2" x14ac:dyDescent="0.25">
      <c r="A573" t="str">
        <v>Excess</v>
      </c>
      <c r="B573" t="str">
        <v>SSFLAT_MCSN04_20260319_</v>
      </c>
    </row>
    <row r="574" spans="1:2" x14ac:dyDescent="0.25">
      <c r="A574" t="str">
        <v>Excess</v>
      </c>
      <c r="B574" t="str">
        <v>SSFLAT_MCSN04_20260319_</v>
      </c>
    </row>
    <row r="575" spans="1:2" x14ac:dyDescent="0.25">
      <c r="A575" t="str">
        <v>Excess</v>
      </c>
      <c r="B575" t="str">
        <v>SSFLAT_MCSN04_20260319_</v>
      </c>
    </row>
    <row r="576" spans="1:2" x14ac:dyDescent="0.25">
      <c r="A576" t="str">
        <v>Excess</v>
      </c>
      <c r="B576" t="str">
        <v>SSFLAT_MCSN05_20260319_</v>
      </c>
    </row>
    <row r="577" spans="1:2" x14ac:dyDescent="0.25">
      <c r="A577" t="str">
        <v>Excess</v>
      </c>
      <c r="B577" t="str">
        <v>SSFLAT_MCSN05_20260319_</v>
      </c>
    </row>
    <row r="578" spans="1:2" x14ac:dyDescent="0.25">
      <c r="A578" t="str">
        <v>Excess</v>
      </c>
      <c r="B578" t="str">
        <v>SSFLAT_MCSN05_20260319_</v>
      </c>
    </row>
    <row r="579" spans="1:2" x14ac:dyDescent="0.25">
      <c r="A579" t="str">
        <v>Excess</v>
      </c>
      <c r="B579" t="str">
        <v>SSFLAT_MCSN05_20260319_</v>
      </c>
    </row>
    <row r="580" spans="1:2" x14ac:dyDescent="0.25">
      <c r="A580" t="str">
        <v>Excess</v>
      </c>
      <c r="B580" t="str">
        <v>SSFLAT_MCSN05_20260319_</v>
      </c>
    </row>
    <row r="581" spans="1:2" x14ac:dyDescent="0.25">
      <c r="A581" t="str">
        <v>Excess</v>
      </c>
      <c r="B581" t="str">
        <v>SSFLAT_MCSN05_20260319_</v>
      </c>
    </row>
    <row r="582" spans="1:2" x14ac:dyDescent="0.25">
      <c r="A582" t="str">
        <v>Excess</v>
      </c>
      <c r="B582" t="str">
        <v>SSFLAT_MCSN05_20260319_</v>
      </c>
    </row>
    <row r="583" spans="1:2" x14ac:dyDescent="0.25">
      <c r="A583" t="str">
        <v>Excess</v>
      </c>
      <c r="B583" t="str">
        <v>SSFLAT_MCSN05_20260319_</v>
      </c>
    </row>
    <row r="584" spans="1:2" x14ac:dyDescent="0.25">
      <c r="A584" t="str">
        <v>Excess</v>
      </c>
      <c r="B584" t="str">
        <v>SSFLAT_MCSN05_20260319_</v>
      </c>
    </row>
    <row r="585" spans="1:2" x14ac:dyDescent="0.25">
      <c r="A585" t="str">
        <v>Excess</v>
      </c>
      <c r="B585" t="str">
        <v>SSFLAT_MCSN05_20260319_</v>
      </c>
    </row>
    <row r="586" spans="1:2" x14ac:dyDescent="0.25">
      <c r="A586" t="str">
        <v>Excess</v>
      </c>
      <c r="B586" t="str">
        <v>SSFLAT_MCSN05_20260319_</v>
      </c>
    </row>
    <row r="587" spans="1:2" x14ac:dyDescent="0.25">
      <c r="A587" t="str">
        <v>Excess</v>
      </c>
      <c r="B587" t="str">
        <v>SSFLAT_MCSN05_20260319_</v>
      </c>
    </row>
    <row r="588" spans="1:2" x14ac:dyDescent="0.25">
      <c r="A588" t="str">
        <v>Excess</v>
      </c>
      <c r="B588" t="str">
        <v>SSFLAT_MCSN05_20260319_</v>
      </c>
    </row>
    <row r="589" spans="1:2" x14ac:dyDescent="0.25">
      <c r="A589" t="str">
        <v>Excess</v>
      </c>
      <c r="B589" t="str">
        <v>SSFLAT_MCSN05_20260319_</v>
      </c>
    </row>
    <row r="590" spans="1:2" x14ac:dyDescent="0.25">
      <c r="A590" t="str">
        <v>Excess</v>
      </c>
      <c r="B590" t="str">
        <v>SSFLAT_MCSN05_20260319_</v>
      </c>
    </row>
    <row r="591" spans="1:2" x14ac:dyDescent="0.25">
      <c r="A591" t="str">
        <v>Excess</v>
      </c>
      <c r="B591" t="str">
        <v>SSFLAT_MCSN05_20260319_</v>
      </c>
    </row>
    <row r="592" spans="1:2" x14ac:dyDescent="0.25">
      <c r="A592" t="str">
        <v>Excess</v>
      </c>
      <c r="B592" t="str">
        <v>SSFLAT_MCSN05_20260319_</v>
      </c>
    </row>
    <row r="593" spans="1:2" x14ac:dyDescent="0.25">
      <c r="A593" t="str">
        <v>Excess</v>
      </c>
      <c r="B593" t="str">
        <v>SSFLAT_MCSN05_20260319_</v>
      </c>
    </row>
    <row r="594" spans="1:2" x14ac:dyDescent="0.25">
      <c r="A594" t="str">
        <v>Excess</v>
      </c>
      <c r="B594" t="str">
        <v>SSFLAT_MCSN05_20260319_</v>
      </c>
    </row>
    <row r="595" spans="1:2" x14ac:dyDescent="0.25">
      <c r="A595" t="str">
        <v>Excess</v>
      </c>
      <c r="B595" t="str">
        <v>SSFLAT_MCSN05_20260319_</v>
      </c>
    </row>
    <row r="596" spans="1:2" x14ac:dyDescent="0.25">
      <c r="A596" t="str">
        <v>Excess</v>
      </c>
      <c r="B596" t="str">
        <v>SSFLAT_MCSN05_20260319_</v>
      </c>
    </row>
    <row r="597" spans="1:2" x14ac:dyDescent="0.25">
      <c r="A597" t="str">
        <v>Excess</v>
      </c>
      <c r="B597" t="str">
        <v>SSFLAT_MCSN05_20260319_</v>
      </c>
    </row>
    <row r="598" spans="1:2" x14ac:dyDescent="0.25">
      <c r="A598" t="str">
        <v>Excess</v>
      </c>
      <c r="B598" t="str">
        <v>SSFLAT_MCSN05_20260319_</v>
      </c>
    </row>
    <row r="599" spans="1:2" x14ac:dyDescent="0.25">
      <c r="A599" t="str">
        <v>Excess</v>
      </c>
      <c r="B599" t="str">
        <v>SSFLAT_MCSN05_20260319_</v>
      </c>
    </row>
    <row r="600" spans="1:2" x14ac:dyDescent="0.25">
      <c r="A600" t="str">
        <v>Excess</v>
      </c>
      <c r="B600" t="str">
        <v>SSFLAT_MCSN06_20260319_</v>
      </c>
    </row>
    <row r="601" spans="1:2" x14ac:dyDescent="0.25">
      <c r="A601" t="str">
        <v>Excess</v>
      </c>
      <c r="B601" t="str">
        <v>SSFLAT_MCSN06_20260319_</v>
      </c>
    </row>
    <row r="602" spans="1:2" x14ac:dyDescent="0.25">
      <c r="A602" t="str">
        <v>Excess</v>
      </c>
      <c r="B602" t="str">
        <v>SSFLAT_MCSN06_20260319_</v>
      </c>
    </row>
    <row r="603" spans="1:2" x14ac:dyDescent="0.25">
      <c r="A603" t="str">
        <v>Excess</v>
      </c>
      <c r="B603" t="str">
        <v>SSFLAT_MCSN06_20260319_</v>
      </c>
    </row>
    <row r="604" spans="1:2" x14ac:dyDescent="0.25">
      <c r="A604" t="str">
        <v>Excess</v>
      </c>
      <c r="B604" t="str">
        <v>SSFLAT_MCSN06_20260319_</v>
      </c>
    </row>
    <row r="605" spans="1:2" x14ac:dyDescent="0.25">
      <c r="A605" t="str">
        <v>Excess</v>
      </c>
      <c r="B605" t="str">
        <v>SSFLAT_MCSN06_20260319_</v>
      </c>
    </row>
    <row r="606" spans="1:2" x14ac:dyDescent="0.25">
      <c r="A606" t="str">
        <v>Excess</v>
      </c>
      <c r="B606" t="str">
        <v>SSFLAT_MCSN06_20260319_</v>
      </c>
    </row>
    <row r="607" spans="1:2" x14ac:dyDescent="0.25">
      <c r="A607" t="str">
        <v>Excess</v>
      </c>
      <c r="B607" t="str">
        <v>SSFLAT_MCSN06_20260319_</v>
      </c>
    </row>
    <row r="608" spans="1:2" x14ac:dyDescent="0.25">
      <c r="A608" t="str">
        <v>Excess</v>
      </c>
      <c r="B608" t="str">
        <v>SSFLAT_MCSN06_20260319_</v>
      </c>
    </row>
    <row r="609" spans="1:2" x14ac:dyDescent="0.25">
      <c r="A609" t="str">
        <v>Excess</v>
      </c>
      <c r="B609" t="str">
        <v>SSFLAT_MCSN06_20260319_</v>
      </c>
    </row>
    <row r="610" spans="1:2" x14ac:dyDescent="0.25">
      <c r="A610" t="str">
        <v>Excess</v>
      </c>
      <c r="B610" t="str">
        <v>SSFLAT_MCSN06_20260319_</v>
      </c>
    </row>
    <row r="611" spans="1:2" x14ac:dyDescent="0.25">
      <c r="A611" t="str">
        <v>Excess</v>
      </c>
      <c r="B611" t="str">
        <v>SSFLAT_MCSN06_20260319_</v>
      </c>
    </row>
    <row r="612" spans="1:2" x14ac:dyDescent="0.25">
      <c r="A612" t="str">
        <v>Excess</v>
      </c>
      <c r="B612" t="str">
        <v>SSFLAT_MCSN06_20260319_</v>
      </c>
    </row>
    <row r="613" spans="1:2" x14ac:dyDescent="0.25">
      <c r="A613" t="str">
        <v>Excess</v>
      </c>
      <c r="B613" t="str">
        <v>SSFLAT_MCSN06_20260319_</v>
      </c>
    </row>
    <row r="614" spans="1:2" x14ac:dyDescent="0.25">
      <c r="A614" t="str">
        <v>Excess</v>
      </c>
      <c r="B614" t="str">
        <v>SSFLAT_MCSN06_20260319_</v>
      </c>
    </row>
    <row r="615" spans="1:2" x14ac:dyDescent="0.25">
      <c r="A615" t="str">
        <v>Excess</v>
      </c>
      <c r="B615" t="str">
        <v>SSFLAT_MCSN06_20260319_</v>
      </c>
    </row>
    <row r="616" spans="1:2" x14ac:dyDescent="0.25">
      <c r="A616" t="str">
        <v>Excess</v>
      </c>
      <c r="B616" t="str">
        <v>SSFLAT_MCSN06_20260319_</v>
      </c>
    </row>
    <row r="617" spans="1:2" x14ac:dyDescent="0.25">
      <c r="A617" t="str">
        <v>Excess</v>
      </c>
      <c r="B617" t="str">
        <v>SSFLAT_MCSN06_20260319_</v>
      </c>
    </row>
    <row r="618" spans="1:2" x14ac:dyDescent="0.25">
      <c r="A618" t="str">
        <v>Excess</v>
      </c>
      <c r="B618" t="str">
        <v>SSFLAT_MCSN06_20260319_</v>
      </c>
    </row>
    <row r="619" spans="1:2" x14ac:dyDescent="0.25">
      <c r="A619" t="str">
        <v>Excess</v>
      </c>
      <c r="B619" t="str">
        <v>SSFLAT_MCSN06_20260319_</v>
      </c>
    </row>
    <row r="620" spans="1:2" x14ac:dyDescent="0.25">
      <c r="A620" t="str">
        <v>Excess</v>
      </c>
      <c r="B620" t="str">
        <v>SSFLAT_MCSN06_20260319_</v>
      </c>
    </row>
    <row r="621" spans="1:2" x14ac:dyDescent="0.25">
      <c r="A621" t="str">
        <v>Excess</v>
      </c>
      <c r="B621" t="str">
        <v>SSFLAT_MCSN06_20260319_</v>
      </c>
    </row>
    <row r="622" spans="1:2" x14ac:dyDescent="0.25">
      <c r="A622" t="str">
        <v>Excess</v>
      </c>
      <c r="B622" t="str">
        <v>SSFLAT_MCSN06_20260319_</v>
      </c>
    </row>
    <row r="623" spans="1:2" x14ac:dyDescent="0.25">
      <c r="A623" t="str">
        <v>Excess</v>
      </c>
      <c r="B623" t="str">
        <v>SSFLAT_MCSN06_20260319_</v>
      </c>
    </row>
    <row r="624" spans="1:2" x14ac:dyDescent="0.25">
      <c r="A624" t="str">
        <v>Excess</v>
      </c>
      <c r="B624" t="str">
        <v>SSFLAT_MCSN07_20260319_</v>
      </c>
    </row>
    <row r="625" spans="1:2" x14ac:dyDescent="0.25">
      <c r="A625" t="str">
        <v>Excess</v>
      </c>
      <c r="B625" t="str">
        <v>SSFLAT_MCSN07_20260319_</v>
      </c>
    </row>
    <row r="626" spans="1:2" x14ac:dyDescent="0.25">
      <c r="A626" t="str">
        <v>Excess</v>
      </c>
      <c r="B626" t="str">
        <v>SSFLAT_MCSN07_20260319_</v>
      </c>
    </row>
    <row r="627" spans="1:2" x14ac:dyDescent="0.25">
      <c r="A627" t="str">
        <v>Excess</v>
      </c>
      <c r="B627" t="str">
        <v>SSFLAT_MCSN07_20260319_</v>
      </c>
    </row>
    <row r="628" spans="1:2" x14ac:dyDescent="0.25">
      <c r="A628" t="str">
        <v>Excess</v>
      </c>
      <c r="B628" t="str">
        <v>SSFLAT_MCSN07_20260319_</v>
      </c>
    </row>
    <row r="629" spans="1:2" x14ac:dyDescent="0.25">
      <c r="A629" t="str">
        <v>Excess</v>
      </c>
      <c r="B629" t="str">
        <v>SSFLAT_MCSN07_20260319_</v>
      </c>
    </row>
    <row r="630" spans="1:2" x14ac:dyDescent="0.25">
      <c r="A630" t="str">
        <v>Excess</v>
      </c>
      <c r="B630" t="str">
        <v>SSFLAT_MCSN07_20260319_</v>
      </c>
    </row>
    <row r="631" spans="1:2" x14ac:dyDescent="0.25">
      <c r="A631" t="str">
        <v>Excess</v>
      </c>
      <c r="B631" t="str">
        <v>SSFLAT_MCSN07_20260319_</v>
      </c>
    </row>
    <row r="632" spans="1:2" x14ac:dyDescent="0.25">
      <c r="A632" t="str">
        <v>Excess</v>
      </c>
      <c r="B632" t="str">
        <v>SSFLAT_MCSN07_20260319_</v>
      </c>
    </row>
    <row r="633" spans="1:2" x14ac:dyDescent="0.25">
      <c r="A633" t="str">
        <v>Excess</v>
      </c>
      <c r="B633" t="str">
        <v>SSFLAT_MCSN07_20260319_</v>
      </c>
    </row>
    <row r="634" spans="1:2" x14ac:dyDescent="0.25">
      <c r="A634" t="str">
        <v>Excess</v>
      </c>
      <c r="B634" t="str">
        <v>SSFLAT_MCSN07_20260319_</v>
      </c>
    </row>
    <row r="635" spans="1:2" x14ac:dyDescent="0.25">
      <c r="A635" t="str">
        <v>Excess</v>
      </c>
      <c r="B635" t="str">
        <v>SSFLAT_MCSN07_20260319_</v>
      </c>
    </row>
    <row r="636" spans="1:2" x14ac:dyDescent="0.25">
      <c r="A636" t="str">
        <v>Excess</v>
      </c>
      <c r="B636" t="str">
        <v>SSFLAT_MCSN07_20260319_</v>
      </c>
    </row>
    <row r="637" spans="1:2" x14ac:dyDescent="0.25">
      <c r="A637" t="str">
        <v>Excess</v>
      </c>
      <c r="B637" t="str">
        <v>SSFLAT_MCSN07_20260319_</v>
      </c>
    </row>
    <row r="638" spans="1:2" x14ac:dyDescent="0.25">
      <c r="A638" t="str">
        <v>Excess</v>
      </c>
      <c r="B638" t="str">
        <v>SSFLAT_MCSN07_20260319_</v>
      </c>
    </row>
    <row r="639" spans="1:2" x14ac:dyDescent="0.25">
      <c r="A639" t="str">
        <v>Excess</v>
      </c>
      <c r="B639" t="str">
        <v>SSFLAT_MCSN07_20260319_</v>
      </c>
    </row>
    <row r="640" spans="1:2" x14ac:dyDescent="0.25">
      <c r="A640" t="str">
        <v>Excess</v>
      </c>
      <c r="B640" t="str">
        <v>SSFLAT_MCSN07_20260319_</v>
      </c>
    </row>
    <row r="641" spans="1:2" x14ac:dyDescent="0.25">
      <c r="A641" t="str">
        <v>Excess</v>
      </c>
      <c r="B641" t="str">
        <v>SSFLAT_MCSN07_20260319_</v>
      </c>
    </row>
    <row r="642" spans="1:2" x14ac:dyDescent="0.25">
      <c r="A642" t="str">
        <v>Excess</v>
      </c>
      <c r="B642" t="str">
        <v>SSFLAT_MCSN07_20260319_</v>
      </c>
    </row>
    <row r="643" spans="1:2" x14ac:dyDescent="0.25">
      <c r="A643" t="str">
        <v>Excess</v>
      </c>
      <c r="B643" t="str">
        <v>SSFLAT_MCSN07_20260319_</v>
      </c>
    </row>
    <row r="644" spans="1:2" x14ac:dyDescent="0.25">
      <c r="A644" t="str">
        <v>Excess</v>
      </c>
      <c r="B644" t="str">
        <v>SSFLAT_MCSN07_20260319_</v>
      </c>
    </row>
    <row r="645" spans="1:2" x14ac:dyDescent="0.25">
      <c r="A645" t="str">
        <v>Excess</v>
      </c>
      <c r="B645" t="str">
        <v>SSFLAT_MCSN07_20260319_</v>
      </c>
    </row>
    <row r="646" spans="1:2" x14ac:dyDescent="0.25">
      <c r="A646" t="str">
        <v>Excess</v>
      </c>
      <c r="B646" t="str">
        <v>SSFLAT_MCSN07_20260319_</v>
      </c>
    </row>
    <row r="647" spans="1:2" x14ac:dyDescent="0.25">
      <c r="A647" t="str">
        <v>Excess</v>
      </c>
      <c r="B647" t="str">
        <v>SSFLAT_MCSN07_20260319_</v>
      </c>
    </row>
    <row r="648" spans="1:2" x14ac:dyDescent="0.25">
      <c r="A648" t="str">
        <v>Excess</v>
      </c>
      <c r="B648" t="str">
        <v>SSFLAT_MCSN08_20260319_</v>
      </c>
    </row>
    <row r="649" spans="1:2" x14ac:dyDescent="0.25">
      <c r="A649" t="str">
        <v>Excess</v>
      </c>
      <c r="B649" t="str">
        <v>SSFLAT_MCSN08_20260319_</v>
      </c>
    </row>
    <row r="650" spans="1:2" x14ac:dyDescent="0.25">
      <c r="A650" t="str">
        <v>Excess</v>
      </c>
      <c r="B650" t="str">
        <v>SSFLAT_MCSN08_20260319_</v>
      </c>
    </row>
    <row r="651" spans="1:2" x14ac:dyDescent="0.25">
      <c r="A651" t="str">
        <v>Excess</v>
      </c>
      <c r="B651" t="str">
        <v>SSFLAT_MCSN08_20260319_</v>
      </c>
    </row>
    <row r="652" spans="1:2" x14ac:dyDescent="0.25">
      <c r="A652" t="str">
        <v>Excess</v>
      </c>
      <c r="B652" t="str">
        <v>SSFLAT_MCSN08_20260319_</v>
      </c>
    </row>
    <row r="653" spans="1:2" x14ac:dyDescent="0.25">
      <c r="A653" t="str">
        <v>Excess</v>
      </c>
      <c r="B653" t="str">
        <v>SSFLAT_MCSN08_20260319_</v>
      </c>
    </row>
    <row r="654" spans="1:2" x14ac:dyDescent="0.25">
      <c r="A654" t="str">
        <v>Excess</v>
      </c>
      <c r="B654" t="str">
        <v>SSFLAT_MCSN08_20260319_</v>
      </c>
    </row>
    <row r="655" spans="1:2" x14ac:dyDescent="0.25">
      <c r="A655" t="str">
        <v>Excess</v>
      </c>
      <c r="B655" t="str">
        <v>SSFLAT_MCSN08_20260319_</v>
      </c>
    </row>
    <row r="656" spans="1:2" x14ac:dyDescent="0.25">
      <c r="A656" t="str">
        <v>Excess</v>
      </c>
      <c r="B656" t="str">
        <v>SSFLAT_MCSN08_20260319_</v>
      </c>
    </row>
    <row r="657" spans="1:2" x14ac:dyDescent="0.25">
      <c r="A657" t="str">
        <v>Excess</v>
      </c>
      <c r="B657" t="str">
        <v>SSFLAT_MCSN08_20260319_</v>
      </c>
    </row>
    <row r="658" spans="1:2" x14ac:dyDescent="0.25">
      <c r="A658" t="str">
        <v>Excess</v>
      </c>
      <c r="B658" t="str">
        <v>SSFLAT_MCSN08_20260319_</v>
      </c>
    </row>
    <row r="659" spans="1:2" x14ac:dyDescent="0.25">
      <c r="A659" t="str">
        <v>Excess</v>
      </c>
      <c r="B659" t="str">
        <v>SSFLAT_MCSN08_20260319_</v>
      </c>
    </row>
    <row r="660" spans="1:2" x14ac:dyDescent="0.25">
      <c r="A660" t="str">
        <v>Excess</v>
      </c>
      <c r="B660" t="str">
        <v>SSFLAT_MCSN08_20260319_</v>
      </c>
    </row>
    <row r="661" spans="1:2" x14ac:dyDescent="0.25">
      <c r="A661" t="str">
        <v>Excess</v>
      </c>
      <c r="B661" t="str">
        <v>SSFLAT_MCSN08_20260319_</v>
      </c>
    </row>
    <row r="662" spans="1:2" x14ac:dyDescent="0.25">
      <c r="A662" t="str">
        <v>Excess</v>
      </c>
      <c r="B662" t="str">
        <v>SSFLAT_MCSN08_20260319_</v>
      </c>
    </row>
    <row r="663" spans="1:2" x14ac:dyDescent="0.25">
      <c r="A663" t="str">
        <v>Excess</v>
      </c>
      <c r="B663" t="str">
        <v>SSFLAT_MCSN08_20260319_</v>
      </c>
    </row>
    <row r="664" spans="1:2" x14ac:dyDescent="0.25">
      <c r="A664" t="str">
        <v>Excess</v>
      </c>
      <c r="B664" t="str">
        <v>SSFLAT_MCSN08_20260319_</v>
      </c>
    </row>
    <row r="665" spans="1:2" x14ac:dyDescent="0.25">
      <c r="A665" t="str">
        <v>Excess</v>
      </c>
      <c r="B665" t="str">
        <v>SSFLAT_MCSN08_20260319_</v>
      </c>
    </row>
    <row r="666" spans="1:2" x14ac:dyDescent="0.25">
      <c r="A666" t="str">
        <v>Excess</v>
      </c>
      <c r="B666" t="str">
        <v>SSFLAT_MCSN08_20260319_</v>
      </c>
    </row>
    <row r="667" spans="1:2" x14ac:dyDescent="0.25">
      <c r="A667" t="str">
        <v>Excess</v>
      </c>
      <c r="B667" t="str">
        <v>SSFLAT_MCSN08_20260319_</v>
      </c>
    </row>
    <row r="668" spans="1:2" x14ac:dyDescent="0.25">
      <c r="A668" t="str">
        <v>Excess</v>
      </c>
      <c r="B668" t="str">
        <v>SSFLAT_MCSN08_20260319_</v>
      </c>
    </row>
    <row r="669" spans="1:2" x14ac:dyDescent="0.25">
      <c r="A669" t="str">
        <v>Excess</v>
      </c>
      <c r="B669" t="str">
        <v>SSFLAT_MCSN08_20260319_</v>
      </c>
    </row>
    <row r="670" spans="1:2" x14ac:dyDescent="0.25">
      <c r="A670" t="str">
        <v>Excess</v>
      </c>
      <c r="B670" t="str">
        <v>SSFLAT_MCSN08_20260319_</v>
      </c>
    </row>
    <row r="671" spans="1:2" x14ac:dyDescent="0.25">
      <c r="A671" t="str">
        <v>Excess</v>
      </c>
      <c r="B671" t="str">
        <v>SSFLAT_MCSN08_20260319_</v>
      </c>
    </row>
    <row r="672" spans="1:2" x14ac:dyDescent="0.25">
      <c r="A672" t="str">
        <v>Excess</v>
      </c>
      <c r="B672" t="str">
        <v>SSFLAT_MCSN09_20260319_</v>
      </c>
    </row>
    <row r="673" spans="1:2" x14ac:dyDescent="0.25">
      <c r="A673" t="str">
        <v>Excess</v>
      </c>
      <c r="B673" t="str">
        <v>SSFLAT_MCSN09_20260319_</v>
      </c>
    </row>
    <row r="674" spans="1:2" x14ac:dyDescent="0.25">
      <c r="A674" t="str">
        <v>Excess</v>
      </c>
      <c r="B674" t="str">
        <v>SSFLAT_MCSN09_20260319_</v>
      </c>
    </row>
    <row r="675" spans="1:2" x14ac:dyDescent="0.25">
      <c r="A675" t="str">
        <v>Excess</v>
      </c>
      <c r="B675" t="str">
        <v>SSFLAT_MCSN09_20260319_</v>
      </c>
    </row>
    <row r="676" spans="1:2" x14ac:dyDescent="0.25">
      <c r="A676" t="str">
        <v>Excess</v>
      </c>
      <c r="B676" t="str">
        <v>SSFLAT_MCSN09_20260319_</v>
      </c>
    </row>
    <row r="677" spans="1:2" x14ac:dyDescent="0.25">
      <c r="A677" t="str">
        <v>Excess</v>
      </c>
      <c r="B677" t="str">
        <v>SSFLAT_MCSN09_20260319_</v>
      </c>
    </row>
    <row r="678" spans="1:2" x14ac:dyDescent="0.25">
      <c r="A678" t="str">
        <v>Excess</v>
      </c>
      <c r="B678" t="str">
        <v>SSFLAT_MCSN09_20260319_</v>
      </c>
    </row>
    <row r="679" spans="1:2" x14ac:dyDescent="0.25">
      <c r="A679" t="str">
        <v>Excess</v>
      </c>
      <c r="B679" t="str">
        <v>SSFLAT_MCSN09_20260319_</v>
      </c>
    </row>
    <row r="680" spans="1:2" x14ac:dyDescent="0.25">
      <c r="A680" t="str">
        <v>Excess</v>
      </c>
      <c r="B680" t="str">
        <v>SSFLAT_MCSN09_20260319_</v>
      </c>
    </row>
    <row r="681" spans="1:2" x14ac:dyDescent="0.25">
      <c r="A681" t="str">
        <v>Excess</v>
      </c>
      <c r="B681" t="str">
        <v>SSFLAT_MCSN09_20260319_</v>
      </c>
    </row>
    <row r="682" spans="1:2" x14ac:dyDescent="0.25">
      <c r="A682" t="str">
        <v>Excess</v>
      </c>
      <c r="B682" t="str">
        <v>SSFLAT_MCSN09_20260319_</v>
      </c>
    </row>
    <row r="683" spans="1:2" x14ac:dyDescent="0.25">
      <c r="A683" t="str">
        <v>Excess</v>
      </c>
      <c r="B683" t="str">
        <v>SSFLAT_MCSN09_20260319_</v>
      </c>
    </row>
    <row r="684" spans="1:2" x14ac:dyDescent="0.25">
      <c r="A684" t="str">
        <v>Excess</v>
      </c>
      <c r="B684" t="str">
        <v>SSFLAT_MCSN09_20260319_</v>
      </c>
    </row>
    <row r="685" spans="1:2" x14ac:dyDescent="0.25">
      <c r="A685" t="str">
        <v>Excess</v>
      </c>
      <c r="B685" t="str">
        <v>SSFLAT_MCSN09_20260319_</v>
      </c>
    </row>
    <row r="686" spans="1:2" x14ac:dyDescent="0.25">
      <c r="A686" t="str">
        <v>Excess</v>
      </c>
      <c r="B686" t="str">
        <v>SSFLAT_MCSN09_20260319_</v>
      </c>
    </row>
    <row r="687" spans="1:2" x14ac:dyDescent="0.25">
      <c r="A687" t="str">
        <v>Excess</v>
      </c>
      <c r="B687" t="str">
        <v>SSFLAT_MCSN09_20260319_</v>
      </c>
    </row>
    <row r="688" spans="1:2" x14ac:dyDescent="0.25">
      <c r="A688" t="str">
        <v>Excess</v>
      </c>
      <c r="B688" t="str">
        <v>SSFLAT_MCSN09_20260319_</v>
      </c>
    </row>
    <row r="689" spans="1:2" x14ac:dyDescent="0.25">
      <c r="A689" t="str">
        <v>Excess</v>
      </c>
      <c r="B689" t="str">
        <v>SSFLAT_MCSN09_20260319_</v>
      </c>
    </row>
    <row r="690" spans="1:2" x14ac:dyDescent="0.25">
      <c r="A690" t="str">
        <v>Excess</v>
      </c>
      <c r="B690" t="str">
        <v>SSFLAT_MCSN09_20260319_</v>
      </c>
    </row>
    <row r="691" spans="1:2" x14ac:dyDescent="0.25">
      <c r="A691" t="str">
        <v>Excess</v>
      </c>
      <c r="B691" t="str">
        <v>SSFLAT_MCSN09_20260319_</v>
      </c>
    </row>
    <row r="692" spans="1:2" x14ac:dyDescent="0.25">
      <c r="A692" t="str">
        <v>Excess</v>
      </c>
      <c r="B692" t="str">
        <v>SSFLAT_MCSN09_20260319_</v>
      </c>
    </row>
    <row r="693" spans="1:2" x14ac:dyDescent="0.25">
      <c r="A693" t="str">
        <v>Excess</v>
      </c>
      <c r="B693" t="str">
        <v>SSFLAT_MCSN09_20260319_</v>
      </c>
    </row>
    <row r="694" spans="1:2" x14ac:dyDescent="0.25">
      <c r="A694" t="str">
        <v>Excess</v>
      </c>
      <c r="B694" t="str">
        <v>SSFLAT_MCSN09_20260319_</v>
      </c>
    </row>
    <row r="695" spans="1:2" x14ac:dyDescent="0.25">
      <c r="A695" t="str">
        <v>Excess</v>
      </c>
      <c r="B695" t="str">
        <v>SSFLAT_MCSN09_20260319_</v>
      </c>
    </row>
    <row r="696" spans="1:2" x14ac:dyDescent="0.25">
      <c r="A696" t="str">
        <v>Excess</v>
      </c>
      <c r="B696" t="str">
        <v>SSFLAT_MCSN10_20260319_</v>
      </c>
    </row>
    <row r="697" spans="1:2" x14ac:dyDescent="0.25">
      <c r="A697" t="str">
        <v>Excess</v>
      </c>
      <c r="B697" t="str">
        <v>SSFLAT_MCSN10_20260319_</v>
      </c>
    </row>
    <row r="698" spans="1:2" x14ac:dyDescent="0.25">
      <c r="A698" t="str">
        <v>Excess</v>
      </c>
      <c r="B698" t="str">
        <v>SSFLAT_MCSN10_20260319_</v>
      </c>
    </row>
    <row r="699" spans="1:2" x14ac:dyDescent="0.25">
      <c r="A699" t="str">
        <v>Excess</v>
      </c>
      <c r="B699" t="str">
        <v>SSFLAT_MCSN10_20260319_</v>
      </c>
    </row>
    <row r="700" spans="1:2" x14ac:dyDescent="0.25">
      <c r="A700" t="str">
        <v>Excess</v>
      </c>
      <c r="B700" t="str">
        <v>SSFLAT_MCSN10_20260319_</v>
      </c>
    </row>
    <row r="701" spans="1:2" x14ac:dyDescent="0.25">
      <c r="A701" t="str">
        <v>Excess</v>
      </c>
      <c r="B701" t="str">
        <v>SSFLAT_MCSN10_20260319_</v>
      </c>
    </row>
    <row r="702" spans="1:2" x14ac:dyDescent="0.25">
      <c r="A702" t="str">
        <v>Excess</v>
      </c>
      <c r="B702" t="str">
        <v>SSFLAT_MCSN10_20260319_</v>
      </c>
    </row>
    <row r="703" spans="1:2" x14ac:dyDescent="0.25">
      <c r="A703" t="str">
        <v>Excess</v>
      </c>
      <c r="B703" t="str">
        <v>SSFLAT_MCSN10_20260319_</v>
      </c>
    </row>
    <row r="704" spans="1:2" x14ac:dyDescent="0.25">
      <c r="A704" t="str">
        <v>Excess</v>
      </c>
      <c r="B704" t="str">
        <v>SSFLAT_MCSN10_20260319_</v>
      </c>
    </row>
    <row r="705" spans="1:2" x14ac:dyDescent="0.25">
      <c r="A705" t="str">
        <v>Excess</v>
      </c>
      <c r="B705" t="str">
        <v>SSFLAT_MCSN10_20260319_</v>
      </c>
    </row>
    <row r="706" spans="1:2" x14ac:dyDescent="0.25">
      <c r="A706" t="str">
        <v>Excess</v>
      </c>
      <c r="B706" t="str">
        <v>SSFLAT_MCSN10_20260319_</v>
      </c>
    </row>
    <row r="707" spans="1:2" x14ac:dyDescent="0.25">
      <c r="A707" t="str">
        <v>Excess</v>
      </c>
      <c r="B707" t="str">
        <v>SSFLAT_MCSN10_20260319_</v>
      </c>
    </row>
    <row r="708" spans="1:2" x14ac:dyDescent="0.25">
      <c r="A708" t="str">
        <v>Excess</v>
      </c>
      <c r="B708" t="str">
        <v>SSFLAT_MCSN10_20260319_</v>
      </c>
    </row>
    <row r="709" spans="1:2" x14ac:dyDescent="0.25">
      <c r="A709" t="str">
        <v>Excess</v>
      </c>
      <c r="B709" t="str">
        <v>SSFLAT_MCSN10_20260319_</v>
      </c>
    </row>
    <row r="710" spans="1:2" x14ac:dyDescent="0.25">
      <c r="A710" t="str">
        <v>Excess</v>
      </c>
      <c r="B710" t="str">
        <v>SSFLAT_MCSN10_20260319_</v>
      </c>
    </row>
    <row r="711" spans="1:2" x14ac:dyDescent="0.25">
      <c r="A711" t="str">
        <v>Excess</v>
      </c>
      <c r="B711" t="str">
        <v>SSFLAT_MCSN10_20260319_</v>
      </c>
    </row>
    <row r="712" spans="1:2" x14ac:dyDescent="0.25">
      <c r="A712" t="str">
        <v>Excess</v>
      </c>
      <c r="B712" t="str">
        <v>SSFLAT_MCSN10_20260319_</v>
      </c>
    </row>
    <row r="713" spans="1:2" x14ac:dyDescent="0.25">
      <c r="A713" t="str">
        <v>Excess</v>
      </c>
      <c r="B713" t="str">
        <v>SSFLAT_MCSN10_20260319_</v>
      </c>
    </row>
    <row r="714" spans="1:2" x14ac:dyDescent="0.25">
      <c r="A714" t="str">
        <v>Excess</v>
      </c>
      <c r="B714" t="str">
        <v>SSFLAT_MCSN10_20260319_</v>
      </c>
    </row>
    <row r="715" spans="1:2" x14ac:dyDescent="0.25">
      <c r="A715" t="str">
        <v>Excess</v>
      </c>
      <c r="B715" t="str">
        <v>SSFLAT_MCSN10_20260319_</v>
      </c>
    </row>
    <row r="716" spans="1:2" x14ac:dyDescent="0.25">
      <c r="A716" t="str">
        <v>Excess</v>
      </c>
      <c r="B716" t="str">
        <v>SSFLAT_MCSN10_20260319_</v>
      </c>
    </row>
    <row r="717" spans="1:2" x14ac:dyDescent="0.25">
      <c r="A717" t="str">
        <v>Excess</v>
      </c>
      <c r="B717" t="str">
        <v>SSFLAT_MCSN10_20260319_</v>
      </c>
    </row>
    <row r="718" spans="1:2" x14ac:dyDescent="0.25">
      <c r="A718" t="str">
        <v>Excess</v>
      </c>
      <c r="B718" t="str">
        <v>SSFLAT_MCSN10_20260319_</v>
      </c>
    </row>
    <row r="719" spans="1:2" x14ac:dyDescent="0.25">
      <c r="A719" t="str">
        <v>Levoglucosan</v>
      </c>
      <c r="B719" t="str">
        <v>SSFLAT_MCSN01_20260319_</v>
      </c>
    </row>
    <row r="720" spans="1:2" x14ac:dyDescent="0.25">
      <c r="A720" t="str">
        <v>Levoglucosan</v>
      </c>
      <c r="B720" t="str">
        <v>SSFLAT_MCSN01_20260319_</v>
      </c>
    </row>
    <row r="721" spans="1:2" x14ac:dyDescent="0.25">
      <c r="A721" t="str">
        <v>Levoglucosan</v>
      </c>
      <c r="B721" t="str">
        <v>SSFLAT_MCSN01_20260319_</v>
      </c>
    </row>
    <row r="722" spans="1:2" x14ac:dyDescent="0.25">
      <c r="A722" t="str">
        <v>Levoglucosan</v>
      </c>
      <c r="B722" t="str">
        <v>SSFLAT_MCSN01_20260319_</v>
      </c>
    </row>
    <row r="723" spans="1:2" x14ac:dyDescent="0.25">
      <c r="A723" t="str">
        <v>Levoglucosan</v>
      </c>
      <c r="B723" t="str">
        <v>SSFLAT_MCSN01_20260319_</v>
      </c>
    </row>
    <row r="724" spans="1:2" x14ac:dyDescent="0.25">
      <c r="A724" t="str">
        <v>Levoglucosan</v>
      </c>
      <c r="B724" t="str">
        <v>SSFLAT_MCSN01_20260319_</v>
      </c>
    </row>
    <row r="725" spans="1:2" x14ac:dyDescent="0.25">
      <c r="A725" t="str">
        <v>Levoglucosan</v>
      </c>
      <c r="B725" t="str">
        <v>SSFLAT_MCSN01_20260319_</v>
      </c>
    </row>
    <row r="726" spans="1:2" x14ac:dyDescent="0.25">
      <c r="A726" t="str">
        <v>Levoglucosan</v>
      </c>
      <c r="B726" t="str">
        <v>SSFLAT_MCSN01_20260319_</v>
      </c>
    </row>
    <row r="727" spans="1:2" x14ac:dyDescent="0.25">
      <c r="A727" t="str">
        <v>Levoglucosan</v>
      </c>
      <c r="B727" t="str">
        <v>SSFLAT_MCSN01_20260319_</v>
      </c>
    </row>
    <row r="728" spans="1:2" x14ac:dyDescent="0.25">
      <c r="A728" t="str">
        <v>Levoglucosan</v>
      </c>
      <c r="B728" t="str">
        <v>SSFLAT_MCSN01_20260319_</v>
      </c>
    </row>
    <row r="729" spans="1:2" x14ac:dyDescent="0.25">
      <c r="A729" t="str">
        <v>Levoglucosan</v>
      </c>
      <c r="B729" t="str">
        <v>SSFLAT_MCSN01_20260319_</v>
      </c>
    </row>
    <row r="730" spans="1:2" x14ac:dyDescent="0.25">
      <c r="A730" t="str">
        <v>Levoglucosan</v>
      </c>
      <c r="B730" t="str">
        <v>SSFLAT_MCSN01_20260319_</v>
      </c>
    </row>
    <row r="731" spans="1:2" x14ac:dyDescent="0.25">
      <c r="A731" t="str">
        <v>Levoglucosan</v>
      </c>
      <c r="B731" t="str">
        <v>SSFLAT_MCSN01_20260319_</v>
      </c>
    </row>
    <row r="732" spans="1:2" x14ac:dyDescent="0.25">
      <c r="A732" t="str">
        <v>Levoglucosan</v>
      </c>
      <c r="B732" t="str">
        <v>SSFLAT_MCSN01_20260319_</v>
      </c>
    </row>
    <row r="733" spans="1:2" x14ac:dyDescent="0.25">
      <c r="A733" t="str">
        <v>Levoglucosan</v>
      </c>
      <c r="B733" t="str">
        <v>SSFLAT_MCSN01_20260319_</v>
      </c>
    </row>
    <row r="734" spans="1:2" x14ac:dyDescent="0.25">
      <c r="A734" t="str">
        <v>Levoglucosan</v>
      </c>
      <c r="B734" t="str">
        <v>SSFLAT_MCSN01_20260319_</v>
      </c>
    </row>
    <row r="735" spans="1:2" x14ac:dyDescent="0.25">
      <c r="A735" t="str">
        <v>Levoglucosan</v>
      </c>
      <c r="B735" t="str">
        <v>SSFLAT_MCSN01_20260319_</v>
      </c>
    </row>
    <row r="736" spans="1:2" x14ac:dyDescent="0.25">
      <c r="A736" t="str">
        <v>Levoglucosan</v>
      </c>
      <c r="B736" t="str">
        <v>SSFLAT_MCSN01_20260319_</v>
      </c>
    </row>
    <row r="737" spans="1:2" x14ac:dyDescent="0.25">
      <c r="A737" t="str">
        <v>Levoglucosan</v>
      </c>
      <c r="B737" t="str">
        <v>SSFLAT_MCSN01_20260319_</v>
      </c>
    </row>
    <row r="738" spans="1:2" x14ac:dyDescent="0.25">
      <c r="A738" t="str">
        <v>Levoglucosan</v>
      </c>
      <c r="B738" t="str">
        <v>SSFLAT_MCSN01_20260319_</v>
      </c>
    </row>
    <row r="739" spans="1:2" x14ac:dyDescent="0.25">
      <c r="A739" t="str">
        <v>Levoglucosan</v>
      </c>
      <c r="B739" t="str">
        <v>SSFLAT_MCSN01_20260319_</v>
      </c>
    </row>
    <row r="740" spans="1:2" x14ac:dyDescent="0.25">
      <c r="A740" t="str">
        <v>Levoglucosan</v>
      </c>
      <c r="B740" t="str">
        <v>SSFLAT_MCSN01_20260319_</v>
      </c>
    </row>
    <row r="741" spans="1:2" x14ac:dyDescent="0.25">
      <c r="A741" t="str">
        <v>Levoglucosan</v>
      </c>
      <c r="B741" t="str">
        <v>SSFLAT_MCSN01_20260319_</v>
      </c>
    </row>
    <row r="742" spans="1:2" x14ac:dyDescent="0.25">
      <c r="A742" t="str">
        <v>Levoglucosan</v>
      </c>
      <c r="B742" t="str">
        <v>SSFLAT_MCSN01_20260319_</v>
      </c>
    </row>
    <row r="743" spans="1:2" x14ac:dyDescent="0.25">
      <c r="A743" t="str">
        <v>Levoglucosan</v>
      </c>
      <c r="B743" t="str">
        <v>SSFLAT_MCSN02_20260319_</v>
      </c>
    </row>
    <row r="744" spans="1:2" x14ac:dyDescent="0.25">
      <c r="A744" t="str">
        <v>Levoglucosan</v>
      </c>
      <c r="B744" t="str">
        <v>SSFLAT_MCSN02_20260319_</v>
      </c>
    </row>
    <row r="745" spans="1:2" x14ac:dyDescent="0.25">
      <c r="A745" t="str">
        <v>Levoglucosan</v>
      </c>
      <c r="B745" t="str">
        <v>SSFLAT_MCSN02_20260319_</v>
      </c>
    </row>
    <row r="746" spans="1:2" x14ac:dyDescent="0.25">
      <c r="A746" t="str">
        <v>Levoglucosan</v>
      </c>
      <c r="B746" t="str">
        <v>SSFLAT_MCSN02_20260319_</v>
      </c>
    </row>
    <row r="747" spans="1:2" x14ac:dyDescent="0.25">
      <c r="A747" t="str">
        <v>Levoglucosan</v>
      </c>
      <c r="B747" t="str">
        <v>SSFLAT_MCSN02_20260319_</v>
      </c>
    </row>
    <row r="748" spans="1:2" x14ac:dyDescent="0.25">
      <c r="A748" t="str">
        <v>Levoglucosan</v>
      </c>
      <c r="B748" t="str">
        <v>SSFLAT_MCSN02_20260319_</v>
      </c>
    </row>
    <row r="749" spans="1:2" x14ac:dyDescent="0.25">
      <c r="A749" t="str">
        <v>Levoglucosan</v>
      </c>
      <c r="B749" t="str">
        <v>SSFLAT_MCSN02_20260319_</v>
      </c>
    </row>
    <row r="750" spans="1:2" x14ac:dyDescent="0.25">
      <c r="A750" t="str">
        <v>Levoglucosan</v>
      </c>
      <c r="B750" t="str">
        <v>SSFLAT_MCSN02_20260319_</v>
      </c>
    </row>
    <row r="751" spans="1:2" x14ac:dyDescent="0.25">
      <c r="A751" t="str">
        <v>Levoglucosan</v>
      </c>
      <c r="B751" t="str">
        <v>SSFLAT_MCSN02_20260319_</v>
      </c>
    </row>
    <row r="752" spans="1:2" x14ac:dyDescent="0.25">
      <c r="A752" t="str">
        <v>Levoglucosan</v>
      </c>
      <c r="B752" t="str">
        <v>SSFLAT_MCSN02_20260319_</v>
      </c>
    </row>
    <row r="753" spans="1:2" x14ac:dyDescent="0.25">
      <c r="A753" t="str">
        <v>Levoglucosan</v>
      </c>
      <c r="B753" t="str">
        <v>SSFLAT_MCSN02_20260319_</v>
      </c>
    </row>
    <row r="754" spans="1:2" x14ac:dyDescent="0.25">
      <c r="A754" t="str">
        <v>Levoglucosan</v>
      </c>
      <c r="B754" t="str">
        <v>SSFLAT_MCSN02_20260319_</v>
      </c>
    </row>
    <row r="755" spans="1:2" x14ac:dyDescent="0.25">
      <c r="A755" t="str">
        <v>Levoglucosan</v>
      </c>
      <c r="B755" t="str">
        <v>SSFLAT_MCSN02_20260319_</v>
      </c>
    </row>
    <row r="756" spans="1:2" x14ac:dyDescent="0.25">
      <c r="A756" t="str">
        <v>Levoglucosan</v>
      </c>
      <c r="B756" t="str">
        <v>SSFLAT_MCSN02_20260319_</v>
      </c>
    </row>
    <row r="757" spans="1:2" x14ac:dyDescent="0.25">
      <c r="A757" t="str">
        <v>Levoglucosan</v>
      </c>
      <c r="B757" t="str">
        <v>SSFLAT_MCSN02_20260319_</v>
      </c>
    </row>
    <row r="758" spans="1:2" x14ac:dyDescent="0.25">
      <c r="A758" t="str">
        <v>Levoglucosan</v>
      </c>
      <c r="B758" t="str">
        <v>SSFLAT_MCSN02_20260319_</v>
      </c>
    </row>
    <row r="759" spans="1:2" x14ac:dyDescent="0.25">
      <c r="A759" t="str">
        <v>Levoglucosan</v>
      </c>
      <c r="B759" t="str">
        <v>SSFLAT_MCSN02_20260319_</v>
      </c>
    </row>
    <row r="760" spans="1:2" x14ac:dyDescent="0.25">
      <c r="A760" t="str">
        <v>Levoglucosan</v>
      </c>
      <c r="B760" t="str">
        <v>SSFLAT_MCSN02_20260319_</v>
      </c>
    </row>
    <row r="761" spans="1:2" x14ac:dyDescent="0.25">
      <c r="A761" t="str">
        <v>Levoglucosan</v>
      </c>
      <c r="B761" t="str">
        <v>SSFLAT_MCSN02_20260319_</v>
      </c>
    </row>
    <row r="762" spans="1:2" x14ac:dyDescent="0.25">
      <c r="A762" t="str">
        <v>Levoglucosan</v>
      </c>
      <c r="B762" t="str">
        <v>SSFLAT_MCSN02_20260319_</v>
      </c>
    </row>
    <row r="763" spans="1:2" x14ac:dyDescent="0.25">
      <c r="A763" t="str">
        <v>Levoglucosan</v>
      </c>
      <c r="B763" t="str">
        <v>SSFLAT_MCSN02_20260319_</v>
      </c>
    </row>
    <row r="764" spans="1:2" x14ac:dyDescent="0.25">
      <c r="A764" t="str">
        <v>Levoglucosan</v>
      </c>
      <c r="B764" t="str">
        <v>SSFLAT_MCSN02_20260319_</v>
      </c>
    </row>
    <row r="765" spans="1:2" x14ac:dyDescent="0.25">
      <c r="A765" t="str">
        <v>Levoglucosan</v>
      </c>
      <c r="B765" t="str">
        <v>SSFLAT_MCSN02_20260319_</v>
      </c>
    </row>
    <row r="766" spans="1:2" x14ac:dyDescent="0.25">
      <c r="A766" t="str">
        <v>Levoglucosan</v>
      </c>
      <c r="B766" t="str">
        <v>SSFLAT_MCSN02_20260319_</v>
      </c>
    </row>
    <row r="767" spans="1:2" x14ac:dyDescent="0.25">
      <c r="A767" t="str">
        <v>Levoglucosan</v>
      </c>
      <c r="B767" t="str">
        <v>SSFLAT_MCSN03_20260319_</v>
      </c>
    </row>
    <row r="768" spans="1:2" x14ac:dyDescent="0.25">
      <c r="A768" t="str">
        <v>Levoglucosan</v>
      </c>
      <c r="B768" t="str">
        <v>SSFLAT_MCSN03_20260319_</v>
      </c>
    </row>
    <row r="769" spans="1:2" x14ac:dyDescent="0.25">
      <c r="A769" t="str">
        <v>Levoglucosan</v>
      </c>
      <c r="B769" t="str">
        <v>SSFLAT_MCSN03_20260319_</v>
      </c>
    </row>
    <row r="770" spans="1:2" x14ac:dyDescent="0.25">
      <c r="A770" t="str">
        <v>Levoglucosan</v>
      </c>
      <c r="B770" t="str">
        <v>SSFLAT_MCSN03_20260319_</v>
      </c>
    </row>
    <row r="771" spans="1:2" x14ac:dyDescent="0.25">
      <c r="A771" t="str">
        <v>Levoglucosan</v>
      </c>
      <c r="B771" t="str">
        <v>SSFLAT_MCSN03_20260319_</v>
      </c>
    </row>
    <row r="772" spans="1:2" x14ac:dyDescent="0.25">
      <c r="A772" t="str">
        <v>Levoglucosan</v>
      </c>
      <c r="B772" t="str">
        <v>SSFLAT_MCSN03_20260319_</v>
      </c>
    </row>
    <row r="773" spans="1:2" x14ac:dyDescent="0.25">
      <c r="A773" t="str">
        <v>Levoglucosan</v>
      </c>
      <c r="B773" t="str">
        <v>SSFLAT_MCSN03_20260319_</v>
      </c>
    </row>
    <row r="774" spans="1:2" x14ac:dyDescent="0.25">
      <c r="A774" t="str">
        <v>Levoglucosan</v>
      </c>
      <c r="B774" t="str">
        <v>SSFLAT_MCSN03_20260319_</v>
      </c>
    </row>
    <row r="775" spans="1:2" x14ac:dyDescent="0.25">
      <c r="A775" t="str">
        <v>Levoglucosan</v>
      </c>
      <c r="B775" t="str">
        <v>SSFLAT_MCSN03_20260319_</v>
      </c>
    </row>
    <row r="776" spans="1:2" x14ac:dyDescent="0.25">
      <c r="A776" t="str">
        <v>Levoglucosan</v>
      </c>
      <c r="B776" t="str">
        <v>SSFLAT_MCSN03_20260319_</v>
      </c>
    </row>
    <row r="777" spans="1:2" x14ac:dyDescent="0.25">
      <c r="A777" t="str">
        <v>Levoglucosan</v>
      </c>
      <c r="B777" t="str">
        <v>SSFLAT_MCSN03_20260319_</v>
      </c>
    </row>
    <row r="778" spans="1:2" x14ac:dyDescent="0.25">
      <c r="A778" t="str">
        <v>Levoglucosan</v>
      </c>
      <c r="B778" t="str">
        <v>SSFLAT_MCSN03_20260319_</v>
      </c>
    </row>
    <row r="779" spans="1:2" x14ac:dyDescent="0.25">
      <c r="A779" t="str">
        <v>Levoglucosan</v>
      </c>
      <c r="B779" t="str">
        <v>SSFLAT_MCSN03_20260319_</v>
      </c>
    </row>
    <row r="780" spans="1:2" x14ac:dyDescent="0.25">
      <c r="A780" t="str">
        <v>Levoglucosan</v>
      </c>
      <c r="B780" t="str">
        <v>SSFLAT_MCSN03_20260319_</v>
      </c>
    </row>
    <row r="781" spans="1:2" x14ac:dyDescent="0.25">
      <c r="A781" t="str">
        <v>Levoglucosan</v>
      </c>
      <c r="B781" t="str">
        <v>SSFLAT_MCSN03_20260319_</v>
      </c>
    </row>
    <row r="782" spans="1:2" x14ac:dyDescent="0.25">
      <c r="A782" t="str">
        <v>Levoglucosan</v>
      </c>
      <c r="B782" t="str">
        <v>SSFLAT_MCSN03_20260319_</v>
      </c>
    </row>
    <row r="783" spans="1:2" x14ac:dyDescent="0.25">
      <c r="A783" t="str">
        <v>Levoglucosan</v>
      </c>
      <c r="B783" t="str">
        <v>SSFLAT_MCSN03_20260319_</v>
      </c>
    </row>
    <row r="784" spans="1:2" x14ac:dyDescent="0.25">
      <c r="A784" t="str">
        <v>Levoglucosan</v>
      </c>
      <c r="B784" t="str">
        <v>SSFLAT_MCSN03_20260319_</v>
      </c>
    </row>
    <row r="785" spans="1:2" x14ac:dyDescent="0.25">
      <c r="A785" t="str">
        <v>Levoglucosan</v>
      </c>
      <c r="B785" t="str">
        <v>SSFLAT_MCSN03_20260319_</v>
      </c>
    </row>
    <row r="786" spans="1:2" x14ac:dyDescent="0.25">
      <c r="A786" t="str">
        <v>Levoglucosan</v>
      </c>
      <c r="B786" t="str">
        <v>SSFLAT_MCSN03_20260319_</v>
      </c>
    </row>
    <row r="787" spans="1:2" x14ac:dyDescent="0.25">
      <c r="A787" t="str">
        <v>Levoglucosan</v>
      </c>
      <c r="B787" t="str">
        <v>SSFLAT_MCSN03_20260319_</v>
      </c>
    </row>
    <row r="788" spans="1:2" x14ac:dyDescent="0.25">
      <c r="A788" t="str">
        <v>Levoglucosan</v>
      </c>
      <c r="B788" t="str">
        <v>SSFLAT_MCSN03_20260319_</v>
      </c>
    </row>
    <row r="789" spans="1:2" x14ac:dyDescent="0.25">
      <c r="A789" t="str">
        <v>Levoglucosan</v>
      </c>
      <c r="B789" t="str">
        <v>SSFLAT_MCSN03_20260319_</v>
      </c>
    </row>
    <row r="790" spans="1:2" x14ac:dyDescent="0.25">
      <c r="A790" t="str">
        <v>Levoglucosan</v>
      </c>
      <c r="B790" t="str">
        <v>SSFLAT_MCSN03_20260319_</v>
      </c>
    </row>
    <row r="791" spans="1:2" x14ac:dyDescent="0.25">
      <c r="A791" t="str">
        <v>Levoglucosan</v>
      </c>
      <c r="B791" t="str">
        <v>SSFLAT_MCSN04_20260319_</v>
      </c>
    </row>
    <row r="792" spans="1:2" x14ac:dyDescent="0.25">
      <c r="A792" t="str">
        <v>Levoglucosan</v>
      </c>
      <c r="B792" t="str">
        <v>SSFLAT_MCSN04_20260319_</v>
      </c>
    </row>
    <row r="793" spans="1:2" x14ac:dyDescent="0.25">
      <c r="A793" t="str">
        <v>Levoglucosan</v>
      </c>
      <c r="B793" t="str">
        <v>SSFLAT_MCSN04_20260319_</v>
      </c>
    </row>
    <row r="794" spans="1:2" x14ac:dyDescent="0.25">
      <c r="A794" t="str">
        <v>Levoglucosan</v>
      </c>
      <c r="B794" t="str">
        <v>SSFLAT_MCSN04_20260319_</v>
      </c>
    </row>
    <row r="795" spans="1:2" x14ac:dyDescent="0.25">
      <c r="A795" t="str">
        <v>Levoglucosan</v>
      </c>
      <c r="B795" t="str">
        <v>SSFLAT_MCSN04_20260319_</v>
      </c>
    </row>
    <row r="796" spans="1:2" x14ac:dyDescent="0.25">
      <c r="A796" t="str">
        <v>Levoglucosan</v>
      </c>
      <c r="B796" t="str">
        <v>SSFLAT_MCSN04_20260319_</v>
      </c>
    </row>
    <row r="797" spans="1:2" x14ac:dyDescent="0.25">
      <c r="A797" t="str">
        <v>Levoglucosan</v>
      </c>
      <c r="B797" t="str">
        <v>SSFLAT_MCSN04_20260319_</v>
      </c>
    </row>
    <row r="798" spans="1:2" x14ac:dyDescent="0.25">
      <c r="A798" t="str">
        <v>Levoglucosan</v>
      </c>
      <c r="B798" t="str">
        <v>SSFLAT_MCSN04_20260319_</v>
      </c>
    </row>
    <row r="799" spans="1:2" x14ac:dyDescent="0.25">
      <c r="A799" t="str">
        <v>Levoglucosan</v>
      </c>
      <c r="B799" t="str">
        <v>SSFLAT_MCSN04_20260319_</v>
      </c>
    </row>
    <row r="800" spans="1:2" x14ac:dyDescent="0.25">
      <c r="A800" t="str">
        <v>Levoglucosan</v>
      </c>
      <c r="B800" t="str">
        <v>SSFLAT_MCSN04_20260319_</v>
      </c>
    </row>
    <row r="801" spans="1:2" x14ac:dyDescent="0.25">
      <c r="A801" t="str">
        <v>Levoglucosan</v>
      </c>
      <c r="B801" t="str">
        <v>SSFLAT_MCSN04_20260319_</v>
      </c>
    </row>
    <row r="802" spans="1:2" x14ac:dyDescent="0.25">
      <c r="A802" t="str">
        <v>Levoglucosan</v>
      </c>
      <c r="B802" t="str">
        <v>SSFLAT_MCSN04_20260319_</v>
      </c>
    </row>
    <row r="803" spans="1:2" x14ac:dyDescent="0.25">
      <c r="A803" t="str">
        <v>Levoglucosan</v>
      </c>
      <c r="B803" t="str">
        <v>SSFLAT_MCSN04_20260319_</v>
      </c>
    </row>
    <row r="804" spans="1:2" x14ac:dyDescent="0.25">
      <c r="A804" t="str">
        <v>Levoglucosan</v>
      </c>
      <c r="B804" t="str">
        <v>SSFLAT_MCSN04_20260319_</v>
      </c>
    </row>
    <row r="805" spans="1:2" x14ac:dyDescent="0.25">
      <c r="A805" t="str">
        <v>Levoglucosan</v>
      </c>
      <c r="B805" t="str">
        <v>SSFLAT_MCSN04_20260319_</v>
      </c>
    </row>
    <row r="806" spans="1:2" x14ac:dyDescent="0.25">
      <c r="A806" t="str">
        <v>Levoglucosan</v>
      </c>
      <c r="B806" t="str">
        <v>SSFLAT_MCSN04_20260319_</v>
      </c>
    </row>
    <row r="807" spans="1:2" x14ac:dyDescent="0.25">
      <c r="A807" t="str">
        <v>Levoglucosan</v>
      </c>
      <c r="B807" t="str">
        <v>SSFLAT_MCSN04_20260319_</v>
      </c>
    </row>
    <row r="808" spans="1:2" x14ac:dyDescent="0.25">
      <c r="A808" t="str">
        <v>Levoglucosan</v>
      </c>
      <c r="B808" t="str">
        <v>SSFLAT_MCSN04_20260319_</v>
      </c>
    </row>
    <row r="809" spans="1:2" x14ac:dyDescent="0.25">
      <c r="A809" t="str">
        <v>Levoglucosan</v>
      </c>
      <c r="B809" t="str">
        <v>SSFLAT_MCSN04_20260319_</v>
      </c>
    </row>
    <row r="810" spans="1:2" x14ac:dyDescent="0.25">
      <c r="A810" t="str">
        <v>Levoglucosan</v>
      </c>
      <c r="B810" t="str">
        <v>SSFLAT_MCSN04_20260319_</v>
      </c>
    </row>
    <row r="811" spans="1:2" x14ac:dyDescent="0.25">
      <c r="A811" t="str">
        <v>Levoglucosan</v>
      </c>
      <c r="B811" t="str">
        <v>SSFLAT_MCSN04_20260319_</v>
      </c>
    </row>
    <row r="812" spans="1:2" x14ac:dyDescent="0.25">
      <c r="A812" t="str">
        <v>Levoglucosan</v>
      </c>
      <c r="B812" t="str">
        <v>SSFLAT_MCSN04_20260319_</v>
      </c>
    </row>
    <row r="813" spans="1:2" x14ac:dyDescent="0.25">
      <c r="A813" t="str">
        <v>Levoglucosan</v>
      </c>
      <c r="B813" t="str">
        <v>SSFLAT_MCSN04_20260319_</v>
      </c>
    </row>
    <row r="814" spans="1:2" x14ac:dyDescent="0.25">
      <c r="A814" t="str">
        <v>Levoglucosan</v>
      </c>
      <c r="B814" t="str">
        <v>SSFLAT_MCSN04_20260319_</v>
      </c>
    </row>
    <row r="815" spans="1:2" x14ac:dyDescent="0.25">
      <c r="A815" t="str">
        <v>Levoglucosan</v>
      </c>
      <c r="B815" t="str">
        <v>SSFLAT_MCSN05_20260319_</v>
      </c>
    </row>
    <row r="816" spans="1:2" x14ac:dyDescent="0.25">
      <c r="A816" t="str">
        <v>Levoglucosan</v>
      </c>
      <c r="B816" t="str">
        <v>SSFLAT_MCSN05_20260319_</v>
      </c>
    </row>
    <row r="817" spans="1:2" x14ac:dyDescent="0.25">
      <c r="A817" t="str">
        <v>Levoglucosan</v>
      </c>
      <c r="B817" t="str">
        <v>SSFLAT_MCSN05_20260319_</v>
      </c>
    </row>
    <row r="818" spans="1:2" x14ac:dyDescent="0.25">
      <c r="A818" t="str">
        <v>Levoglucosan</v>
      </c>
      <c r="B818" t="str">
        <v>SSFLAT_MCSN05_20260319_</v>
      </c>
    </row>
    <row r="819" spans="1:2" x14ac:dyDescent="0.25">
      <c r="A819" t="str">
        <v>Levoglucosan</v>
      </c>
      <c r="B819" t="str">
        <v>SSFLAT_MCSN05_20260319_</v>
      </c>
    </row>
    <row r="820" spans="1:2" x14ac:dyDescent="0.25">
      <c r="A820" t="str">
        <v>Levoglucosan</v>
      </c>
      <c r="B820" t="str">
        <v>SSFLAT_MCSN05_20260319_</v>
      </c>
    </row>
    <row r="821" spans="1:2" x14ac:dyDescent="0.25">
      <c r="A821" t="str">
        <v>Levoglucosan</v>
      </c>
      <c r="B821" t="str">
        <v>SSFLAT_MCSN05_20260319_</v>
      </c>
    </row>
    <row r="822" spans="1:2" x14ac:dyDescent="0.25">
      <c r="A822" t="str">
        <v>Levoglucosan</v>
      </c>
      <c r="B822" t="str">
        <v>SSFLAT_MCSN05_20260319_</v>
      </c>
    </row>
    <row r="823" spans="1:2" x14ac:dyDescent="0.25">
      <c r="A823" t="str">
        <v>Levoglucosan</v>
      </c>
      <c r="B823" t="str">
        <v>SSFLAT_MCSN05_20260319_</v>
      </c>
    </row>
    <row r="824" spans="1:2" x14ac:dyDescent="0.25">
      <c r="A824" t="str">
        <v>Levoglucosan</v>
      </c>
      <c r="B824" t="str">
        <v>SSFLAT_MCSN05_20260319_</v>
      </c>
    </row>
    <row r="825" spans="1:2" x14ac:dyDescent="0.25">
      <c r="A825" t="str">
        <v>Levoglucosan</v>
      </c>
      <c r="B825" t="str">
        <v>SSFLAT_MCSN05_20260319_</v>
      </c>
    </row>
    <row r="826" spans="1:2" x14ac:dyDescent="0.25">
      <c r="A826" t="str">
        <v>Levoglucosan</v>
      </c>
      <c r="B826" t="str">
        <v>SSFLAT_MCSN05_20260319_</v>
      </c>
    </row>
    <row r="827" spans="1:2" x14ac:dyDescent="0.25">
      <c r="A827" t="str">
        <v>Levoglucosan</v>
      </c>
      <c r="B827" t="str">
        <v>SSFLAT_MCSN05_20260319_</v>
      </c>
    </row>
    <row r="828" spans="1:2" x14ac:dyDescent="0.25">
      <c r="A828" t="str">
        <v>Levoglucosan</v>
      </c>
      <c r="B828" t="str">
        <v>SSFLAT_MCSN05_20260319_</v>
      </c>
    </row>
    <row r="829" spans="1:2" x14ac:dyDescent="0.25">
      <c r="A829" t="str">
        <v>Levoglucosan</v>
      </c>
      <c r="B829" t="str">
        <v>SSFLAT_MCSN05_20260319_</v>
      </c>
    </row>
    <row r="830" spans="1:2" x14ac:dyDescent="0.25">
      <c r="A830" t="str">
        <v>Levoglucosan</v>
      </c>
      <c r="B830" t="str">
        <v>SSFLAT_MCSN05_20260319_</v>
      </c>
    </row>
    <row r="831" spans="1:2" x14ac:dyDescent="0.25">
      <c r="A831" t="str">
        <v>Levoglucosan</v>
      </c>
      <c r="B831" t="str">
        <v>SSFLAT_MCSN05_20260319_</v>
      </c>
    </row>
    <row r="832" spans="1:2" x14ac:dyDescent="0.25">
      <c r="A832" t="str">
        <v>Levoglucosan</v>
      </c>
      <c r="B832" t="str">
        <v>SSFLAT_MCSN05_20260319_</v>
      </c>
    </row>
    <row r="833" spans="1:2" x14ac:dyDescent="0.25">
      <c r="A833" t="str">
        <v>Levoglucosan</v>
      </c>
      <c r="B833" t="str">
        <v>SSFLAT_MCSN05_20260319_</v>
      </c>
    </row>
    <row r="834" spans="1:2" x14ac:dyDescent="0.25">
      <c r="A834" t="str">
        <v>Levoglucosan</v>
      </c>
      <c r="B834" t="str">
        <v>SSFLAT_MCSN05_20260319_</v>
      </c>
    </row>
    <row r="835" spans="1:2" x14ac:dyDescent="0.25">
      <c r="A835" t="str">
        <v>Levoglucosan</v>
      </c>
      <c r="B835" t="str">
        <v>SSFLAT_MCSN05_20260319_</v>
      </c>
    </row>
    <row r="836" spans="1:2" x14ac:dyDescent="0.25">
      <c r="A836" t="str">
        <v>Levoglucosan</v>
      </c>
      <c r="B836" t="str">
        <v>SSFLAT_MCSN05_20260319_</v>
      </c>
    </row>
    <row r="837" spans="1:2" x14ac:dyDescent="0.25">
      <c r="A837" t="str">
        <v>Levoglucosan</v>
      </c>
      <c r="B837" t="str">
        <v>SSFLAT_MCSN05_20260319_</v>
      </c>
    </row>
    <row r="838" spans="1:2" x14ac:dyDescent="0.25">
      <c r="A838" t="str">
        <v>Levoglucosan</v>
      </c>
      <c r="B838" t="str">
        <v>SSFLAT_MCSN05_20260319_</v>
      </c>
    </row>
    <row r="839" spans="1:2" x14ac:dyDescent="0.25">
      <c r="A839" t="str">
        <v>Levoglucosan</v>
      </c>
      <c r="B839" t="str">
        <v>SSFLAT_MCSN06_20260319_</v>
      </c>
    </row>
    <row r="840" spans="1:2" x14ac:dyDescent="0.25">
      <c r="A840" t="str">
        <v>Levoglucosan</v>
      </c>
      <c r="B840" t="str">
        <v>SSFLAT_MCSN06_20260319_</v>
      </c>
    </row>
    <row r="841" spans="1:2" x14ac:dyDescent="0.25">
      <c r="A841" t="str">
        <v>Levoglucosan</v>
      </c>
      <c r="B841" t="str">
        <v>SSFLAT_MCSN06_20260319_</v>
      </c>
    </row>
    <row r="842" spans="1:2" x14ac:dyDescent="0.25">
      <c r="A842" t="str">
        <v>Levoglucosan</v>
      </c>
      <c r="B842" t="str">
        <v>SSFLAT_MCSN06_20260319_</v>
      </c>
    </row>
    <row r="843" spans="1:2" x14ac:dyDescent="0.25">
      <c r="A843" t="str">
        <v>Levoglucosan</v>
      </c>
      <c r="B843" t="str">
        <v>SSFLAT_MCSN06_20260319_</v>
      </c>
    </row>
    <row r="844" spans="1:2" x14ac:dyDescent="0.25">
      <c r="A844" t="str">
        <v>Levoglucosan</v>
      </c>
      <c r="B844" t="str">
        <v>SSFLAT_MCSN06_20260319_</v>
      </c>
    </row>
    <row r="845" spans="1:2" x14ac:dyDescent="0.25">
      <c r="A845" t="str">
        <v>Levoglucosan</v>
      </c>
      <c r="B845" t="str">
        <v>SSFLAT_MCSN06_20260319_</v>
      </c>
    </row>
    <row r="846" spans="1:2" x14ac:dyDescent="0.25">
      <c r="A846" t="str">
        <v>Levoglucosan</v>
      </c>
      <c r="B846" t="str">
        <v>SSFLAT_MCSN06_20260319_</v>
      </c>
    </row>
    <row r="847" spans="1:2" x14ac:dyDescent="0.25">
      <c r="A847" t="str">
        <v>Levoglucosan</v>
      </c>
      <c r="B847" t="str">
        <v>SSFLAT_MCSN06_20260319_</v>
      </c>
    </row>
    <row r="848" spans="1:2" x14ac:dyDescent="0.25">
      <c r="A848" t="str">
        <v>Levoglucosan</v>
      </c>
      <c r="B848" t="str">
        <v>SSFLAT_MCSN06_20260319_</v>
      </c>
    </row>
    <row r="849" spans="1:2" x14ac:dyDescent="0.25">
      <c r="A849" t="str">
        <v>Levoglucosan</v>
      </c>
      <c r="B849" t="str">
        <v>SSFLAT_MCSN06_20260319_</v>
      </c>
    </row>
    <row r="850" spans="1:2" x14ac:dyDescent="0.25">
      <c r="A850" t="str">
        <v>Levoglucosan</v>
      </c>
      <c r="B850" t="str">
        <v>SSFLAT_MCSN06_20260319_</v>
      </c>
    </row>
    <row r="851" spans="1:2" x14ac:dyDescent="0.25">
      <c r="A851" t="str">
        <v>Levoglucosan</v>
      </c>
      <c r="B851" t="str">
        <v>SSFLAT_MCSN06_20260319_</v>
      </c>
    </row>
    <row r="852" spans="1:2" x14ac:dyDescent="0.25">
      <c r="A852" t="str">
        <v>Levoglucosan</v>
      </c>
      <c r="B852" t="str">
        <v>SSFLAT_MCSN06_20260319_</v>
      </c>
    </row>
    <row r="853" spans="1:2" x14ac:dyDescent="0.25">
      <c r="A853" t="str">
        <v>Levoglucosan</v>
      </c>
      <c r="B853" t="str">
        <v>SSFLAT_MCSN06_20260319_</v>
      </c>
    </row>
    <row r="854" spans="1:2" x14ac:dyDescent="0.25">
      <c r="A854" t="str">
        <v>Levoglucosan</v>
      </c>
      <c r="B854" t="str">
        <v>SSFLAT_MCSN06_20260319_</v>
      </c>
    </row>
    <row r="855" spans="1:2" x14ac:dyDescent="0.25">
      <c r="A855" t="str">
        <v>Levoglucosan</v>
      </c>
      <c r="B855" t="str">
        <v>SSFLAT_MCSN06_20260319_</v>
      </c>
    </row>
    <row r="856" spans="1:2" x14ac:dyDescent="0.25">
      <c r="A856" t="str">
        <v>Levoglucosan</v>
      </c>
      <c r="B856" t="str">
        <v>SSFLAT_MCSN06_20260319_</v>
      </c>
    </row>
    <row r="857" spans="1:2" x14ac:dyDescent="0.25">
      <c r="A857" t="str">
        <v>Levoglucosan</v>
      </c>
      <c r="B857" t="str">
        <v>SSFLAT_MCSN06_20260319_</v>
      </c>
    </row>
    <row r="858" spans="1:2" x14ac:dyDescent="0.25">
      <c r="A858" t="str">
        <v>Levoglucosan</v>
      </c>
      <c r="B858" t="str">
        <v>SSFLAT_MCSN06_20260319_</v>
      </c>
    </row>
    <row r="859" spans="1:2" x14ac:dyDescent="0.25">
      <c r="A859" t="str">
        <v>Levoglucosan</v>
      </c>
      <c r="B859" t="str">
        <v>SSFLAT_MCSN06_20260319_</v>
      </c>
    </row>
    <row r="860" spans="1:2" x14ac:dyDescent="0.25">
      <c r="A860" t="str">
        <v>Levoglucosan</v>
      </c>
      <c r="B860" t="str">
        <v>SSFLAT_MCSN06_20260319_</v>
      </c>
    </row>
    <row r="861" spans="1:2" x14ac:dyDescent="0.25">
      <c r="A861" t="str">
        <v>Levoglucosan</v>
      </c>
      <c r="B861" t="str">
        <v>SSFLAT_MCSN06_20260319_</v>
      </c>
    </row>
    <row r="862" spans="1:2" x14ac:dyDescent="0.25">
      <c r="A862" t="str">
        <v>Levoglucosan</v>
      </c>
      <c r="B862" t="str">
        <v>SSFLAT_MCSN06_20260319_</v>
      </c>
    </row>
    <row r="863" spans="1:2" x14ac:dyDescent="0.25">
      <c r="A863" t="str">
        <v>Levoglucosan</v>
      </c>
      <c r="B863" t="str">
        <v>SSFLAT_MCSN07_20260319_</v>
      </c>
    </row>
    <row r="864" spans="1:2" x14ac:dyDescent="0.25">
      <c r="A864" t="str">
        <v>Levoglucosan</v>
      </c>
      <c r="B864" t="str">
        <v>SSFLAT_MCSN07_20260319_</v>
      </c>
    </row>
    <row r="865" spans="1:2" x14ac:dyDescent="0.25">
      <c r="A865" t="str">
        <v>Levoglucosan</v>
      </c>
      <c r="B865" t="str">
        <v>SSFLAT_MCSN07_20260319_</v>
      </c>
    </row>
    <row r="866" spans="1:2" x14ac:dyDescent="0.25">
      <c r="A866" t="str">
        <v>Levoglucosan</v>
      </c>
      <c r="B866" t="str">
        <v>SSFLAT_MCSN07_20260319_</v>
      </c>
    </row>
    <row r="867" spans="1:2" x14ac:dyDescent="0.25">
      <c r="A867" t="str">
        <v>Levoglucosan</v>
      </c>
      <c r="B867" t="str">
        <v>SSFLAT_MCSN07_20260319_</v>
      </c>
    </row>
    <row r="868" spans="1:2" x14ac:dyDescent="0.25">
      <c r="A868" t="str">
        <v>Levoglucosan</v>
      </c>
      <c r="B868" t="str">
        <v>SSFLAT_MCSN07_20260319_</v>
      </c>
    </row>
    <row r="869" spans="1:2" x14ac:dyDescent="0.25">
      <c r="A869" t="str">
        <v>Levoglucosan</v>
      </c>
      <c r="B869" t="str">
        <v>SSFLAT_MCSN07_20260319_</v>
      </c>
    </row>
    <row r="870" spans="1:2" x14ac:dyDescent="0.25">
      <c r="A870" t="str">
        <v>Levoglucosan</v>
      </c>
      <c r="B870" t="str">
        <v>SSFLAT_MCSN07_20260319_</v>
      </c>
    </row>
    <row r="871" spans="1:2" x14ac:dyDescent="0.25">
      <c r="A871" t="str">
        <v>Levoglucosan</v>
      </c>
      <c r="B871" t="str">
        <v>SSFLAT_MCSN07_20260319_</v>
      </c>
    </row>
    <row r="872" spans="1:2" x14ac:dyDescent="0.25">
      <c r="A872" t="str">
        <v>Levoglucosan</v>
      </c>
      <c r="B872" t="str">
        <v>SSFLAT_MCSN07_20260319_</v>
      </c>
    </row>
    <row r="873" spans="1:2" x14ac:dyDescent="0.25">
      <c r="A873" t="str">
        <v>Levoglucosan</v>
      </c>
      <c r="B873" t="str">
        <v>SSFLAT_MCSN07_20260319_</v>
      </c>
    </row>
    <row r="874" spans="1:2" x14ac:dyDescent="0.25">
      <c r="A874" t="str">
        <v>Levoglucosan</v>
      </c>
      <c r="B874" t="str">
        <v>SSFLAT_MCSN07_20260319_</v>
      </c>
    </row>
    <row r="875" spans="1:2" x14ac:dyDescent="0.25">
      <c r="A875" t="str">
        <v>Levoglucosan</v>
      </c>
      <c r="B875" t="str">
        <v>SSFLAT_MCSN07_20260319_</v>
      </c>
    </row>
    <row r="876" spans="1:2" x14ac:dyDescent="0.25">
      <c r="A876" t="str">
        <v>Levoglucosan</v>
      </c>
      <c r="B876" t="str">
        <v>SSFLAT_MCSN07_20260319_</v>
      </c>
    </row>
    <row r="877" spans="1:2" x14ac:dyDescent="0.25">
      <c r="A877" t="str">
        <v>Levoglucosan</v>
      </c>
      <c r="B877" t="str">
        <v>SSFLAT_MCSN07_20260319_</v>
      </c>
    </row>
    <row r="878" spans="1:2" x14ac:dyDescent="0.25">
      <c r="A878" t="str">
        <v>Levoglucosan</v>
      </c>
      <c r="B878" t="str">
        <v>SSFLAT_MCSN07_20260319_</v>
      </c>
    </row>
    <row r="879" spans="1:2" x14ac:dyDescent="0.25">
      <c r="A879" t="str">
        <v>Levoglucosan</v>
      </c>
      <c r="B879" t="str">
        <v>SSFLAT_MCSN07_20260319_</v>
      </c>
    </row>
    <row r="880" spans="1:2" x14ac:dyDescent="0.25">
      <c r="A880" t="str">
        <v>Levoglucosan</v>
      </c>
      <c r="B880" t="str">
        <v>SSFLAT_MCSN07_20260319_</v>
      </c>
    </row>
    <row r="881" spans="1:2" x14ac:dyDescent="0.25">
      <c r="A881" t="str">
        <v>Levoglucosan</v>
      </c>
      <c r="B881" t="str">
        <v>SSFLAT_MCSN07_20260319_</v>
      </c>
    </row>
    <row r="882" spans="1:2" x14ac:dyDescent="0.25">
      <c r="A882" t="str">
        <v>Levoglucosan</v>
      </c>
      <c r="B882" t="str">
        <v>SSFLAT_MCSN07_20260319_</v>
      </c>
    </row>
    <row r="883" spans="1:2" x14ac:dyDescent="0.25">
      <c r="A883" t="str">
        <v>Levoglucosan</v>
      </c>
      <c r="B883" t="str">
        <v>SSFLAT_MCSN07_20260319_</v>
      </c>
    </row>
    <row r="884" spans="1:2" x14ac:dyDescent="0.25">
      <c r="A884" t="str">
        <v>Levoglucosan</v>
      </c>
      <c r="B884" t="str">
        <v>SSFLAT_MCSN07_20260319_</v>
      </c>
    </row>
    <row r="885" spans="1:2" x14ac:dyDescent="0.25">
      <c r="A885" t="str">
        <v>Levoglucosan</v>
      </c>
      <c r="B885" t="str">
        <v>SSFLAT_MCSN07_20260319_</v>
      </c>
    </row>
    <row r="886" spans="1:2" x14ac:dyDescent="0.25">
      <c r="A886" t="str">
        <v>Levoglucosan</v>
      </c>
      <c r="B886" t="str">
        <v>SSFLAT_MCSN07_20260319_</v>
      </c>
    </row>
    <row r="887" spans="1:2" x14ac:dyDescent="0.25">
      <c r="A887" t="str">
        <v>Levoglucosan</v>
      </c>
      <c r="B887" t="str">
        <v>SSFLAT_MCSN08_20260319_</v>
      </c>
    </row>
    <row r="888" spans="1:2" x14ac:dyDescent="0.25">
      <c r="A888" t="str">
        <v>Levoglucosan</v>
      </c>
      <c r="B888" t="str">
        <v>SSFLAT_MCSN08_20260319_</v>
      </c>
    </row>
    <row r="889" spans="1:2" x14ac:dyDescent="0.25">
      <c r="A889" t="str">
        <v>Levoglucosan</v>
      </c>
      <c r="B889" t="str">
        <v>SSFLAT_MCSN08_20260319_</v>
      </c>
    </row>
    <row r="890" spans="1:2" x14ac:dyDescent="0.25">
      <c r="A890" t="str">
        <v>Levoglucosan</v>
      </c>
      <c r="B890" t="str">
        <v>SSFLAT_MCSN08_20260319_</v>
      </c>
    </row>
    <row r="891" spans="1:2" x14ac:dyDescent="0.25">
      <c r="A891" t="str">
        <v>Levoglucosan</v>
      </c>
      <c r="B891" t="str">
        <v>SSFLAT_MCSN08_20260319_</v>
      </c>
    </row>
    <row r="892" spans="1:2" x14ac:dyDescent="0.25">
      <c r="A892" t="str">
        <v>Levoglucosan</v>
      </c>
      <c r="B892" t="str">
        <v>SSFLAT_MCSN08_20260319_</v>
      </c>
    </row>
    <row r="893" spans="1:2" x14ac:dyDescent="0.25">
      <c r="A893" t="str">
        <v>Levoglucosan</v>
      </c>
      <c r="B893" t="str">
        <v>SSFLAT_MCSN08_20260319_</v>
      </c>
    </row>
    <row r="894" spans="1:2" x14ac:dyDescent="0.25">
      <c r="A894" t="str">
        <v>Levoglucosan</v>
      </c>
      <c r="B894" t="str">
        <v>SSFLAT_MCSN08_20260319_</v>
      </c>
    </row>
    <row r="895" spans="1:2" x14ac:dyDescent="0.25">
      <c r="A895" t="str">
        <v>Levoglucosan</v>
      </c>
      <c r="B895" t="str">
        <v>SSFLAT_MCSN08_20260319_</v>
      </c>
    </row>
    <row r="896" spans="1:2" x14ac:dyDescent="0.25">
      <c r="A896" t="str">
        <v>Levoglucosan</v>
      </c>
      <c r="B896" t="str">
        <v>SSFLAT_MCSN08_20260319_</v>
      </c>
    </row>
    <row r="897" spans="1:2" x14ac:dyDescent="0.25">
      <c r="A897" t="str">
        <v>Levoglucosan</v>
      </c>
      <c r="B897" t="str">
        <v>SSFLAT_MCSN08_20260319_</v>
      </c>
    </row>
    <row r="898" spans="1:2" x14ac:dyDescent="0.25">
      <c r="A898" t="str">
        <v>Levoglucosan</v>
      </c>
      <c r="B898" t="str">
        <v>SSFLAT_MCSN08_20260319_</v>
      </c>
    </row>
    <row r="899" spans="1:2" x14ac:dyDescent="0.25">
      <c r="A899" t="str">
        <v>Levoglucosan</v>
      </c>
      <c r="B899" t="str">
        <v>SSFLAT_MCSN08_20260319_</v>
      </c>
    </row>
    <row r="900" spans="1:2" x14ac:dyDescent="0.25">
      <c r="A900" t="str">
        <v>Levoglucosan</v>
      </c>
      <c r="B900" t="str">
        <v>SSFLAT_MCSN08_20260319_</v>
      </c>
    </row>
    <row r="901" spans="1:2" x14ac:dyDescent="0.25">
      <c r="A901" t="str">
        <v>Levoglucosan</v>
      </c>
      <c r="B901" t="str">
        <v>SSFLAT_MCSN08_20260319_</v>
      </c>
    </row>
    <row r="902" spans="1:2" x14ac:dyDescent="0.25">
      <c r="A902" t="str">
        <v>Levoglucosan</v>
      </c>
      <c r="B902" t="str">
        <v>SSFLAT_MCSN08_20260319_</v>
      </c>
    </row>
    <row r="903" spans="1:2" x14ac:dyDescent="0.25">
      <c r="A903" t="str">
        <v>Levoglucosan</v>
      </c>
      <c r="B903" t="str">
        <v>SSFLAT_MCSN08_20260319_</v>
      </c>
    </row>
    <row r="904" spans="1:2" x14ac:dyDescent="0.25">
      <c r="A904" t="str">
        <v>Levoglucosan</v>
      </c>
      <c r="B904" t="str">
        <v>SSFLAT_MCSN08_20260319_</v>
      </c>
    </row>
    <row r="905" spans="1:2" x14ac:dyDescent="0.25">
      <c r="A905" t="str">
        <v>Levoglucosan</v>
      </c>
      <c r="B905" t="str">
        <v>SSFLAT_MCSN08_20260319_</v>
      </c>
    </row>
    <row r="906" spans="1:2" x14ac:dyDescent="0.25">
      <c r="A906" t="str">
        <v>Levoglucosan</v>
      </c>
      <c r="B906" t="str">
        <v>SSFLAT_MCSN08_20260319_</v>
      </c>
    </row>
    <row r="907" spans="1:2" x14ac:dyDescent="0.25">
      <c r="A907" t="str">
        <v>Levoglucosan</v>
      </c>
      <c r="B907" t="str">
        <v>SSFLAT_MCSN08_20260319_</v>
      </c>
    </row>
    <row r="908" spans="1:2" x14ac:dyDescent="0.25">
      <c r="A908" t="str">
        <v>Levoglucosan</v>
      </c>
      <c r="B908" t="str">
        <v>SSFLAT_MCSN08_20260319_</v>
      </c>
    </row>
    <row r="909" spans="1:2" x14ac:dyDescent="0.25">
      <c r="A909" t="str">
        <v>Levoglucosan</v>
      </c>
      <c r="B909" t="str">
        <v>SSFLAT_MCSN08_20260319_</v>
      </c>
    </row>
    <row r="910" spans="1:2" x14ac:dyDescent="0.25">
      <c r="A910" t="str">
        <v>Levoglucosan</v>
      </c>
      <c r="B910" t="str">
        <v>SSFLAT_MCSN08_20260319_</v>
      </c>
    </row>
    <row r="911" spans="1:2" x14ac:dyDescent="0.25">
      <c r="A911" t="str">
        <v>Levoglucosan</v>
      </c>
      <c r="B911" t="str">
        <v>SSFLAT_MCSN09_20260319_</v>
      </c>
    </row>
    <row r="912" spans="1:2" x14ac:dyDescent="0.25">
      <c r="A912" t="str">
        <v>Levoglucosan</v>
      </c>
      <c r="B912" t="str">
        <v>SSFLAT_MCSN09_20260319_</v>
      </c>
    </row>
    <row r="913" spans="1:2" x14ac:dyDescent="0.25">
      <c r="A913" t="str">
        <v>Levoglucosan</v>
      </c>
      <c r="B913" t="str">
        <v>SSFLAT_MCSN09_20260319_</v>
      </c>
    </row>
    <row r="914" spans="1:2" x14ac:dyDescent="0.25">
      <c r="A914" t="str">
        <v>Levoglucosan</v>
      </c>
      <c r="B914" t="str">
        <v>SSFLAT_MCSN09_20260319_</v>
      </c>
    </row>
    <row r="915" spans="1:2" x14ac:dyDescent="0.25">
      <c r="A915" t="str">
        <v>Levoglucosan</v>
      </c>
      <c r="B915" t="str">
        <v>SSFLAT_MCSN09_20260319_</v>
      </c>
    </row>
    <row r="916" spans="1:2" x14ac:dyDescent="0.25">
      <c r="A916" t="str">
        <v>Levoglucosan</v>
      </c>
      <c r="B916" t="str">
        <v>SSFLAT_MCSN09_20260319_</v>
      </c>
    </row>
    <row r="917" spans="1:2" x14ac:dyDescent="0.25">
      <c r="A917" t="str">
        <v>Levoglucosan</v>
      </c>
      <c r="B917" t="str">
        <v>SSFLAT_MCSN09_20260319_</v>
      </c>
    </row>
    <row r="918" spans="1:2" x14ac:dyDescent="0.25">
      <c r="A918" t="str">
        <v>Levoglucosan</v>
      </c>
      <c r="B918" t="str">
        <v>SSFLAT_MCSN09_20260319_</v>
      </c>
    </row>
    <row r="919" spans="1:2" x14ac:dyDescent="0.25">
      <c r="A919" t="str">
        <v>Levoglucosan</v>
      </c>
      <c r="B919" t="str">
        <v>SSFLAT_MCSN09_20260319_</v>
      </c>
    </row>
    <row r="920" spans="1:2" x14ac:dyDescent="0.25">
      <c r="A920" t="str">
        <v>Levoglucosan</v>
      </c>
      <c r="B920" t="str">
        <v>SSFLAT_MCSN09_20260319_</v>
      </c>
    </row>
    <row r="921" spans="1:2" x14ac:dyDescent="0.25">
      <c r="A921" t="str">
        <v>Levoglucosan</v>
      </c>
      <c r="B921" t="str">
        <v>SSFLAT_MCSN09_20260319_</v>
      </c>
    </row>
    <row r="922" spans="1:2" x14ac:dyDescent="0.25">
      <c r="A922" t="str">
        <v>Levoglucosan</v>
      </c>
      <c r="B922" t="str">
        <v>SSFLAT_MCSN09_20260319_</v>
      </c>
    </row>
    <row r="923" spans="1:2" x14ac:dyDescent="0.25">
      <c r="A923" t="str">
        <v>Levoglucosan</v>
      </c>
      <c r="B923" t="str">
        <v>SSFLAT_MCSN09_20260319_</v>
      </c>
    </row>
    <row r="924" spans="1:2" x14ac:dyDescent="0.25">
      <c r="A924" t="str">
        <v>Levoglucosan</v>
      </c>
      <c r="B924" t="str">
        <v>SSFLAT_MCSN09_20260319_</v>
      </c>
    </row>
    <row r="925" spans="1:2" x14ac:dyDescent="0.25">
      <c r="A925" t="str">
        <v>Levoglucosan</v>
      </c>
      <c r="B925" t="str">
        <v>SSFLAT_MCSN09_20260319_</v>
      </c>
    </row>
    <row r="926" spans="1:2" x14ac:dyDescent="0.25">
      <c r="A926" t="str">
        <v>Levoglucosan</v>
      </c>
      <c r="B926" t="str">
        <v>SSFLAT_MCSN09_20260319_</v>
      </c>
    </row>
    <row r="927" spans="1:2" x14ac:dyDescent="0.25">
      <c r="A927" t="str">
        <v>Levoglucosan</v>
      </c>
      <c r="B927" t="str">
        <v>SSFLAT_MCSN09_20260319_</v>
      </c>
    </row>
    <row r="928" spans="1:2" x14ac:dyDescent="0.25">
      <c r="A928" t="str">
        <v>Levoglucosan</v>
      </c>
      <c r="B928" t="str">
        <v>SSFLAT_MCSN09_20260319_</v>
      </c>
    </row>
    <row r="929" spans="1:2" x14ac:dyDescent="0.25">
      <c r="A929" t="str">
        <v>Levoglucosan</v>
      </c>
      <c r="B929" t="str">
        <v>SSFLAT_MCSN09_20260319_</v>
      </c>
    </row>
    <row r="930" spans="1:2" x14ac:dyDescent="0.25">
      <c r="A930" t="str">
        <v>Levoglucosan</v>
      </c>
      <c r="B930" t="str">
        <v>SSFLAT_MCSN09_20260319_</v>
      </c>
    </row>
    <row r="931" spans="1:2" x14ac:dyDescent="0.25">
      <c r="A931" t="str">
        <v>Levoglucosan</v>
      </c>
      <c r="B931" t="str">
        <v>SSFLAT_MCSN09_20260319_</v>
      </c>
    </row>
    <row r="932" spans="1:2" x14ac:dyDescent="0.25">
      <c r="A932" t="str">
        <v>Levoglucosan</v>
      </c>
      <c r="B932" t="str">
        <v>SSFLAT_MCSN09_20260319_</v>
      </c>
    </row>
    <row r="933" spans="1:2" x14ac:dyDescent="0.25">
      <c r="A933" t="str">
        <v>Levoglucosan</v>
      </c>
      <c r="B933" t="str">
        <v>SSFLAT_MCSN09_20260319_</v>
      </c>
    </row>
    <row r="934" spans="1:2" x14ac:dyDescent="0.25">
      <c r="A934" t="str">
        <v>Levoglucosan</v>
      </c>
      <c r="B934" t="str">
        <v>SSFLAT_MCSN09_20260319_</v>
      </c>
    </row>
    <row r="935" spans="1:2" x14ac:dyDescent="0.25">
      <c r="A935" t="str">
        <v>Levoglucosan</v>
      </c>
      <c r="B935" t="str">
        <v>SSFLAT_MCSN10_20260319_</v>
      </c>
    </row>
    <row r="936" spans="1:2" x14ac:dyDescent="0.25">
      <c r="A936" t="str">
        <v>Levoglucosan</v>
      </c>
      <c r="B936" t="str">
        <v>SSFLAT_MCSN10_20260319_</v>
      </c>
    </row>
    <row r="937" spans="1:2" x14ac:dyDescent="0.25">
      <c r="A937" t="str">
        <v>Levoglucosan</v>
      </c>
      <c r="B937" t="str">
        <v>SSFLAT_MCSN10_20260319_</v>
      </c>
    </row>
    <row r="938" spans="1:2" x14ac:dyDescent="0.25">
      <c r="A938" t="str">
        <v>Levoglucosan</v>
      </c>
      <c r="B938" t="str">
        <v>SSFLAT_MCSN10_20260319_</v>
      </c>
    </row>
    <row r="939" spans="1:2" x14ac:dyDescent="0.25">
      <c r="A939" t="str">
        <v>Levoglucosan</v>
      </c>
      <c r="B939" t="str">
        <v>SSFLAT_MCSN10_20260319_</v>
      </c>
    </row>
    <row r="940" spans="1:2" x14ac:dyDescent="0.25">
      <c r="A940" t="str">
        <v>Levoglucosan</v>
      </c>
      <c r="B940" t="str">
        <v>SSFLAT_MCSN10_20260319_</v>
      </c>
    </row>
    <row r="941" spans="1:2" x14ac:dyDescent="0.25">
      <c r="A941" t="str">
        <v>Levoglucosan</v>
      </c>
      <c r="B941" t="str">
        <v>SSFLAT_MCSN10_20260319_</v>
      </c>
    </row>
    <row r="942" spans="1:2" x14ac:dyDescent="0.25">
      <c r="A942" t="str">
        <v>Levoglucosan</v>
      </c>
      <c r="B942" t="str">
        <v>SSFLAT_MCSN10_20260319_</v>
      </c>
    </row>
    <row r="943" spans="1:2" x14ac:dyDescent="0.25">
      <c r="A943" t="str">
        <v>Levoglucosan</v>
      </c>
      <c r="B943" t="str">
        <v>SSFLAT_MCSN10_20260319_</v>
      </c>
    </row>
    <row r="944" spans="1:2" x14ac:dyDescent="0.25">
      <c r="A944" t="str">
        <v>Levoglucosan</v>
      </c>
      <c r="B944" t="str">
        <v>SSFLAT_MCSN10_20260319_</v>
      </c>
    </row>
    <row r="945" spans="1:2" x14ac:dyDescent="0.25">
      <c r="A945" t="str">
        <v>Levoglucosan</v>
      </c>
      <c r="B945" t="str">
        <v>SSFLAT_MCSN10_20260319_</v>
      </c>
    </row>
    <row r="946" spans="1:2" x14ac:dyDescent="0.25">
      <c r="A946" t="str">
        <v>Levoglucosan</v>
      </c>
      <c r="B946" t="str">
        <v>SSFLAT_MCSN10_20260319_</v>
      </c>
    </row>
    <row r="947" spans="1:2" x14ac:dyDescent="0.25">
      <c r="A947" t="str">
        <v>Levoglucosan</v>
      </c>
      <c r="B947" t="str">
        <v>SSFLAT_MCSN10_20260319_</v>
      </c>
    </row>
    <row r="948" spans="1:2" x14ac:dyDescent="0.25">
      <c r="A948" t="str">
        <v>Levoglucosan</v>
      </c>
      <c r="B948" t="str">
        <v>SSFLAT_MCSN10_20260319_</v>
      </c>
    </row>
    <row r="949" spans="1:2" x14ac:dyDescent="0.25">
      <c r="A949" t="str">
        <v>Levoglucosan</v>
      </c>
      <c r="B949" t="str">
        <v>SSFLAT_MCSN10_20260319_</v>
      </c>
    </row>
    <row r="950" spans="1:2" x14ac:dyDescent="0.25">
      <c r="A950" t="str">
        <v>Levoglucosan</v>
      </c>
      <c r="B950" t="str">
        <v>SSFLAT_MCSN10_20260319_</v>
      </c>
    </row>
    <row r="951" spans="1:2" x14ac:dyDescent="0.25">
      <c r="A951" t="str">
        <v>Levoglucosan</v>
      </c>
      <c r="B951" t="str">
        <v>SSFLAT_MCSN10_20260319_</v>
      </c>
    </row>
    <row r="952" spans="1:2" x14ac:dyDescent="0.25">
      <c r="A952" t="str">
        <v>Levoglucosan</v>
      </c>
      <c r="B952" t="str">
        <v>SSFLAT_MCSN10_20260319_</v>
      </c>
    </row>
    <row r="953" spans="1:2" x14ac:dyDescent="0.25">
      <c r="A953" t="str">
        <v>Levoglucosan</v>
      </c>
      <c r="B953" t="str">
        <v>SSFLAT_MCSN10_20260319_</v>
      </c>
    </row>
    <row r="954" spans="1:2" x14ac:dyDescent="0.25">
      <c r="A954" t="str">
        <v>Levoglucosan</v>
      </c>
      <c r="B954" t="str">
        <v>SSFLAT_MCSN10_20260319_</v>
      </c>
    </row>
    <row r="955" spans="1:2" x14ac:dyDescent="0.25">
      <c r="A955" t="str">
        <v>Levoglucosan</v>
      </c>
      <c r="B955" t="str">
        <v>SSFLAT_MCSN10_20260319_</v>
      </c>
    </row>
    <row r="956" spans="1:2" x14ac:dyDescent="0.25">
      <c r="A956" t="str">
        <v>Levoglucosan</v>
      </c>
      <c r="B956" t="str">
        <v>SSFLAT_MCSN10_20260319_</v>
      </c>
    </row>
    <row r="957" spans="1:2" x14ac:dyDescent="0.25">
      <c r="A957" t="str">
        <v>Levoglucosan</v>
      </c>
      <c r="B957" t="str">
        <v>SSFLAT_MCSN10_20260319_</v>
      </c>
    </row>
    <row r="958" spans="1:2" x14ac:dyDescent="0.25">
      <c r="A958" t="str">
        <v>Shimadzu</v>
      </c>
      <c r="B958" t="str">
        <v>SSFLAT_MCSN01_20260319_</v>
      </c>
    </row>
    <row r="959" spans="1:2" x14ac:dyDescent="0.25">
      <c r="A959" t="str">
        <v>Shimadzu</v>
      </c>
      <c r="B959" t="str">
        <v>SSFLAT_MCSN01_20260319_</v>
      </c>
    </row>
    <row r="960" spans="1:2" x14ac:dyDescent="0.25">
      <c r="A960" t="str">
        <v>Shimadzu</v>
      </c>
      <c r="B960" t="str">
        <v>SSFLAT_MCSN01_20260319_</v>
      </c>
    </row>
    <row r="961" spans="1:2" x14ac:dyDescent="0.25">
      <c r="A961" t="str">
        <v>Shimadzu</v>
      </c>
      <c r="B961" t="str">
        <v>SSFLAT_MCSN01_20260319_</v>
      </c>
    </row>
    <row r="962" spans="1:2" x14ac:dyDescent="0.25">
      <c r="A962" t="str">
        <v>Shimadzu</v>
      </c>
      <c r="B962" t="str">
        <v>SSFLAT_MCSN01_20260319_</v>
      </c>
    </row>
    <row r="963" spans="1:2" x14ac:dyDescent="0.25">
      <c r="A963" t="str">
        <v>Shimadzu</v>
      </c>
      <c r="B963" t="str">
        <v>SSFLAT_MCSN01_20260319_</v>
      </c>
    </row>
    <row r="964" spans="1:2" x14ac:dyDescent="0.25">
      <c r="A964" t="str">
        <v>Shimadzu</v>
      </c>
      <c r="B964" t="str">
        <v>SSFLAT_MCSN01_20260319_</v>
      </c>
    </row>
    <row r="965" spans="1:2" x14ac:dyDescent="0.25">
      <c r="A965" t="str">
        <v>Shimadzu</v>
      </c>
      <c r="B965" t="str">
        <v>SSFLAT_MCSN01_20260319_</v>
      </c>
    </row>
    <row r="966" spans="1:2" x14ac:dyDescent="0.25">
      <c r="A966" t="str">
        <v>Shimadzu</v>
      </c>
      <c r="B966" t="str">
        <v>SSFLAT_MCSN01_20260319_</v>
      </c>
    </row>
    <row r="967" spans="1:2" x14ac:dyDescent="0.25">
      <c r="A967" t="str">
        <v>Shimadzu</v>
      </c>
      <c r="B967" t="str">
        <v>SSFLAT_MCSN01_20260319_</v>
      </c>
    </row>
    <row r="968" spans="1:2" x14ac:dyDescent="0.25">
      <c r="A968" t="str">
        <v>Shimadzu</v>
      </c>
      <c r="B968" t="str">
        <v>SSFLAT_MCSN01_20260319_</v>
      </c>
    </row>
    <row r="969" spans="1:2" x14ac:dyDescent="0.25">
      <c r="A969" t="str">
        <v>Shimadzu</v>
      </c>
      <c r="B969" t="str">
        <v>SSFLAT_MCSN01_20260319_</v>
      </c>
    </row>
    <row r="970" spans="1:2" x14ac:dyDescent="0.25">
      <c r="A970" t="str">
        <v>Shimadzu</v>
      </c>
      <c r="B970" t="str">
        <v>SSFLAT_MCSN01_20260319_</v>
      </c>
    </row>
    <row r="971" spans="1:2" x14ac:dyDescent="0.25">
      <c r="A971" t="str">
        <v>Shimadzu</v>
      </c>
      <c r="B971" t="str">
        <v>SSFLAT_MCSN01_20260319_</v>
      </c>
    </row>
    <row r="972" spans="1:2" x14ac:dyDescent="0.25">
      <c r="A972" t="str">
        <v>Shimadzu</v>
      </c>
      <c r="B972" t="str">
        <v>SSFLAT_MCSN01_20260319_</v>
      </c>
    </row>
    <row r="973" spans="1:2" x14ac:dyDescent="0.25">
      <c r="A973" t="str">
        <v>Shimadzu</v>
      </c>
      <c r="B973" t="str">
        <v>SSFLAT_MCSN01_20260319_</v>
      </c>
    </row>
    <row r="974" spans="1:2" x14ac:dyDescent="0.25">
      <c r="A974" t="str">
        <v>Shimadzu</v>
      </c>
      <c r="B974" t="str">
        <v>SSFLAT_MCSN01_20260319_</v>
      </c>
    </row>
    <row r="975" spans="1:2" x14ac:dyDescent="0.25">
      <c r="A975" t="str">
        <v>Shimadzu</v>
      </c>
      <c r="B975" t="str">
        <v>SSFLAT_MCSN01_20260319_</v>
      </c>
    </row>
    <row r="976" spans="1:2" x14ac:dyDescent="0.25">
      <c r="A976" t="str">
        <v>Shimadzu</v>
      </c>
      <c r="B976" t="str">
        <v>SSFLAT_MCSN01_20260319_</v>
      </c>
    </row>
    <row r="977" spans="1:2" x14ac:dyDescent="0.25">
      <c r="A977" t="str">
        <v>Shimadzu</v>
      </c>
      <c r="B977" t="str">
        <v>SSFLAT_MCSN01_20260319_</v>
      </c>
    </row>
    <row r="978" spans="1:2" x14ac:dyDescent="0.25">
      <c r="A978" t="str">
        <v>Shimadzu</v>
      </c>
      <c r="B978" t="str">
        <v>SSFLAT_MCSN01_20260319_</v>
      </c>
    </row>
    <row r="979" spans="1:2" x14ac:dyDescent="0.25">
      <c r="A979" t="str">
        <v>Shimadzu</v>
      </c>
      <c r="B979" t="str">
        <v>SSFLAT_MCSN01_20260319_</v>
      </c>
    </row>
    <row r="980" spans="1:2" x14ac:dyDescent="0.25">
      <c r="A980" t="str">
        <v>Shimadzu</v>
      </c>
      <c r="B980" t="str">
        <v>SSFLAT_MCSN01_20260319_</v>
      </c>
    </row>
    <row r="981" spans="1:2" x14ac:dyDescent="0.25">
      <c r="A981" t="str">
        <v>Shimadzu</v>
      </c>
      <c r="B981" t="str">
        <v>SSFLAT_MCSN01_20260319_</v>
      </c>
    </row>
    <row r="982" spans="1:2" x14ac:dyDescent="0.25">
      <c r="A982" t="str">
        <v>Shimadzu</v>
      </c>
      <c r="B982" t="str">
        <v>SSFLAT_MCSN02_20260319_</v>
      </c>
    </row>
    <row r="983" spans="1:2" x14ac:dyDescent="0.25">
      <c r="A983" t="str">
        <v>Shimadzu</v>
      </c>
      <c r="B983" t="str">
        <v>SSFLAT_MCSN02_20260319_</v>
      </c>
    </row>
    <row r="984" spans="1:2" x14ac:dyDescent="0.25">
      <c r="A984" t="str">
        <v>Shimadzu</v>
      </c>
      <c r="B984" t="str">
        <v>SSFLAT_MCSN02_20260319_</v>
      </c>
    </row>
    <row r="985" spans="1:2" x14ac:dyDescent="0.25">
      <c r="A985" t="str">
        <v>Shimadzu</v>
      </c>
      <c r="B985" t="str">
        <v>SSFLAT_MCSN02_20260319_</v>
      </c>
    </row>
    <row r="986" spans="1:2" x14ac:dyDescent="0.25">
      <c r="A986" t="str">
        <v>Shimadzu</v>
      </c>
      <c r="B986" t="str">
        <v>SSFLAT_MCSN02_20260319_</v>
      </c>
    </row>
    <row r="987" spans="1:2" x14ac:dyDescent="0.25">
      <c r="A987" t="str">
        <v>Shimadzu</v>
      </c>
      <c r="B987" t="str">
        <v>SSFLAT_MCSN02_20260319_</v>
      </c>
    </row>
    <row r="988" spans="1:2" x14ac:dyDescent="0.25">
      <c r="A988" t="str">
        <v>Shimadzu</v>
      </c>
      <c r="B988" t="str">
        <v>SSFLAT_MCSN02_20260319_</v>
      </c>
    </row>
    <row r="989" spans="1:2" x14ac:dyDescent="0.25">
      <c r="A989" t="str">
        <v>Shimadzu</v>
      </c>
      <c r="B989" t="str">
        <v>SSFLAT_MCSN02_20260319_</v>
      </c>
    </row>
    <row r="990" spans="1:2" x14ac:dyDescent="0.25">
      <c r="A990" t="str">
        <v>Shimadzu</v>
      </c>
      <c r="B990" t="str">
        <v>SSFLAT_MCSN02_20260319_</v>
      </c>
    </row>
    <row r="991" spans="1:2" x14ac:dyDescent="0.25">
      <c r="A991" t="str">
        <v>Shimadzu</v>
      </c>
      <c r="B991" t="str">
        <v>SSFLAT_MCSN02_20260319_</v>
      </c>
    </row>
    <row r="992" spans="1:2" x14ac:dyDescent="0.25">
      <c r="A992" t="str">
        <v>Shimadzu</v>
      </c>
      <c r="B992" t="str">
        <v>SSFLAT_MCSN02_20260319_</v>
      </c>
    </row>
    <row r="993" spans="1:2" x14ac:dyDescent="0.25">
      <c r="A993" t="str">
        <v>Shimadzu</v>
      </c>
      <c r="B993" t="str">
        <v>SSFLAT_MCSN02_20260319_</v>
      </c>
    </row>
    <row r="994" spans="1:2" x14ac:dyDescent="0.25">
      <c r="A994" t="str">
        <v>Shimadzu</v>
      </c>
      <c r="B994" t="str">
        <v>SSFLAT_MCSN02_20260319_</v>
      </c>
    </row>
    <row r="995" spans="1:2" x14ac:dyDescent="0.25">
      <c r="A995" t="str">
        <v>Shimadzu</v>
      </c>
      <c r="B995" t="str">
        <v>SSFLAT_MCSN02_20260319_</v>
      </c>
    </row>
    <row r="996" spans="1:2" x14ac:dyDescent="0.25">
      <c r="A996" t="str">
        <v>Shimadzu</v>
      </c>
      <c r="B996" t="str">
        <v>SSFLAT_MCSN02_20260319_</v>
      </c>
    </row>
    <row r="997" spans="1:2" x14ac:dyDescent="0.25">
      <c r="A997" t="str">
        <v>Shimadzu</v>
      </c>
      <c r="B997" t="str">
        <v>SSFLAT_MCSN02_20260319_</v>
      </c>
    </row>
    <row r="998" spans="1:2" x14ac:dyDescent="0.25">
      <c r="A998" t="str">
        <v>Shimadzu</v>
      </c>
      <c r="B998" t="str">
        <v>SSFLAT_MCSN02_20260319_</v>
      </c>
    </row>
    <row r="999" spans="1:2" x14ac:dyDescent="0.25">
      <c r="A999" t="str">
        <v>Shimadzu</v>
      </c>
      <c r="B999" t="str">
        <v>SSFLAT_MCSN02_20260319_</v>
      </c>
    </row>
    <row r="1000" spans="1:2" x14ac:dyDescent="0.25">
      <c r="A1000" t="str">
        <v>Shimadzu</v>
      </c>
      <c r="B1000" t="str">
        <v>SSFLAT_MCSN02_20260319_</v>
      </c>
    </row>
    <row r="1001" spans="1:2" x14ac:dyDescent="0.25">
      <c r="A1001" t="str">
        <v>Shimadzu</v>
      </c>
      <c r="B1001" t="str">
        <v>SSFLAT_MCSN02_20260319_</v>
      </c>
    </row>
    <row r="1002" spans="1:2" x14ac:dyDescent="0.25">
      <c r="A1002" t="str">
        <v>Shimadzu</v>
      </c>
      <c r="B1002" t="str">
        <v>SSFLAT_MCSN02_20260319_</v>
      </c>
    </row>
    <row r="1003" spans="1:2" x14ac:dyDescent="0.25">
      <c r="A1003" t="str">
        <v>Shimadzu</v>
      </c>
      <c r="B1003" t="str">
        <v>SSFLAT_MCSN02_20260319_</v>
      </c>
    </row>
    <row r="1004" spans="1:2" x14ac:dyDescent="0.25">
      <c r="A1004" t="str">
        <v>Shimadzu</v>
      </c>
      <c r="B1004" t="str">
        <v>SSFLAT_MCSN02_20260319_</v>
      </c>
    </row>
    <row r="1005" spans="1:2" x14ac:dyDescent="0.25">
      <c r="A1005" t="str">
        <v>Shimadzu</v>
      </c>
      <c r="B1005" t="str">
        <v>SSFLAT_MCSN02_20260319_</v>
      </c>
    </row>
    <row r="1006" spans="1:2" x14ac:dyDescent="0.25">
      <c r="A1006" t="str">
        <v>Shimadzu</v>
      </c>
      <c r="B1006" t="str">
        <v>SSFLAT_MCSN03_20260319_</v>
      </c>
    </row>
    <row r="1007" spans="1:2" x14ac:dyDescent="0.25">
      <c r="A1007" t="str">
        <v>Shimadzu</v>
      </c>
      <c r="B1007" t="str">
        <v>SSFLAT_MCSN03_20260319_</v>
      </c>
    </row>
    <row r="1008" spans="1:2" x14ac:dyDescent="0.25">
      <c r="A1008" t="str">
        <v>Shimadzu</v>
      </c>
      <c r="B1008" t="str">
        <v>SSFLAT_MCSN03_20260319_</v>
      </c>
    </row>
    <row r="1009" spans="1:2" x14ac:dyDescent="0.25">
      <c r="A1009" t="str">
        <v>Shimadzu</v>
      </c>
      <c r="B1009" t="str">
        <v>SSFLAT_MCSN03_20260319_</v>
      </c>
    </row>
    <row r="1010" spans="1:2" x14ac:dyDescent="0.25">
      <c r="A1010" t="str">
        <v>Shimadzu</v>
      </c>
      <c r="B1010" t="str">
        <v>SSFLAT_MCSN03_20260319_</v>
      </c>
    </row>
    <row r="1011" spans="1:2" x14ac:dyDescent="0.25">
      <c r="A1011" t="str">
        <v>Shimadzu</v>
      </c>
      <c r="B1011" t="str">
        <v>SSFLAT_MCSN03_20260319_</v>
      </c>
    </row>
    <row r="1012" spans="1:2" x14ac:dyDescent="0.25">
      <c r="A1012" t="str">
        <v>Shimadzu</v>
      </c>
      <c r="B1012" t="str">
        <v>SSFLAT_MCSN03_20260319_</v>
      </c>
    </row>
    <row r="1013" spans="1:2" x14ac:dyDescent="0.25">
      <c r="A1013" t="str">
        <v>Shimadzu</v>
      </c>
      <c r="B1013" t="str">
        <v>SSFLAT_MCSN03_20260319_</v>
      </c>
    </row>
    <row r="1014" spans="1:2" x14ac:dyDescent="0.25">
      <c r="A1014" t="str">
        <v>Shimadzu</v>
      </c>
      <c r="B1014" t="str">
        <v>SSFLAT_MCSN03_20260319_</v>
      </c>
    </row>
    <row r="1015" spans="1:2" x14ac:dyDescent="0.25">
      <c r="A1015" t="str">
        <v>Shimadzu</v>
      </c>
      <c r="B1015" t="str">
        <v>SSFLAT_MCSN03_20260319_</v>
      </c>
    </row>
    <row r="1016" spans="1:2" x14ac:dyDescent="0.25">
      <c r="A1016" t="str">
        <v>Shimadzu</v>
      </c>
      <c r="B1016" t="str">
        <v>SSFLAT_MCSN03_20260319_</v>
      </c>
    </row>
    <row r="1017" spans="1:2" x14ac:dyDescent="0.25">
      <c r="A1017" t="str">
        <v>Shimadzu</v>
      </c>
      <c r="B1017" t="str">
        <v>SSFLAT_MCSN03_20260319_</v>
      </c>
    </row>
    <row r="1018" spans="1:2" x14ac:dyDescent="0.25">
      <c r="A1018" t="str">
        <v>Shimadzu</v>
      </c>
      <c r="B1018" t="str">
        <v>SSFLAT_MCSN03_20260319_</v>
      </c>
    </row>
    <row r="1019" spans="1:2" x14ac:dyDescent="0.25">
      <c r="A1019" t="str">
        <v>Shimadzu</v>
      </c>
      <c r="B1019" t="str">
        <v>SSFLAT_MCSN03_20260319_</v>
      </c>
    </row>
    <row r="1020" spans="1:2" x14ac:dyDescent="0.25">
      <c r="A1020" t="str">
        <v>Shimadzu</v>
      </c>
      <c r="B1020" t="str">
        <v>SSFLAT_MCSN03_20260319_</v>
      </c>
    </row>
    <row r="1021" spans="1:2" x14ac:dyDescent="0.25">
      <c r="A1021" t="str">
        <v>Shimadzu</v>
      </c>
      <c r="B1021" t="str">
        <v>SSFLAT_MCSN03_20260319_</v>
      </c>
    </row>
    <row r="1022" spans="1:2" x14ac:dyDescent="0.25">
      <c r="A1022" t="str">
        <v>Shimadzu</v>
      </c>
      <c r="B1022" t="str">
        <v>SSFLAT_MCSN03_20260319_</v>
      </c>
    </row>
    <row r="1023" spans="1:2" x14ac:dyDescent="0.25">
      <c r="A1023" t="str">
        <v>Shimadzu</v>
      </c>
      <c r="B1023" t="str">
        <v>SSFLAT_MCSN03_20260319_</v>
      </c>
    </row>
    <row r="1024" spans="1:2" x14ac:dyDescent="0.25">
      <c r="A1024" t="str">
        <v>Shimadzu</v>
      </c>
      <c r="B1024" t="str">
        <v>SSFLAT_MCSN03_20260319_</v>
      </c>
    </row>
    <row r="1025" spans="1:2" x14ac:dyDescent="0.25">
      <c r="A1025" t="str">
        <v>Shimadzu</v>
      </c>
      <c r="B1025" t="str">
        <v>SSFLAT_MCSN03_20260319_</v>
      </c>
    </row>
    <row r="1026" spans="1:2" x14ac:dyDescent="0.25">
      <c r="A1026" t="str">
        <v>Shimadzu</v>
      </c>
      <c r="B1026" t="str">
        <v>SSFLAT_MCSN03_20260319_</v>
      </c>
    </row>
    <row r="1027" spans="1:2" x14ac:dyDescent="0.25">
      <c r="A1027" t="str">
        <v>Shimadzu</v>
      </c>
      <c r="B1027" t="str">
        <v>SSFLAT_MCSN03_20260319_</v>
      </c>
    </row>
    <row r="1028" spans="1:2" x14ac:dyDescent="0.25">
      <c r="A1028" t="str">
        <v>Shimadzu</v>
      </c>
      <c r="B1028" t="str">
        <v>SSFLAT_MCSN03_20260319_</v>
      </c>
    </row>
    <row r="1029" spans="1:2" x14ac:dyDescent="0.25">
      <c r="A1029" t="str">
        <v>Shimadzu</v>
      </c>
      <c r="B1029" t="str">
        <v>SSFLAT_MCSN03_20260319_</v>
      </c>
    </row>
    <row r="1030" spans="1:2" x14ac:dyDescent="0.25">
      <c r="A1030" t="str">
        <v>Shimadzu</v>
      </c>
      <c r="B1030" t="str">
        <v>SSFLAT_MCSN04_20260319_</v>
      </c>
    </row>
    <row r="1031" spans="1:2" x14ac:dyDescent="0.25">
      <c r="A1031" t="str">
        <v>Shimadzu</v>
      </c>
      <c r="B1031" t="str">
        <v>SSFLAT_MCSN04_20260319_</v>
      </c>
    </row>
    <row r="1032" spans="1:2" x14ac:dyDescent="0.25">
      <c r="A1032" t="str">
        <v>Shimadzu</v>
      </c>
      <c r="B1032" t="str">
        <v>SSFLAT_MCSN04_20260319_</v>
      </c>
    </row>
    <row r="1033" spans="1:2" x14ac:dyDescent="0.25">
      <c r="A1033" t="str">
        <v>Shimadzu</v>
      </c>
      <c r="B1033" t="str">
        <v>SSFLAT_MCSN04_20260319_</v>
      </c>
    </row>
    <row r="1034" spans="1:2" x14ac:dyDescent="0.25">
      <c r="A1034" t="str">
        <v>Shimadzu</v>
      </c>
      <c r="B1034" t="str">
        <v>SSFLAT_MCSN04_20260319_</v>
      </c>
    </row>
    <row r="1035" spans="1:2" x14ac:dyDescent="0.25">
      <c r="A1035" t="str">
        <v>Shimadzu</v>
      </c>
      <c r="B1035" t="str">
        <v>SSFLAT_MCSN04_20260319_</v>
      </c>
    </row>
    <row r="1036" spans="1:2" x14ac:dyDescent="0.25">
      <c r="A1036" t="str">
        <v>Shimadzu</v>
      </c>
      <c r="B1036" t="str">
        <v>SSFLAT_MCSN04_20260319_</v>
      </c>
    </row>
    <row r="1037" spans="1:2" x14ac:dyDescent="0.25">
      <c r="A1037" t="str">
        <v>Shimadzu</v>
      </c>
      <c r="B1037" t="str">
        <v>SSFLAT_MCSN04_20260319_</v>
      </c>
    </row>
    <row r="1038" spans="1:2" x14ac:dyDescent="0.25">
      <c r="A1038" t="str">
        <v>Shimadzu</v>
      </c>
      <c r="B1038" t="str">
        <v>SSFLAT_MCSN04_20260319_</v>
      </c>
    </row>
    <row r="1039" spans="1:2" x14ac:dyDescent="0.25">
      <c r="A1039" t="str">
        <v>Shimadzu</v>
      </c>
      <c r="B1039" t="str">
        <v>SSFLAT_MCSN04_20260319_</v>
      </c>
    </row>
    <row r="1040" spans="1:2" x14ac:dyDescent="0.25">
      <c r="A1040" t="str">
        <v>Shimadzu</v>
      </c>
      <c r="B1040" t="str">
        <v>SSFLAT_MCSN04_20260319_</v>
      </c>
    </row>
    <row r="1041" spans="1:2" x14ac:dyDescent="0.25">
      <c r="A1041" t="str">
        <v>Shimadzu</v>
      </c>
      <c r="B1041" t="str">
        <v>SSFLAT_MCSN04_20260319_</v>
      </c>
    </row>
    <row r="1042" spans="1:2" x14ac:dyDescent="0.25">
      <c r="A1042" t="str">
        <v>Shimadzu</v>
      </c>
      <c r="B1042" t="str">
        <v>SSFLAT_MCSN04_20260319_</v>
      </c>
    </row>
    <row r="1043" spans="1:2" x14ac:dyDescent="0.25">
      <c r="A1043" t="str">
        <v>Shimadzu</v>
      </c>
      <c r="B1043" t="str">
        <v>SSFLAT_MCSN04_20260319_</v>
      </c>
    </row>
    <row r="1044" spans="1:2" x14ac:dyDescent="0.25">
      <c r="A1044" t="str">
        <v>Shimadzu</v>
      </c>
      <c r="B1044" t="str">
        <v>SSFLAT_MCSN04_20260319_</v>
      </c>
    </row>
    <row r="1045" spans="1:2" x14ac:dyDescent="0.25">
      <c r="A1045" t="str">
        <v>Shimadzu</v>
      </c>
      <c r="B1045" t="str">
        <v>SSFLAT_MCSN04_20260319_</v>
      </c>
    </row>
    <row r="1046" spans="1:2" x14ac:dyDescent="0.25">
      <c r="A1046" t="str">
        <v>Shimadzu</v>
      </c>
      <c r="B1046" t="str">
        <v>SSFLAT_MCSN04_20260319_</v>
      </c>
    </row>
    <row r="1047" spans="1:2" x14ac:dyDescent="0.25">
      <c r="A1047" t="str">
        <v>Shimadzu</v>
      </c>
      <c r="B1047" t="str">
        <v>SSFLAT_MCSN04_20260319_</v>
      </c>
    </row>
    <row r="1048" spans="1:2" x14ac:dyDescent="0.25">
      <c r="A1048" t="str">
        <v>Shimadzu</v>
      </c>
      <c r="B1048" t="str">
        <v>SSFLAT_MCSN04_20260319_</v>
      </c>
    </row>
    <row r="1049" spans="1:2" x14ac:dyDescent="0.25">
      <c r="A1049" t="str">
        <v>Shimadzu</v>
      </c>
      <c r="B1049" t="str">
        <v>SSFLAT_MCSN04_20260319_</v>
      </c>
    </row>
    <row r="1050" spans="1:2" x14ac:dyDescent="0.25">
      <c r="A1050" t="str">
        <v>Shimadzu</v>
      </c>
      <c r="B1050" t="str">
        <v>SSFLAT_MCSN04_20260319_</v>
      </c>
    </row>
    <row r="1051" spans="1:2" x14ac:dyDescent="0.25">
      <c r="A1051" t="str">
        <v>Shimadzu</v>
      </c>
      <c r="B1051" t="str">
        <v>SSFLAT_MCSN04_20260319_</v>
      </c>
    </row>
    <row r="1052" spans="1:2" x14ac:dyDescent="0.25">
      <c r="A1052" t="str">
        <v>Shimadzu</v>
      </c>
      <c r="B1052" t="str">
        <v>SSFLAT_MCSN04_20260319_</v>
      </c>
    </row>
    <row r="1053" spans="1:2" x14ac:dyDescent="0.25">
      <c r="A1053" t="str">
        <v>Shimadzu</v>
      </c>
      <c r="B1053" t="str">
        <v>SSFLAT_MCSN04_20260319_</v>
      </c>
    </row>
    <row r="1054" spans="1:2" x14ac:dyDescent="0.25">
      <c r="A1054" t="str">
        <v>Shimadzu</v>
      </c>
      <c r="B1054" t="str">
        <v>SSFLAT_MCSN05_20260319_</v>
      </c>
    </row>
    <row r="1055" spans="1:2" x14ac:dyDescent="0.25">
      <c r="A1055" t="str">
        <v>Shimadzu</v>
      </c>
      <c r="B1055" t="str">
        <v>SSFLAT_MCSN05_20260319_</v>
      </c>
    </row>
    <row r="1056" spans="1:2" x14ac:dyDescent="0.25">
      <c r="A1056" t="str">
        <v>Shimadzu</v>
      </c>
      <c r="B1056" t="str">
        <v>SSFLAT_MCSN05_20260319_</v>
      </c>
    </row>
    <row r="1057" spans="1:2" x14ac:dyDescent="0.25">
      <c r="A1057" t="str">
        <v>Shimadzu</v>
      </c>
      <c r="B1057" t="str">
        <v>SSFLAT_MCSN05_20260319_</v>
      </c>
    </row>
    <row r="1058" spans="1:2" x14ac:dyDescent="0.25">
      <c r="A1058" t="str">
        <v>Shimadzu</v>
      </c>
      <c r="B1058" t="str">
        <v>SSFLAT_MCSN05_20260319_</v>
      </c>
    </row>
    <row r="1059" spans="1:2" x14ac:dyDescent="0.25">
      <c r="A1059" t="str">
        <v>Shimadzu</v>
      </c>
      <c r="B1059" t="str">
        <v>SSFLAT_MCSN05_20260319_</v>
      </c>
    </row>
    <row r="1060" spans="1:2" x14ac:dyDescent="0.25">
      <c r="A1060" t="str">
        <v>Shimadzu</v>
      </c>
      <c r="B1060" t="str">
        <v>SSFLAT_MCSN05_20260319_</v>
      </c>
    </row>
    <row r="1061" spans="1:2" x14ac:dyDescent="0.25">
      <c r="A1061" t="str">
        <v>Shimadzu</v>
      </c>
      <c r="B1061" t="str">
        <v>SSFLAT_MCSN05_20260319_</v>
      </c>
    </row>
    <row r="1062" spans="1:2" x14ac:dyDescent="0.25">
      <c r="A1062" t="str">
        <v>Shimadzu</v>
      </c>
      <c r="B1062" t="str">
        <v>SSFLAT_MCSN05_20260319_</v>
      </c>
    </row>
    <row r="1063" spans="1:2" x14ac:dyDescent="0.25">
      <c r="A1063" t="str">
        <v>Shimadzu</v>
      </c>
      <c r="B1063" t="str">
        <v>SSFLAT_MCSN05_20260319_</v>
      </c>
    </row>
    <row r="1064" spans="1:2" x14ac:dyDescent="0.25">
      <c r="A1064" t="str">
        <v>Shimadzu</v>
      </c>
      <c r="B1064" t="str">
        <v>SSFLAT_MCSN05_20260319_</v>
      </c>
    </row>
    <row r="1065" spans="1:2" x14ac:dyDescent="0.25">
      <c r="A1065" t="str">
        <v>Shimadzu</v>
      </c>
      <c r="B1065" t="str">
        <v>SSFLAT_MCSN05_20260319_</v>
      </c>
    </row>
    <row r="1066" spans="1:2" x14ac:dyDescent="0.25">
      <c r="A1066" t="str">
        <v>Shimadzu</v>
      </c>
      <c r="B1066" t="str">
        <v>SSFLAT_MCSN05_20260319_</v>
      </c>
    </row>
    <row r="1067" spans="1:2" x14ac:dyDescent="0.25">
      <c r="A1067" t="str">
        <v>Shimadzu</v>
      </c>
      <c r="B1067" t="str">
        <v>SSFLAT_MCSN05_20260319_</v>
      </c>
    </row>
    <row r="1068" spans="1:2" x14ac:dyDescent="0.25">
      <c r="A1068" t="str">
        <v>Shimadzu</v>
      </c>
      <c r="B1068" t="str">
        <v>SSFLAT_MCSN05_20260319_</v>
      </c>
    </row>
    <row r="1069" spans="1:2" x14ac:dyDescent="0.25">
      <c r="A1069" t="str">
        <v>Shimadzu</v>
      </c>
      <c r="B1069" t="str">
        <v>SSFLAT_MCSN05_20260319_</v>
      </c>
    </row>
    <row r="1070" spans="1:2" x14ac:dyDescent="0.25">
      <c r="A1070" t="str">
        <v>Shimadzu</v>
      </c>
      <c r="B1070" t="str">
        <v>SSFLAT_MCSN05_20260319_</v>
      </c>
    </row>
    <row r="1071" spans="1:2" x14ac:dyDescent="0.25">
      <c r="A1071" t="str">
        <v>Shimadzu</v>
      </c>
      <c r="B1071" t="str">
        <v>SSFLAT_MCSN05_20260319_</v>
      </c>
    </row>
    <row r="1072" spans="1:2" x14ac:dyDescent="0.25">
      <c r="A1072" t="str">
        <v>Shimadzu</v>
      </c>
      <c r="B1072" t="str">
        <v>SSFLAT_MCSN05_20260319_</v>
      </c>
    </row>
    <row r="1073" spans="1:2" x14ac:dyDescent="0.25">
      <c r="A1073" t="str">
        <v>Shimadzu</v>
      </c>
      <c r="B1073" t="str">
        <v>SSFLAT_MCSN05_20260319_</v>
      </c>
    </row>
    <row r="1074" spans="1:2" x14ac:dyDescent="0.25">
      <c r="A1074" t="str">
        <v>Shimadzu</v>
      </c>
      <c r="B1074" t="str">
        <v>SSFLAT_MCSN05_20260319_</v>
      </c>
    </row>
    <row r="1075" spans="1:2" x14ac:dyDescent="0.25">
      <c r="A1075" t="str">
        <v>Shimadzu</v>
      </c>
      <c r="B1075" t="str">
        <v>SSFLAT_MCSN05_20260319_</v>
      </c>
    </row>
    <row r="1076" spans="1:2" x14ac:dyDescent="0.25">
      <c r="A1076" t="str">
        <v>Shimadzu</v>
      </c>
      <c r="B1076" t="str">
        <v>SSFLAT_MCSN05_20260319_</v>
      </c>
    </row>
    <row r="1077" spans="1:2" x14ac:dyDescent="0.25">
      <c r="A1077" t="str">
        <v>Shimadzu</v>
      </c>
      <c r="B1077" t="str">
        <v>SSFLAT_MCSN05_20260319_</v>
      </c>
    </row>
    <row r="1078" spans="1:2" x14ac:dyDescent="0.25">
      <c r="A1078" t="str">
        <v>Shimadzu</v>
      </c>
      <c r="B1078" t="str">
        <v>SSFLAT_MCSN06_20260319_</v>
      </c>
    </row>
    <row r="1079" spans="1:2" x14ac:dyDescent="0.25">
      <c r="A1079" t="str">
        <v>Shimadzu</v>
      </c>
      <c r="B1079" t="str">
        <v>SSFLAT_MCSN06_20260319_</v>
      </c>
    </row>
    <row r="1080" spans="1:2" x14ac:dyDescent="0.25">
      <c r="A1080" t="str">
        <v>Shimadzu</v>
      </c>
      <c r="B1080" t="str">
        <v>SSFLAT_MCSN06_20260319_</v>
      </c>
    </row>
    <row r="1081" spans="1:2" x14ac:dyDescent="0.25">
      <c r="A1081" t="str">
        <v>Shimadzu</v>
      </c>
      <c r="B1081" t="str">
        <v>SSFLAT_MCSN06_20260319_</v>
      </c>
    </row>
    <row r="1082" spans="1:2" x14ac:dyDescent="0.25">
      <c r="A1082" t="str">
        <v>Shimadzu</v>
      </c>
      <c r="B1082" t="str">
        <v>SSFLAT_MCSN06_20260319_</v>
      </c>
    </row>
    <row r="1083" spans="1:2" x14ac:dyDescent="0.25">
      <c r="A1083" t="str">
        <v>Shimadzu</v>
      </c>
      <c r="B1083" t="str">
        <v>SSFLAT_MCSN06_20260319_</v>
      </c>
    </row>
    <row r="1084" spans="1:2" x14ac:dyDescent="0.25">
      <c r="A1084" t="str">
        <v>Shimadzu</v>
      </c>
      <c r="B1084" t="str">
        <v>SSFLAT_MCSN06_20260319_</v>
      </c>
    </row>
    <row r="1085" spans="1:2" x14ac:dyDescent="0.25">
      <c r="A1085" t="str">
        <v>Shimadzu</v>
      </c>
      <c r="B1085" t="str">
        <v>SSFLAT_MCSN06_20260319_</v>
      </c>
    </row>
    <row r="1086" spans="1:2" x14ac:dyDescent="0.25">
      <c r="A1086" t="str">
        <v>Shimadzu</v>
      </c>
      <c r="B1086" t="str">
        <v>SSFLAT_MCSN06_20260319_</v>
      </c>
    </row>
    <row r="1087" spans="1:2" x14ac:dyDescent="0.25">
      <c r="A1087" t="str">
        <v>Shimadzu</v>
      </c>
      <c r="B1087" t="str">
        <v>SSFLAT_MCSN06_20260319_</v>
      </c>
    </row>
    <row r="1088" spans="1:2" x14ac:dyDescent="0.25">
      <c r="A1088" t="str">
        <v>Shimadzu</v>
      </c>
      <c r="B1088" t="str">
        <v>SSFLAT_MCSN06_20260319_</v>
      </c>
    </row>
    <row r="1089" spans="1:2" x14ac:dyDescent="0.25">
      <c r="A1089" t="str">
        <v>Shimadzu</v>
      </c>
      <c r="B1089" t="str">
        <v>SSFLAT_MCSN06_20260319_</v>
      </c>
    </row>
    <row r="1090" spans="1:2" x14ac:dyDescent="0.25">
      <c r="A1090" t="str">
        <v>Shimadzu</v>
      </c>
      <c r="B1090" t="str">
        <v>SSFLAT_MCSN06_20260319_</v>
      </c>
    </row>
    <row r="1091" spans="1:2" x14ac:dyDescent="0.25">
      <c r="A1091" t="str">
        <v>Shimadzu</v>
      </c>
      <c r="B1091" t="str">
        <v>SSFLAT_MCSN06_20260319_</v>
      </c>
    </row>
    <row r="1092" spans="1:2" x14ac:dyDescent="0.25">
      <c r="A1092" t="str">
        <v>Shimadzu</v>
      </c>
      <c r="B1092" t="str">
        <v>SSFLAT_MCSN06_20260319_</v>
      </c>
    </row>
    <row r="1093" spans="1:2" x14ac:dyDescent="0.25">
      <c r="A1093" t="str">
        <v>Shimadzu</v>
      </c>
      <c r="B1093" t="str">
        <v>SSFLAT_MCSN06_20260319_</v>
      </c>
    </row>
    <row r="1094" spans="1:2" x14ac:dyDescent="0.25">
      <c r="A1094" t="str">
        <v>Shimadzu</v>
      </c>
      <c r="B1094" t="str">
        <v>SSFLAT_MCSN06_20260319_</v>
      </c>
    </row>
    <row r="1095" spans="1:2" x14ac:dyDescent="0.25">
      <c r="A1095" t="str">
        <v>Shimadzu</v>
      </c>
      <c r="B1095" t="str">
        <v>SSFLAT_MCSN06_20260319_</v>
      </c>
    </row>
    <row r="1096" spans="1:2" x14ac:dyDescent="0.25">
      <c r="A1096" t="str">
        <v>Shimadzu</v>
      </c>
      <c r="B1096" t="str">
        <v>SSFLAT_MCSN06_20260319_</v>
      </c>
    </row>
    <row r="1097" spans="1:2" x14ac:dyDescent="0.25">
      <c r="A1097" t="str">
        <v>Shimadzu</v>
      </c>
      <c r="B1097" t="str">
        <v>SSFLAT_MCSN06_20260319_</v>
      </c>
    </row>
    <row r="1098" spans="1:2" x14ac:dyDescent="0.25">
      <c r="A1098" t="str">
        <v>Shimadzu</v>
      </c>
      <c r="B1098" t="str">
        <v>SSFLAT_MCSN06_20260319_</v>
      </c>
    </row>
    <row r="1099" spans="1:2" x14ac:dyDescent="0.25">
      <c r="A1099" t="str">
        <v>Shimadzu</v>
      </c>
      <c r="B1099" t="str">
        <v>SSFLAT_MCSN06_20260319_</v>
      </c>
    </row>
    <row r="1100" spans="1:2" x14ac:dyDescent="0.25">
      <c r="A1100" t="str">
        <v>Shimadzu</v>
      </c>
      <c r="B1100" t="str">
        <v>SSFLAT_MCSN06_20260319_</v>
      </c>
    </row>
    <row r="1101" spans="1:2" x14ac:dyDescent="0.25">
      <c r="A1101" t="str">
        <v>Shimadzu</v>
      </c>
      <c r="B1101" t="str">
        <v>SSFLAT_MCSN06_20260319_</v>
      </c>
    </row>
    <row r="1102" spans="1:2" x14ac:dyDescent="0.25">
      <c r="A1102" t="str">
        <v>Shimadzu</v>
      </c>
      <c r="B1102" t="str">
        <v>SSFLAT_MCSN07_20260319_</v>
      </c>
    </row>
    <row r="1103" spans="1:2" x14ac:dyDescent="0.25">
      <c r="A1103" t="str">
        <v>Shimadzu</v>
      </c>
      <c r="B1103" t="str">
        <v>SSFLAT_MCSN07_20260319_</v>
      </c>
    </row>
    <row r="1104" spans="1:2" x14ac:dyDescent="0.25">
      <c r="A1104" t="str">
        <v>Shimadzu</v>
      </c>
      <c r="B1104" t="str">
        <v>SSFLAT_MCSN07_20260319_</v>
      </c>
    </row>
    <row r="1105" spans="1:2" x14ac:dyDescent="0.25">
      <c r="A1105" t="str">
        <v>Shimadzu</v>
      </c>
      <c r="B1105" t="str">
        <v>SSFLAT_MCSN07_20260319_</v>
      </c>
    </row>
    <row r="1106" spans="1:2" x14ac:dyDescent="0.25">
      <c r="A1106" t="str">
        <v>Shimadzu</v>
      </c>
      <c r="B1106" t="str">
        <v>SSFLAT_MCSN07_20260319_</v>
      </c>
    </row>
    <row r="1107" spans="1:2" x14ac:dyDescent="0.25">
      <c r="A1107" t="str">
        <v>Shimadzu</v>
      </c>
      <c r="B1107" t="str">
        <v>SSFLAT_MCSN07_20260319_</v>
      </c>
    </row>
    <row r="1108" spans="1:2" x14ac:dyDescent="0.25">
      <c r="A1108" t="str">
        <v>Shimadzu</v>
      </c>
      <c r="B1108" t="str">
        <v>SSFLAT_MCSN07_20260319_</v>
      </c>
    </row>
    <row r="1109" spans="1:2" x14ac:dyDescent="0.25">
      <c r="A1109" t="str">
        <v>Shimadzu</v>
      </c>
      <c r="B1109" t="str">
        <v>SSFLAT_MCSN07_20260319_</v>
      </c>
    </row>
    <row r="1110" spans="1:2" x14ac:dyDescent="0.25">
      <c r="A1110" t="str">
        <v>Shimadzu</v>
      </c>
      <c r="B1110" t="str">
        <v>SSFLAT_MCSN07_20260319_</v>
      </c>
    </row>
    <row r="1111" spans="1:2" x14ac:dyDescent="0.25">
      <c r="A1111" t="str">
        <v>Shimadzu</v>
      </c>
      <c r="B1111" t="str">
        <v>SSFLAT_MCSN07_20260319_</v>
      </c>
    </row>
    <row r="1112" spans="1:2" x14ac:dyDescent="0.25">
      <c r="A1112" t="str">
        <v>Shimadzu</v>
      </c>
      <c r="B1112" t="str">
        <v>SSFLAT_MCSN07_20260319_</v>
      </c>
    </row>
    <row r="1113" spans="1:2" x14ac:dyDescent="0.25">
      <c r="A1113" t="str">
        <v>Shimadzu</v>
      </c>
      <c r="B1113" t="str">
        <v>SSFLAT_MCSN07_20260319_</v>
      </c>
    </row>
    <row r="1114" spans="1:2" x14ac:dyDescent="0.25">
      <c r="A1114" t="str">
        <v>Shimadzu</v>
      </c>
      <c r="B1114" t="str">
        <v>SSFLAT_MCSN07_20260319_</v>
      </c>
    </row>
    <row r="1115" spans="1:2" x14ac:dyDescent="0.25">
      <c r="A1115" t="str">
        <v>Shimadzu</v>
      </c>
      <c r="B1115" t="str">
        <v>SSFLAT_MCSN07_20260319_</v>
      </c>
    </row>
    <row r="1116" spans="1:2" x14ac:dyDescent="0.25">
      <c r="A1116" t="str">
        <v>Shimadzu</v>
      </c>
      <c r="B1116" t="str">
        <v>SSFLAT_MCSN07_20260319_</v>
      </c>
    </row>
    <row r="1117" spans="1:2" x14ac:dyDescent="0.25">
      <c r="A1117" t="str">
        <v>Shimadzu</v>
      </c>
      <c r="B1117" t="str">
        <v>SSFLAT_MCSN07_20260319_</v>
      </c>
    </row>
    <row r="1118" spans="1:2" x14ac:dyDescent="0.25">
      <c r="A1118" t="str">
        <v>Shimadzu</v>
      </c>
      <c r="B1118" t="str">
        <v>SSFLAT_MCSN07_20260319_</v>
      </c>
    </row>
    <row r="1119" spans="1:2" x14ac:dyDescent="0.25">
      <c r="A1119" t="str">
        <v>Shimadzu</v>
      </c>
      <c r="B1119" t="str">
        <v>SSFLAT_MCSN07_20260319_</v>
      </c>
    </row>
    <row r="1120" spans="1:2" x14ac:dyDescent="0.25">
      <c r="A1120" t="str">
        <v>Shimadzu</v>
      </c>
      <c r="B1120" t="str">
        <v>SSFLAT_MCSN07_20260319_</v>
      </c>
    </row>
    <row r="1121" spans="1:2" x14ac:dyDescent="0.25">
      <c r="A1121" t="str">
        <v>Shimadzu</v>
      </c>
      <c r="B1121" t="str">
        <v>SSFLAT_MCSN07_20260319_</v>
      </c>
    </row>
    <row r="1122" spans="1:2" x14ac:dyDescent="0.25">
      <c r="A1122" t="str">
        <v>Shimadzu</v>
      </c>
      <c r="B1122" t="str">
        <v>SSFLAT_MCSN07_20260319_</v>
      </c>
    </row>
    <row r="1123" spans="1:2" x14ac:dyDescent="0.25">
      <c r="A1123" t="str">
        <v>Shimadzu</v>
      </c>
      <c r="B1123" t="str">
        <v>SSFLAT_MCSN07_20260319_</v>
      </c>
    </row>
    <row r="1124" spans="1:2" x14ac:dyDescent="0.25">
      <c r="A1124" t="str">
        <v>Shimadzu</v>
      </c>
      <c r="B1124" t="str">
        <v>SSFLAT_MCSN07_20260319_</v>
      </c>
    </row>
    <row r="1125" spans="1:2" x14ac:dyDescent="0.25">
      <c r="A1125" t="str">
        <v>Shimadzu</v>
      </c>
      <c r="B1125" t="str">
        <v>SSFLAT_MCSN07_20260319_</v>
      </c>
    </row>
    <row r="1126" spans="1:2" x14ac:dyDescent="0.25">
      <c r="A1126" t="str">
        <v>Shimadzu</v>
      </c>
      <c r="B1126" t="str">
        <v>SSFLAT_MCSN08_20260319_</v>
      </c>
    </row>
    <row r="1127" spans="1:2" x14ac:dyDescent="0.25">
      <c r="A1127" t="str">
        <v>Shimadzu</v>
      </c>
      <c r="B1127" t="str">
        <v>SSFLAT_MCSN08_20260319_</v>
      </c>
    </row>
    <row r="1128" spans="1:2" x14ac:dyDescent="0.25">
      <c r="A1128" t="str">
        <v>Shimadzu</v>
      </c>
      <c r="B1128" t="str">
        <v>SSFLAT_MCSN08_20260319_</v>
      </c>
    </row>
    <row r="1129" spans="1:2" x14ac:dyDescent="0.25">
      <c r="A1129" t="str">
        <v>Shimadzu</v>
      </c>
      <c r="B1129" t="str">
        <v>SSFLAT_MCSN08_20260319_</v>
      </c>
    </row>
    <row r="1130" spans="1:2" x14ac:dyDescent="0.25">
      <c r="A1130" t="str">
        <v>Shimadzu</v>
      </c>
      <c r="B1130" t="str">
        <v>SSFLAT_MCSN08_20260319_</v>
      </c>
    </row>
    <row r="1131" spans="1:2" x14ac:dyDescent="0.25">
      <c r="A1131" t="str">
        <v>Shimadzu</v>
      </c>
      <c r="B1131" t="str">
        <v>SSFLAT_MCSN08_20260319_</v>
      </c>
    </row>
    <row r="1132" spans="1:2" x14ac:dyDescent="0.25">
      <c r="A1132" t="str">
        <v>Shimadzu</v>
      </c>
      <c r="B1132" t="str">
        <v>SSFLAT_MCSN08_20260319_</v>
      </c>
    </row>
    <row r="1133" spans="1:2" x14ac:dyDescent="0.25">
      <c r="A1133" t="str">
        <v>Shimadzu</v>
      </c>
      <c r="B1133" t="str">
        <v>SSFLAT_MCSN08_20260319_</v>
      </c>
    </row>
    <row r="1134" spans="1:2" x14ac:dyDescent="0.25">
      <c r="A1134" t="str">
        <v>Shimadzu</v>
      </c>
      <c r="B1134" t="str">
        <v>SSFLAT_MCSN08_20260319_</v>
      </c>
    </row>
    <row r="1135" spans="1:2" x14ac:dyDescent="0.25">
      <c r="A1135" t="str">
        <v>Shimadzu</v>
      </c>
      <c r="B1135" t="str">
        <v>SSFLAT_MCSN08_20260319_</v>
      </c>
    </row>
    <row r="1136" spans="1:2" x14ac:dyDescent="0.25">
      <c r="A1136" t="str">
        <v>Shimadzu</v>
      </c>
      <c r="B1136" t="str">
        <v>SSFLAT_MCSN08_20260319_</v>
      </c>
    </row>
    <row r="1137" spans="1:2" x14ac:dyDescent="0.25">
      <c r="A1137" t="str">
        <v>Shimadzu</v>
      </c>
      <c r="B1137" t="str">
        <v>SSFLAT_MCSN08_20260319_</v>
      </c>
    </row>
    <row r="1138" spans="1:2" x14ac:dyDescent="0.25">
      <c r="A1138" t="str">
        <v>Shimadzu</v>
      </c>
      <c r="B1138" t="str">
        <v>SSFLAT_MCSN08_20260319_</v>
      </c>
    </row>
    <row r="1139" spans="1:2" x14ac:dyDescent="0.25">
      <c r="A1139" t="str">
        <v>Shimadzu</v>
      </c>
      <c r="B1139" t="str">
        <v>SSFLAT_MCSN08_20260319_</v>
      </c>
    </row>
    <row r="1140" spans="1:2" x14ac:dyDescent="0.25">
      <c r="A1140" t="str">
        <v>Shimadzu</v>
      </c>
      <c r="B1140" t="str">
        <v>SSFLAT_MCSN08_20260319_</v>
      </c>
    </row>
    <row r="1141" spans="1:2" x14ac:dyDescent="0.25">
      <c r="A1141" t="str">
        <v>Shimadzu</v>
      </c>
      <c r="B1141" t="str">
        <v>SSFLAT_MCSN08_20260319_</v>
      </c>
    </row>
    <row r="1142" spans="1:2" x14ac:dyDescent="0.25">
      <c r="A1142" t="str">
        <v>Shimadzu</v>
      </c>
      <c r="B1142" t="str">
        <v>SSFLAT_MCSN08_20260319_</v>
      </c>
    </row>
    <row r="1143" spans="1:2" x14ac:dyDescent="0.25">
      <c r="A1143" t="str">
        <v>Shimadzu</v>
      </c>
      <c r="B1143" t="str">
        <v>SSFLAT_MCSN08_20260319_</v>
      </c>
    </row>
    <row r="1144" spans="1:2" x14ac:dyDescent="0.25">
      <c r="A1144" t="str">
        <v>Shimadzu</v>
      </c>
      <c r="B1144" t="str">
        <v>SSFLAT_MCSN08_20260319_</v>
      </c>
    </row>
    <row r="1145" spans="1:2" x14ac:dyDescent="0.25">
      <c r="A1145" t="str">
        <v>Shimadzu</v>
      </c>
      <c r="B1145" t="str">
        <v>SSFLAT_MCSN08_20260319_</v>
      </c>
    </row>
    <row r="1146" spans="1:2" x14ac:dyDescent="0.25">
      <c r="A1146" t="str">
        <v>Shimadzu</v>
      </c>
      <c r="B1146" t="str">
        <v>SSFLAT_MCSN08_20260319_</v>
      </c>
    </row>
    <row r="1147" spans="1:2" x14ac:dyDescent="0.25">
      <c r="A1147" t="str">
        <v>Shimadzu</v>
      </c>
      <c r="B1147" t="str">
        <v>SSFLAT_MCSN08_20260319_</v>
      </c>
    </row>
    <row r="1148" spans="1:2" x14ac:dyDescent="0.25">
      <c r="A1148" t="str">
        <v>Shimadzu</v>
      </c>
      <c r="B1148" t="str">
        <v>SSFLAT_MCSN08_20260319_</v>
      </c>
    </row>
    <row r="1149" spans="1:2" x14ac:dyDescent="0.25">
      <c r="A1149" t="str">
        <v>Shimadzu</v>
      </c>
      <c r="B1149" t="str">
        <v>SSFLAT_MCSN08_20260319_</v>
      </c>
    </row>
    <row r="1150" spans="1:2" x14ac:dyDescent="0.25">
      <c r="A1150" t="str">
        <v>Shimadzu</v>
      </c>
      <c r="B1150" t="str">
        <v>SSFLAT_MCSN09_20260319_</v>
      </c>
    </row>
    <row r="1151" spans="1:2" x14ac:dyDescent="0.25">
      <c r="A1151" t="str">
        <v>Shimadzu</v>
      </c>
      <c r="B1151" t="str">
        <v>SSFLAT_MCSN09_20260319_</v>
      </c>
    </row>
    <row r="1152" spans="1:2" x14ac:dyDescent="0.25">
      <c r="A1152" t="str">
        <v>Shimadzu</v>
      </c>
      <c r="B1152" t="str">
        <v>SSFLAT_MCSN09_20260319_</v>
      </c>
    </row>
    <row r="1153" spans="1:2" x14ac:dyDescent="0.25">
      <c r="A1153" t="str">
        <v>Shimadzu</v>
      </c>
      <c r="B1153" t="str">
        <v>SSFLAT_MCSN09_20260319_</v>
      </c>
    </row>
    <row r="1154" spans="1:2" x14ac:dyDescent="0.25">
      <c r="A1154" t="str">
        <v>Shimadzu</v>
      </c>
      <c r="B1154" t="str">
        <v>SSFLAT_MCSN09_20260319_</v>
      </c>
    </row>
    <row r="1155" spans="1:2" x14ac:dyDescent="0.25">
      <c r="A1155" t="str">
        <v>Shimadzu</v>
      </c>
      <c r="B1155" t="str">
        <v>SSFLAT_MCSN09_20260319_</v>
      </c>
    </row>
    <row r="1156" spans="1:2" x14ac:dyDescent="0.25">
      <c r="A1156" t="str">
        <v>Shimadzu</v>
      </c>
      <c r="B1156" t="str">
        <v>SSFLAT_MCSN09_20260319_</v>
      </c>
    </row>
    <row r="1157" spans="1:2" x14ac:dyDescent="0.25">
      <c r="A1157" t="str">
        <v>Shimadzu</v>
      </c>
      <c r="B1157" t="str">
        <v>SSFLAT_MCSN09_20260319_</v>
      </c>
    </row>
    <row r="1158" spans="1:2" x14ac:dyDescent="0.25">
      <c r="A1158" t="str">
        <v>Shimadzu</v>
      </c>
      <c r="B1158" t="str">
        <v>SSFLAT_MCSN09_20260319_</v>
      </c>
    </row>
    <row r="1159" spans="1:2" x14ac:dyDescent="0.25">
      <c r="A1159" t="str">
        <v>Shimadzu</v>
      </c>
      <c r="B1159" t="str">
        <v>SSFLAT_MCSN09_20260319_</v>
      </c>
    </row>
    <row r="1160" spans="1:2" x14ac:dyDescent="0.25">
      <c r="A1160" t="str">
        <v>Shimadzu</v>
      </c>
      <c r="B1160" t="str">
        <v>SSFLAT_MCSN09_20260319_</v>
      </c>
    </row>
    <row r="1161" spans="1:2" x14ac:dyDescent="0.25">
      <c r="A1161" t="str">
        <v>Shimadzu</v>
      </c>
      <c r="B1161" t="str">
        <v>SSFLAT_MCSN09_20260319_</v>
      </c>
    </row>
    <row r="1162" spans="1:2" x14ac:dyDescent="0.25">
      <c r="A1162" t="str">
        <v>Shimadzu</v>
      </c>
      <c r="B1162" t="str">
        <v>SSFLAT_MCSN09_20260319_</v>
      </c>
    </row>
    <row r="1163" spans="1:2" x14ac:dyDescent="0.25">
      <c r="A1163" t="str">
        <v>Shimadzu</v>
      </c>
      <c r="B1163" t="str">
        <v>SSFLAT_MCSN09_20260319_</v>
      </c>
    </row>
    <row r="1164" spans="1:2" x14ac:dyDescent="0.25">
      <c r="A1164" t="str">
        <v>Shimadzu</v>
      </c>
      <c r="B1164" t="str">
        <v>SSFLAT_MCSN09_20260319_</v>
      </c>
    </row>
    <row r="1165" spans="1:2" x14ac:dyDescent="0.25">
      <c r="A1165" t="str">
        <v>Shimadzu</v>
      </c>
      <c r="B1165" t="str">
        <v>SSFLAT_MCSN09_20260319_</v>
      </c>
    </row>
    <row r="1166" spans="1:2" x14ac:dyDescent="0.25">
      <c r="A1166" t="str">
        <v>Shimadzu</v>
      </c>
      <c r="B1166" t="str">
        <v>SSFLAT_MCSN09_20260319_</v>
      </c>
    </row>
    <row r="1167" spans="1:2" x14ac:dyDescent="0.25">
      <c r="A1167" t="str">
        <v>Shimadzu</v>
      </c>
      <c r="B1167" t="str">
        <v>SSFLAT_MCSN09_20260319_</v>
      </c>
    </row>
    <row r="1168" spans="1:2" x14ac:dyDescent="0.25">
      <c r="A1168" t="str">
        <v>Shimadzu</v>
      </c>
      <c r="B1168" t="str">
        <v>SSFLAT_MCSN09_20260319_</v>
      </c>
    </row>
    <row r="1169" spans="1:2" x14ac:dyDescent="0.25">
      <c r="A1169" t="str">
        <v>Shimadzu</v>
      </c>
      <c r="B1169" t="str">
        <v>SSFLAT_MCSN09_20260319_</v>
      </c>
    </row>
    <row r="1170" spans="1:2" x14ac:dyDescent="0.25">
      <c r="A1170" t="str">
        <v>Shimadzu</v>
      </c>
      <c r="B1170" t="str">
        <v>SSFLAT_MCSN09_20260319_</v>
      </c>
    </row>
    <row r="1171" spans="1:2" x14ac:dyDescent="0.25">
      <c r="A1171" t="str">
        <v>Shimadzu</v>
      </c>
      <c r="B1171" t="str">
        <v>SSFLAT_MCSN09_20260319_</v>
      </c>
    </row>
    <row r="1172" spans="1:2" x14ac:dyDescent="0.25">
      <c r="A1172" t="str">
        <v>Shimadzu</v>
      </c>
      <c r="B1172" t="str">
        <v>SSFLAT_MCSN09_20260319_</v>
      </c>
    </row>
    <row r="1173" spans="1:2" x14ac:dyDescent="0.25">
      <c r="A1173" t="str">
        <v>Shimadzu</v>
      </c>
      <c r="B1173" t="str">
        <v>SSFLAT_MCSN09_20260319_</v>
      </c>
    </row>
    <row r="1174" spans="1:2" x14ac:dyDescent="0.25">
      <c r="A1174" t="str">
        <v>Shimadzu</v>
      </c>
      <c r="B1174" t="str">
        <v>SSFLAT_MCSN10_20260319_</v>
      </c>
    </row>
    <row r="1175" spans="1:2" x14ac:dyDescent="0.25">
      <c r="A1175" t="str">
        <v>Shimadzu</v>
      </c>
      <c r="B1175" t="str">
        <v>SSFLAT_MCSN10_20260319_</v>
      </c>
    </row>
    <row r="1176" spans="1:2" x14ac:dyDescent="0.25">
      <c r="A1176" t="str">
        <v>Shimadzu</v>
      </c>
      <c r="B1176" t="str">
        <v>SSFLAT_MCSN10_20260319_</v>
      </c>
    </row>
    <row r="1177" spans="1:2" x14ac:dyDescent="0.25">
      <c r="A1177" t="str">
        <v>Shimadzu</v>
      </c>
      <c r="B1177" t="str">
        <v>SSFLAT_MCSN10_20260319_</v>
      </c>
    </row>
    <row r="1178" spans="1:2" x14ac:dyDescent="0.25">
      <c r="A1178" t="str">
        <v>Shimadzu</v>
      </c>
      <c r="B1178" t="str">
        <v>SSFLAT_MCSN10_20260319_</v>
      </c>
    </row>
    <row r="1179" spans="1:2" x14ac:dyDescent="0.25">
      <c r="A1179" t="str">
        <v>Shimadzu</v>
      </c>
      <c r="B1179" t="str">
        <v>SSFLAT_MCSN10_20260319_</v>
      </c>
    </row>
    <row r="1180" spans="1:2" x14ac:dyDescent="0.25">
      <c r="A1180" t="str">
        <v>Shimadzu</v>
      </c>
      <c r="B1180" t="str">
        <v>SSFLAT_MCSN10_20260319_</v>
      </c>
    </row>
    <row r="1181" spans="1:2" x14ac:dyDescent="0.25">
      <c r="A1181" t="str">
        <v>Shimadzu</v>
      </c>
      <c r="B1181" t="str">
        <v>SSFLAT_MCSN10_20260319_</v>
      </c>
    </row>
    <row r="1182" spans="1:2" x14ac:dyDescent="0.25">
      <c r="A1182" t="str">
        <v>Shimadzu</v>
      </c>
      <c r="B1182" t="str">
        <v>SSFLAT_MCSN10_20260319_</v>
      </c>
    </row>
    <row r="1183" spans="1:2" x14ac:dyDescent="0.25">
      <c r="A1183" t="str">
        <v>Shimadzu</v>
      </c>
      <c r="B1183" t="str">
        <v>SSFLAT_MCSN10_20260319_</v>
      </c>
    </row>
    <row r="1184" spans="1:2" x14ac:dyDescent="0.25">
      <c r="A1184" t="str">
        <v>Shimadzu</v>
      </c>
      <c r="B1184" t="str">
        <v>SSFLAT_MCSN10_20260319_</v>
      </c>
    </row>
    <row r="1185" spans="1:2" x14ac:dyDescent="0.25">
      <c r="A1185" t="str">
        <v>Shimadzu</v>
      </c>
      <c r="B1185" t="str">
        <v>SSFLAT_MCSN10_20260319_</v>
      </c>
    </row>
    <row r="1186" spans="1:2" x14ac:dyDescent="0.25">
      <c r="A1186" t="str">
        <v>Shimadzu</v>
      </c>
      <c r="B1186" t="str">
        <v>SSFLAT_MCSN10_20260319_</v>
      </c>
    </row>
    <row r="1187" spans="1:2" x14ac:dyDescent="0.25">
      <c r="A1187" t="str">
        <v>Shimadzu</v>
      </c>
      <c r="B1187" t="str">
        <v>SSFLAT_MCSN10_20260319_</v>
      </c>
    </row>
    <row r="1188" spans="1:2" x14ac:dyDescent="0.25">
      <c r="A1188" t="str">
        <v>Shimadzu</v>
      </c>
      <c r="B1188" t="str">
        <v>SSFLAT_MCSN10_20260319_</v>
      </c>
    </row>
    <row r="1189" spans="1:2" x14ac:dyDescent="0.25">
      <c r="A1189" t="str">
        <v>Shimadzu</v>
      </c>
      <c r="B1189" t="str">
        <v>SSFLAT_MCSN10_20260319_</v>
      </c>
    </row>
    <row r="1190" spans="1:2" x14ac:dyDescent="0.25">
      <c r="A1190" t="str">
        <v>Shimadzu</v>
      </c>
      <c r="B1190" t="str">
        <v>SSFLAT_MCSN10_20260319_</v>
      </c>
    </row>
    <row r="1191" spans="1:2" x14ac:dyDescent="0.25">
      <c r="A1191" t="str">
        <v>Shimadzu</v>
      </c>
      <c r="B1191" t="str">
        <v>SSFLAT_MCSN10_20260319_</v>
      </c>
    </row>
    <row r="1192" spans="1:2" x14ac:dyDescent="0.25">
      <c r="A1192" t="str">
        <v>Shimadzu</v>
      </c>
      <c r="B1192" t="str">
        <v>SSFLAT_MCSN10_20260319_</v>
      </c>
    </row>
    <row r="1193" spans="1:2" x14ac:dyDescent="0.25">
      <c r="A1193" t="str">
        <v>Shimadzu</v>
      </c>
      <c r="B1193" t="str">
        <v>SSFLAT_MCSN10_20260319_</v>
      </c>
    </row>
    <row r="1194" spans="1:2" x14ac:dyDescent="0.25">
      <c r="A1194" t="str">
        <v>Shimadzu</v>
      </c>
      <c r="B1194" t="str">
        <v>SSFLAT_MCSN10_20260319_</v>
      </c>
    </row>
    <row r="1195" spans="1:2" x14ac:dyDescent="0.25">
      <c r="A1195" t="str">
        <v>Shimadzu</v>
      </c>
      <c r="B1195" t="str">
        <v>SSFLAT_MCSN10_20260319_</v>
      </c>
    </row>
    <row r="1196" spans="1:2" x14ac:dyDescent="0.25">
      <c r="A1196" t="str">
        <v>Shimadzu</v>
      </c>
      <c r="B1196" t="str">
        <v>SSFLAT_MCSN10_20260319_</v>
      </c>
    </row>
  </sheetData>
  <phoneticPr fontId="2" type="noConversion"/>
  <conditionalFormatting sqref="A1:A1048576">
    <cfRule type="cellIs" dxfId="6" priority="1" operator="equal">
      <formula>"Grab"</formula>
    </cfRule>
    <cfRule type="cellIs" dxfId="5" priority="2" operator="equal">
      <formula>"ISCO"</formula>
    </cfRule>
    <cfRule type="cellIs" dxfId="4" priority="3" operator="equal">
      <formula>"Excess"</formula>
    </cfRule>
    <cfRule type="cellIs" dxfId="3" priority="4" operator="equal">
      <formula>"CCAL"</formula>
    </cfRule>
    <cfRule type="cellIs" dxfId="2" priority="5" operator="equal">
      <formula>"Levoglucosan"</formula>
    </cfRule>
    <cfRule type="cellIs" dxfId="1" priority="6" operator="equal">
      <formula>"Aqualog"</formula>
    </cfRule>
    <cfRule type="cellIs" dxfId="0" priority="7" operator="equal">
      <formula>"Shimadzu"</formula>
    </cfRule>
  </conditionalFormatting>
  <pageMargins left="0.7" right="0.7" top="0.75" bottom="0.75" header="0.3" footer="0.3"/>
  <pageSetup scale="86" fitToHeight="0" orientation="landscape" r:id="rId1"/>
  <headerFooter>
    <oddHeader>&amp;L&amp;"Consolas,Bold"&amp;13Date:____________________ Technican:___________________ 
Project Code:___________  Study Code:_____________</oddHeader>
    <oddFooter>&amp;C&amp;"Consolas,Regular"&amp;14&amp;P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FILL ME</vt:lpstr>
      <vt:lpstr>Label IDs</vt:lpstr>
      <vt:lpstr>Field Label List</vt:lpstr>
      <vt:lpstr>Lab Label List</vt:lpstr>
    </vt:vector>
  </TitlesOfParts>
  <Manager/>
  <Company>Oregon State University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Cole, Ryan P</dc:creator>
  <cp:keywords/>
  <dc:description/>
  <cp:lastModifiedBy>Wampler, Katie A</cp:lastModifiedBy>
  <cp:revision/>
  <cp:lastPrinted>2026-03-19T17:14:26Z</cp:lastPrinted>
  <dcterms:created xsi:type="dcterms:W3CDTF">2025-10-22T18:56:39Z</dcterms:created>
  <dcterms:modified xsi:type="dcterms:W3CDTF">2026-03-19T22:24:40Z</dcterms:modified>
  <cp:category/>
  <cp:contentStatus/>
</cp:coreProperties>
</file>