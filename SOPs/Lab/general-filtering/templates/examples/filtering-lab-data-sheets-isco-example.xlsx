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SOPs\Lab\general-filtering\templates\"/>
    </mc:Choice>
  </mc:AlternateContent>
  <xr:revisionPtr revIDLastSave="0" documentId="13_ncr:1_{4D005C4B-FD69-4EC8-8546-98A040E131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ILL ME" sheetId="10" r:id="rId1"/>
    <sheet name="Label IDs" sheetId="4" r:id="rId2"/>
    <sheet name="Bottle Numbers" sheetId="7" r:id="rId3"/>
    <sheet name="ISCO Bottle Weight" sheetId="5" r:id="rId4"/>
    <sheet name="Filter Weight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4" l="1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2" i="4"/>
  <c r="E50" i="4" l="1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 s="1"/>
  <c r="E102" i="4"/>
  <c r="F102" i="4" s="1"/>
  <c r="E103" i="4"/>
  <c r="F103" i="4" s="1"/>
  <c r="E104" i="4"/>
  <c r="F104" i="4" s="1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B15" i="10"/>
  <c r="H2" i="4" a="1"/>
  <c r="H2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J50" i="4" s="1"/>
  <c r="C51" i="4"/>
  <c r="J51" i="4" s="1"/>
  <c r="C52" i="4"/>
  <c r="C53" i="4"/>
  <c r="J53" i="4" s="1"/>
  <c r="C54" i="4"/>
  <c r="J54" i="4" s="1"/>
  <c r="C55" i="4"/>
  <c r="J55" i="4" s="1"/>
  <c r="C56" i="4"/>
  <c r="J56" i="4" s="1"/>
  <c r="C57" i="4"/>
  <c r="J57" i="4" s="1"/>
  <c r="C58" i="4"/>
  <c r="C59" i="4"/>
  <c r="C60" i="4"/>
  <c r="J60" i="4" s="1"/>
  <c r="C61" i="4"/>
  <c r="J61" i="4" s="1"/>
  <c r="C62" i="4"/>
  <c r="J62" i="4" s="1"/>
  <c r="C63" i="4"/>
  <c r="C64" i="4"/>
  <c r="C65" i="4"/>
  <c r="J65" i="4" s="1"/>
  <c r="C66" i="4"/>
  <c r="J66" i="4" s="1"/>
  <c r="C67" i="4"/>
  <c r="C68" i="4"/>
  <c r="C69" i="4"/>
  <c r="C70" i="4"/>
  <c r="J70" i="4" s="1"/>
  <c r="C71" i="4"/>
  <c r="J71" i="4" s="1"/>
  <c r="C72" i="4"/>
  <c r="J72" i="4" s="1"/>
  <c r="C73" i="4"/>
  <c r="J73" i="4" s="1"/>
  <c r="C74" i="4"/>
  <c r="J74" i="4" s="1"/>
  <c r="C75" i="4"/>
  <c r="J75" i="4" s="1"/>
  <c r="C76" i="4"/>
  <c r="C77" i="4"/>
  <c r="J77" i="4" s="1"/>
  <c r="C78" i="4"/>
  <c r="J78" i="4" s="1"/>
  <c r="C79" i="4"/>
  <c r="J79" i="4" s="1"/>
  <c r="C80" i="4"/>
  <c r="J80" i="4" s="1"/>
  <c r="C81" i="4"/>
  <c r="J81" i="4" s="1"/>
  <c r="C82" i="4"/>
  <c r="J82" i="4" s="1"/>
  <c r="C83" i="4"/>
  <c r="C84" i="4"/>
  <c r="C85" i="4"/>
  <c r="C86" i="4"/>
  <c r="J86" i="4" s="1"/>
  <c r="C87" i="4"/>
  <c r="J87" i="4" s="1"/>
  <c r="C88" i="4"/>
  <c r="C89" i="4"/>
  <c r="C90" i="4"/>
  <c r="J90" i="4" s="1"/>
  <c r="C91" i="4"/>
  <c r="J91" i="4" s="1"/>
  <c r="C92" i="4"/>
  <c r="C93" i="4"/>
  <c r="J93" i="4" s="1"/>
  <c r="C94" i="4"/>
  <c r="J94" i="4" s="1"/>
  <c r="C95" i="4"/>
  <c r="J95" i="4" s="1"/>
  <c r="C96" i="4"/>
  <c r="J96" i="4" s="1"/>
  <c r="C97" i="4"/>
  <c r="J97" i="4" s="1"/>
  <c r="C98" i="4"/>
  <c r="J98" i="4" s="1"/>
  <c r="C99" i="4"/>
  <c r="J99" i="4" s="1"/>
  <c r="C100" i="4"/>
  <c r="J100" i="4" s="1"/>
  <c r="C101" i="4"/>
  <c r="J101" i="4" s="1"/>
  <c r="C102" i="4"/>
  <c r="J102" i="4" s="1"/>
  <c r="C103" i="4"/>
  <c r="C104" i="4"/>
  <c r="C105" i="4"/>
  <c r="K105" i="4" s="1"/>
  <c r="C106" i="4"/>
  <c r="K106" i="4" s="1"/>
  <c r="C107" i="4"/>
  <c r="K107" i="4" s="1"/>
  <c r="C108" i="4"/>
  <c r="K108" i="4" s="1"/>
  <c r="C109" i="4"/>
  <c r="K109" i="4" s="1"/>
  <c r="C110" i="4"/>
  <c r="J110" i="4" s="1"/>
  <c r="C111" i="4"/>
  <c r="J111" i="4" s="1"/>
  <c r="C112" i="4"/>
  <c r="J112" i="4" s="1"/>
  <c r="C113" i="4"/>
  <c r="J113" i="4" s="1"/>
  <c r="C114" i="4"/>
  <c r="J114" i="4" s="1"/>
  <c r="C115" i="4"/>
  <c r="C116" i="4"/>
  <c r="J116" i="4" s="1"/>
  <c r="C117" i="4"/>
  <c r="C118" i="4"/>
  <c r="K118" i="4" s="1"/>
  <c r="C119" i="4"/>
  <c r="J119" i="4" s="1"/>
  <c r="C120" i="4"/>
  <c r="J120" i="4" s="1"/>
  <c r="C121" i="4"/>
  <c r="J121" i="4" s="1"/>
  <c r="C122" i="4"/>
  <c r="J122" i="4" s="1"/>
  <c r="C123" i="4"/>
  <c r="K123" i="4" s="1"/>
  <c r="C124" i="4"/>
  <c r="J124" i="4" s="1"/>
  <c r="C125" i="4"/>
  <c r="C126" i="4"/>
  <c r="K126" i="4" s="1"/>
  <c r="C127" i="4"/>
  <c r="K127" i="4" s="1"/>
  <c r="C128" i="4"/>
  <c r="K128" i="4" s="1"/>
  <c r="C129" i="4"/>
  <c r="K129" i="4" s="1"/>
  <c r="C130" i="4"/>
  <c r="J130" i="4" s="1"/>
  <c r="C131" i="4"/>
  <c r="J131" i="4" s="1"/>
  <c r="C132" i="4"/>
  <c r="J132" i="4" s="1"/>
  <c r="C133" i="4"/>
  <c r="J133" i="4" s="1"/>
  <c r="C134" i="4"/>
  <c r="J134" i="4" s="1"/>
  <c r="C135" i="4"/>
  <c r="J135" i="4" s="1"/>
  <c r="C136" i="4"/>
  <c r="J136" i="4" s="1"/>
  <c r="C137" i="4"/>
  <c r="C138" i="4"/>
  <c r="K138" i="4" s="1"/>
  <c r="C139" i="4"/>
  <c r="J139" i="4" s="1"/>
  <c r="C140" i="4"/>
  <c r="J140" i="4" s="1"/>
  <c r="C141" i="4"/>
  <c r="J141" i="4" s="1"/>
  <c r="C142" i="4"/>
  <c r="J142" i="4" s="1"/>
  <c r="C143" i="4"/>
  <c r="K143" i="4" s="1"/>
  <c r="C144" i="4"/>
  <c r="K144" i="4" s="1"/>
  <c r="C145" i="4"/>
  <c r="C146" i="4"/>
  <c r="K146" i="4" s="1"/>
  <c r="C147" i="4"/>
  <c r="K147" i="4" s="1"/>
  <c r="C148" i="4"/>
  <c r="K148" i="4" s="1"/>
  <c r="C149" i="4"/>
  <c r="K149" i="4" s="1"/>
  <c r="C150" i="4"/>
  <c r="J150" i="4" s="1"/>
  <c r="C151" i="4"/>
  <c r="J151" i="4" s="1"/>
  <c r="C152" i="4"/>
  <c r="J152" i="4" s="1"/>
  <c r="C153" i="4"/>
  <c r="J153" i="4" s="1"/>
  <c r="C154" i="4"/>
  <c r="J154" i="4" s="1"/>
  <c r="C155" i="4"/>
  <c r="J155" i="4" s="1"/>
  <c r="C156" i="4"/>
  <c r="K156" i="4" s="1"/>
  <c r="C157" i="4"/>
  <c r="J157" i="4" s="1"/>
  <c r="C158" i="4"/>
  <c r="J158" i="4" s="1"/>
  <c r="C159" i="4"/>
  <c r="J159" i="4" s="1"/>
  <c r="C160" i="4"/>
  <c r="J160" i="4" s="1"/>
  <c r="C161" i="4"/>
  <c r="J161" i="4" s="1"/>
  <c r="C162" i="4"/>
  <c r="J162" i="4" s="1"/>
  <c r="C163" i="4"/>
  <c r="K163" i="4" s="1"/>
  <c r="C164" i="4"/>
  <c r="K164" i="4" s="1"/>
  <c r="C165" i="4"/>
  <c r="K165" i="4" s="1"/>
  <c r="C166" i="4"/>
  <c r="K166" i="4" s="1"/>
  <c r="C167" i="4"/>
  <c r="K167" i="4" s="1"/>
  <c r="C168" i="4"/>
  <c r="K168" i="4" s="1"/>
  <c r="C169" i="4"/>
  <c r="K169" i="4" s="1"/>
  <c r="C170" i="4"/>
  <c r="J170" i="4" s="1"/>
  <c r="C171" i="4"/>
  <c r="J171" i="4" s="1"/>
  <c r="C172" i="4"/>
  <c r="K172" i="4" s="1"/>
  <c r="C173" i="4"/>
  <c r="J173" i="4" s="1"/>
  <c r="C174" i="4"/>
  <c r="J174" i="4" s="1"/>
  <c r="C175" i="4"/>
  <c r="J175" i="4" s="1"/>
  <c r="C176" i="4"/>
  <c r="J176" i="4" s="1"/>
  <c r="C177" i="4"/>
  <c r="J177" i="4" s="1"/>
  <c r="C178" i="4"/>
  <c r="K178" i="4" s="1"/>
  <c r="C179" i="4"/>
  <c r="J179" i="4" s="1"/>
  <c r="C180" i="4"/>
  <c r="J180" i="4" s="1"/>
  <c r="C181" i="4"/>
  <c r="J181" i="4" s="1"/>
  <c r="C182" i="4"/>
  <c r="C183" i="4"/>
  <c r="K183" i="4" s="1"/>
  <c r="C184" i="4"/>
  <c r="K184" i="4" s="1"/>
  <c r="C185" i="4"/>
  <c r="J185" i="4" s="1"/>
  <c r="C186" i="4"/>
  <c r="K186" i="4" s="1"/>
  <c r="C187" i="4"/>
  <c r="K187" i="4" s="1"/>
  <c r="C188" i="4"/>
  <c r="K188" i="4" s="1"/>
  <c r="C189" i="4"/>
  <c r="K189" i="4" s="1"/>
  <c r="C190" i="4"/>
  <c r="J190" i="4" s="1"/>
  <c r="C191" i="4"/>
  <c r="J191" i="4" s="1"/>
  <c r="C192" i="4"/>
  <c r="C193" i="4"/>
  <c r="J193" i="4" s="1"/>
  <c r="C194" i="4"/>
  <c r="J194" i="4" s="1"/>
  <c r="C195" i="4"/>
  <c r="J195" i="4" s="1"/>
  <c r="C196" i="4"/>
  <c r="J196" i="4" s="1"/>
  <c r="C197" i="4"/>
  <c r="J197" i="4" s="1"/>
  <c r="C198" i="4"/>
  <c r="K198" i="4" s="1"/>
  <c r="C199" i="4"/>
  <c r="J199" i="4" s="1"/>
  <c r="C200" i="4"/>
  <c r="J200" i="4" s="1"/>
  <c r="C201" i="4"/>
  <c r="J201" i="4" s="1"/>
  <c r="C202" i="4"/>
  <c r="J202" i="4" s="1"/>
  <c r="C203" i="4"/>
  <c r="K203" i="4" s="1"/>
  <c r="C204" i="4"/>
  <c r="J204" i="4" s="1"/>
  <c r="C205" i="4"/>
  <c r="J205" i="4" s="1"/>
  <c r="C206" i="4"/>
  <c r="K206" i="4" s="1"/>
  <c r="C207" i="4"/>
  <c r="K207" i="4" s="1"/>
  <c r="C208" i="4"/>
  <c r="K208" i="4" s="1"/>
  <c r="C209" i="4"/>
  <c r="K209" i="4" s="1"/>
  <c r="C210" i="4"/>
  <c r="C211" i="4"/>
  <c r="J211" i="4" s="1"/>
  <c r="C212" i="4"/>
  <c r="C213" i="4"/>
  <c r="C214" i="4"/>
  <c r="C215" i="4"/>
  <c r="C216" i="4"/>
  <c r="J216" i="4" s="1"/>
  <c r="C217" i="4"/>
  <c r="J217" i="4" s="1"/>
  <c r="C218" i="4"/>
  <c r="K218" i="4" s="1"/>
  <c r="C219" i="4"/>
  <c r="K219" i="4" s="1"/>
  <c r="C220" i="4"/>
  <c r="J220" i="4" s="1"/>
  <c r="C221" i="4"/>
  <c r="J221" i="4" s="1"/>
  <c r="C222" i="4"/>
  <c r="J222" i="4" s="1"/>
  <c r="C223" i="4"/>
  <c r="K223" i="4" s="1"/>
  <c r="C224" i="4"/>
  <c r="K224" i="4" s="1"/>
  <c r="C225" i="4"/>
  <c r="K225" i="4" s="1"/>
  <c r="C226" i="4"/>
  <c r="K226" i="4" s="1"/>
  <c r="C227" i="4"/>
  <c r="K227" i="4" s="1"/>
  <c r="C228" i="4"/>
  <c r="K228" i="4" s="1"/>
  <c r="C229" i="4"/>
  <c r="K229" i="4" s="1"/>
  <c r="C230" i="4"/>
  <c r="J230" i="4" s="1"/>
  <c r="C231" i="4"/>
  <c r="J231" i="4" s="1"/>
  <c r="C232" i="4"/>
  <c r="J232" i="4" s="1"/>
  <c r="C233" i="4"/>
  <c r="C234" i="4"/>
  <c r="J234" i="4" s="1"/>
  <c r="C235" i="4"/>
  <c r="C236" i="4"/>
  <c r="K236" i="4" s="1"/>
  <c r="C237" i="4"/>
  <c r="J237" i="4" s="1"/>
  <c r="C238" i="4"/>
  <c r="K238" i="4" s="1"/>
  <c r="C239" i="4"/>
  <c r="K239" i="4" s="1"/>
  <c r="C240" i="4"/>
  <c r="J240" i="4" s="1"/>
  <c r="C241" i="4"/>
  <c r="J241" i="4" s="1"/>
  <c r="C242" i="4"/>
  <c r="J242" i="4" s="1"/>
  <c r="C243" i="4"/>
  <c r="K243" i="4" s="1"/>
  <c r="C244" i="4"/>
  <c r="K244" i="4" s="1"/>
  <c r="C245" i="4"/>
  <c r="K245" i="4" s="1"/>
  <c r="C246" i="4"/>
  <c r="K246" i="4" s="1"/>
  <c r="C247" i="4"/>
  <c r="K247" i="4" s="1"/>
  <c r="C248" i="4"/>
  <c r="K248" i="4" s="1"/>
  <c r="C249" i="4"/>
  <c r="K249" i="4" s="1"/>
  <c r="C250" i="4"/>
  <c r="C251" i="4"/>
  <c r="J251" i="4" s="1"/>
  <c r="C252" i="4"/>
  <c r="C253" i="4"/>
  <c r="C254" i="4"/>
  <c r="J254" i="4" s="1"/>
  <c r="C255" i="4"/>
  <c r="J255" i="4" s="1"/>
  <c r="C256" i="4"/>
  <c r="J256" i="4" s="1"/>
  <c r="C257" i="4"/>
  <c r="J257" i="4" s="1"/>
  <c r="C258" i="4"/>
  <c r="K258" i="4" s="1"/>
  <c r="C259" i="4"/>
  <c r="J259" i="4" s="1"/>
  <c r="C260" i="4"/>
  <c r="J260" i="4" s="1"/>
  <c r="C261" i="4"/>
  <c r="J261" i="4" s="1"/>
  <c r="C262" i="4"/>
  <c r="J262" i="4" s="1"/>
  <c r="C263" i="4"/>
  <c r="K263" i="4" s="1"/>
  <c r="C264" i="4"/>
  <c r="K264" i="4" s="1"/>
  <c r="C265" i="4"/>
  <c r="C266" i="4"/>
  <c r="K266" i="4" s="1"/>
  <c r="C267" i="4"/>
  <c r="K267" i="4" s="1"/>
  <c r="C268" i="4"/>
  <c r="K268" i="4" s="1"/>
  <c r="C269" i="4"/>
  <c r="K269" i="4" s="1"/>
  <c r="C270" i="4"/>
  <c r="J270" i="4" s="1"/>
  <c r="C271" i="4"/>
  <c r="C272" i="4"/>
  <c r="C273" i="4"/>
  <c r="C274" i="4"/>
  <c r="J274" i="4" s="1"/>
  <c r="C275" i="4"/>
  <c r="J275" i="4" s="1"/>
  <c r="C276" i="4"/>
  <c r="J276" i="4" s="1"/>
  <c r="C277" i="4"/>
  <c r="J277" i="4" s="1"/>
  <c r="C278" i="4"/>
  <c r="K278" i="4" s="1"/>
  <c r="C279" i="4"/>
  <c r="J279" i="4" s="1"/>
  <c r="C280" i="4"/>
  <c r="J280" i="4" s="1"/>
  <c r="C281" i="4"/>
  <c r="J281" i="4" s="1"/>
  <c r="C282" i="4"/>
  <c r="J282" i="4" s="1"/>
  <c r="C283" i="4"/>
  <c r="K283" i="4" s="1"/>
  <c r="C284" i="4"/>
  <c r="J284" i="4" s="1"/>
  <c r="C285" i="4"/>
  <c r="K285" i="4" s="1"/>
  <c r="C286" i="4"/>
  <c r="K286" i="4" s="1"/>
  <c r="C287" i="4"/>
  <c r="K287" i="4" s="1"/>
  <c r="C288" i="4"/>
  <c r="K288" i="4" s="1"/>
  <c r="C289" i="4"/>
  <c r="K289" i="4" s="1"/>
  <c r="C290" i="4"/>
  <c r="C291" i="4"/>
  <c r="C292" i="4"/>
  <c r="C293" i="4"/>
  <c r="C294" i="4"/>
  <c r="J294" i="4" s="1"/>
  <c r="C295" i="4"/>
  <c r="C296" i="4"/>
  <c r="K296" i="4" s="1"/>
  <c r="C297" i="4"/>
  <c r="J297" i="4" s="1"/>
  <c r="C298" i="4"/>
  <c r="K298" i="4" s="1"/>
  <c r="C299" i="4"/>
  <c r="K299" i="4" s="1"/>
  <c r="C300" i="4"/>
  <c r="J300" i="4" s="1"/>
  <c r="C301" i="4"/>
  <c r="J301" i="4" s="1"/>
  <c r="C302" i="4"/>
  <c r="J302" i="4" s="1"/>
  <c r="C303" i="4"/>
  <c r="K303" i="4" s="1"/>
  <c r="C304" i="4"/>
  <c r="K304" i="4" s="1"/>
  <c r="C305" i="4"/>
  <c r="K305" i="4" s="1"/>
  <c r="C306" i="4"/>
  <c r="K306" i="4" s="1"/>
  <c r="C307" i="4"/>
  <c r="K307" i="4" s="1"/>
  <c r="C308" i="4"/>
  <c r="K308" i="4" s="1"/>
  <c r="C309" i="4"/>
  <c r="K309" i="4" s="1"/>
  <c r="C310" i="4"/>
  <c r="C311" i="4"/>
  <c r="C312" i="4"/>
  <c r="C313" i="4"/>
  <c r="C314" i="4"/>
  <c r="J314" i="4" s="1"/>
  <c r="C315" i="4"/>
  <c r="C316" i="4"/>
  <c r="J316" i="4" s="1"/>
  <c r="C317" i="4"/>
  <c r="J317" i="4" s="1"/>
  <c r="C318" i="4"/>
  <c r="J318" i="4" s="1"/>
  <c r="C319" i="4"/>
  <c r="J319" i="4" s="1"/>
  <c r="C320" i="4"/>
  <c r="J320" i="4" s="1"/>
  <c r="C321" i="4"/>
  <c r="J321" i="4" s="1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2" i="4"/>
  <c r="J233" i="4" l="1"/>
  <c r="J192" i="4"/>
  <c r="J212" i="4"/>
  <c r="J272" i="4"/>
  <c r="J312" i="4"/>
  <c r="J271" i="4"/>
  <c r="J145" i="4"/>
  <c r="J182" i="4"/>
  <c r="J252" i="4"/>
  <c r="J92" i="4"/>
  <c r="J125" i="4"/>
  <c r="J52" i="4"/>
  <c r="F91" i="4"/>
  <c r="K91" i="4" s="1"/>
  <c r="F71" i="4"/>
  <c r="K71" i="4" s="1"/>
  <c r="K92" i="4"/>
  <c r="K72" i="4"/>
  <c r="J235" i="4"/>
  <c r="J311" i="4"/>
  <c r="J313" i="4"/>
  <c r="J253" i="4"/>
  <c r="J310" i="4"/>
  <c r="J287" i="4"/>
  <c r="J286" i="4"/>
  <c r="J291" i="4"/>
  <c r="J250" i="4"/>
  <c r="J268" i="4"/>
  <c r="J292" i="4"/>
  <c r="J266" i="4"/>
  <c r="J115" i="4"/>
  <c r="J293" i="4"/>
  <c r="J290" i="4"/>
  <c r="J265" i="4"/>
  <c r="K271" i="4"/>
  <c r="J295" i="4"/>
  <c r="K231" i="4"/>
  <c r="J247" i="4"/>
  <c r="J207" i="4"/>
  <c r="J206" i="4"/>
  <c r="J186" i="4"/>
  <c r="K58" i="4"/>
  <c r="J76" i="4"/>
  <c r="K272" i="4"/>
  <c r="J208" i="4"/>
  <c r="K261" i="4"/>
  <c r="K232" i="4"/>
  <c r="K221" i="4"/>
  <c r="K260" i="4"/>
  <c r="K104" i="4"/>
  <c r="K84" i="4"/>
  <c r="K64" i="4"/>
  <c r="K103" i="4"/>
  <c r="K83" i="4"/>
  <c r="K63" i="4"/>
  <c r="K220" i="4"/>
  <c r="K59" i="4"/>
  <c r="J288" i="4"/>
  <c r="K311" i="4"/>
  <c r="J188" i="4"/>
  <c r="K211" i="4"/>
  <c r="J167" i="4"/>
  <c r="K171" i="4"/>
  <c r="J128" i="4"/>
  <c r="K161" i="4"/>
  <c r="J127" i="4"/>
  <c r="K160" i="4"/>
  <c r="J126" i="4"/>
  <c r="K151" i="4"/>
  <c r="J108" i="4"/>
  <c r="K132" i="4"/>
  <c r="J106" i="4"/>
  <c r="K131" i="4"/>
  <c r="K121" i="4"/>
  <c r="G2" i="4" a="1"/>
  <c r="J18" i="4" s="1"/>
  <c r="K321" i="4"/>
  <c r="K120" i="4"/>
  <c r="K320" i="4"/>
  <c r="K111" i="4"/>
  <c r="J306" i="4"/>
  <c r="J226" i="4"/>
  <c r="J146" i="4"/>
  <c r="K280" i="4"/>
  <c r="K180" i="4"/>
  <c r="K136" i="4"/>
  <c r="K279" i="4"/>
  <c r="K116" i="4"/>
  <c r="K56" i="4"/>
  <c r="J267" i="4"/>
  <c r="J187" i="4"/>
  <c r="J107" i="4"/>
  <c r="K312" i="4"/>
  <c r="K259" i="4"/>
  <c r="K212" i="4"/>
  <c r="K159" i="4"/>
  <c r="K112" i="4"/>
  <c r="K179" i="4"/>
  <c r="J58" i="4"/>
  <c r="J236" i="4"/>
  <c r="K276" i="4"/>
  <c r="K119" i="4"/>
  <c r="J118" i="4"/>
  <c r="J219" i="4"/>
  <c r="J218" i="4"/>
  <c r="J117" i="4"/>
  <c r="K319" i="4"/>
  <c r="K318" i="4"/>
  <c r="K158" i="4"/>
  <c r="K301" i="4"/>
  <c r="K257" i="4"/>
  <c r="K201" i="4"/>
  <c r="K157" i="4"/>
  <c r="K61" i="4"/>
  <c r="J59" i="4"/>
  <c r="J138" i="4"/>
  <c r="J198" i="4"/>
  <c r="K316" i="4"/>
  <c r="K88" i="4"/>
  <c r="K68" i="4"/>
  <c r="J258" i="4"/>
  <c r="J178" i="4"/>
  <c r="K300" i="4"/>
  <c r="K256" i="4"/>
  <c r="K200" i="4"/>
  <c r="K60" i="4"/>
  <c r="J299" i="4"/>
  <c r="J214" i="4"/>
  <c r="K217" i="4"/>
  <c r="K87" i="4"/>
  <c r="K67" i="4"/>
  <c r="K52" i="4"/>
  <c r="J248" i="4"/>
  <c r="J168" i="4"/>
  <c r="J88" i="4"/>
  <c r="K252" i="4"/>
  <c r="K199" i="4"/>
  <c r="K152" i="4"/>
  <c r="J298" i="4"/>
  <c r="K96" i="4"/>
  <c r="J213" i="4"/>
  <c r="J278" i="4"/>
  <c r="K51" i="4"/>
  <c r="K101" i="4"/>
  <c r="K81" i="4"/>
  <c r="J246" i="4"/>
  <c r="J166" i="4"/>
  <c r="K297" i="4"/>
  <c r="K241" i="4"/>
  <c r="K197" i="4"/>
  <c r="K141" i="4"/>
  <c r="K57" i="4"/>
  <c r="J156" i="4"/>
  <c r="J273" i="4"/>
  <c r="K317" i="4"/>
  <c r="K100" i="4"/>
  <c r="K80" i="4"/>
  <c r="J239" i="4"/>
  <c r="K240" i="4"/>
  <c r="K196" i="4"/>
  <c r="K140" i="4"/>
  <c r="K177" i="4"/>
  <c r="J296" i="4"/>
  <c r="K176" i="4"/>
  <c r="J215" i="4"/>
  <c r="J210" i="4"/>
  <c r="K99" i="4"/>
  <c r="K79" i="4"/>
  <c r="J238" i="4"/>
  <c r="K292" i="4"/>
  <c r="K192" i="4"/>
  <c r="K139" i="4"/>
  <c r="J137" i="4"/>
  <c r="J315" i="4"/>
  <c r="J172" i="4"/>
  <c r="K86" i="4"/>
  <c r="K76" i="4"/>
  <c r="K98" i="4"/>
  <c r="K78" i="4"/>
  <c r="J308" i="4"/>
  <c r="J228" i="4"/>
  <c r="J148" i="4"/>
  <c r="J68" i="4"/>
  <c r="K291" i="4"/>
  <c r="K191" i="4"/>
  <c r="K277" i="4"/>
  <c r="K117" i="4"/>
  <c r="K216" i="4"/>
  <c r="K66" i="4"/>
  <c r="K251" i="4"/>
  <c r="K97" i="4"/>
  <c r="K77" i="4"/>
  <c r="J307" i="4"/>
  <c r="J227" i="4"/>
  <c r="J147" i="4"/>
  <c r="J67" i="4"/>
  <c r="K281" i="4"/>
  <c r="K237" i="4"/>
  <c r="K181" i="4"/>
  <c r="K137" i="4"/>
  <c r="K89" i="4"/>
  <c r="K69" i="4"/>
  <c r="K85" i="4"/>
  <c r="J309" i="4"/>
  <c r="J289" i="4"/>
  <c r="J269" i="4"/>
  <c r="J249" i="4"/>
  <c r="J229" i="4"/>
  <c r="J209" i="4"/>
  <c r="J189" i="4"/>
  <c r="J169" i="4"/>
  <c r="J149" i="4"/>
  <c r="J129" i="4"/>
  <c r="J109" i="4"/>
  <c r="J89" i="4"/>
  <c r="J69" i="4"/>
  <c r="K302" i="4"/>
  <c r="K282" i="4"/>
  <c r="K262" i="4"/>
  <c r="K242" i="4"/>
  <c r="K222" i="4"/>
  <c r="K202" i="4"/>
  <c r="K182" i="4"/>
  <c r="K162" i="4"/>
  <c r="K142" i="4"/>
  <c r="K122" i="4"/>
  <c r="K102" i="4"/>
  <c r="K82" i="4"/>
  <c r="K62" i="4"/>
  <c r="J283" i="4"/>
  <c r="J243" i="4"/>
  <c r="J223" i="4"/>
  <c r="J183" i="4"/>
  <c r="J163" i="4"/>
  <c r="J143" i="4"/>
  <c r="J123" i="4"/>
  <c r="J103" i="4"/>
  <c r="J83" i="4"/>
  <c r="J63" i="4"/>
  <c r="K315" i="4"/>
  <c r="K295" i="4"/>
  <c r="K275" i="4"/>
  <c r="K255" i="4"/>
  <c r="K235" i="4"/>
  <c r="K215" i="4"/>
  <c r="K195" i="4"/>
  <c r="K175" i="4"/>
  <c r="K155" i="4"/>
  <c r="K135" i="4"/>
  <c r="K115" i="4"/>
  <c r="K95" i="4"/>
  <c r="K75" i="4"/>
  <c r="K55" i="4"/>
  <c r="K314" i="4"/>
  <c r="K294" i="4"/>
  <c r="K274" i="4"/>
  <c r="K254" i="4"/>
  <c r="K234" i="4"/>
  <c r="K214" i="4"/>
  <c r="K194" i="4"/>
  <c r="K174" i="4"/>
  <c r="K154" i="4"/>
  <c r="K134" i="4"/>
  <c r="K114" i="4"/>
  <c r="K94" i="4"/>
  <c r="K74" i="4"/>
  <c r="K54" i="4"/>
  <c r="K313" i="4"/>
  <c r="K293" i="4"/>
  <c r="K273" i="4"/>
  <c r="K253" i="4"/>
  <c r="K233" i="4"/>
  <c r="K213" i="4"/>
  <c r="K193" i="4"/>
  <c r="K173" i="4"/>
  <c r="K153" i="4"/>
  <c r="K133" i="4"/>
  <c r="K113" i="4"/>
  <c r="K93" i="4"/>
  <c r="K73" i="4"/>
  <c r="K53" i="4"/>
  <c r="J285" i="4"/>
  <c r="J105" i="4"/>
  <c r="J264" i="4"/>
  <c r="J184" i="4"/>
  <c r="J144" i="4"/>
  <c r="J64" i="4"/>
  <c r="J203" i="4"/>
  <c r="K310" i="4"/>
  <c r="K290" i="4"/>
  <c r="K270" i="4"/>
  <c r="K250" i="4"/>
  <c r="K230" i="4"/>
  <c r="K210" i="4"/>
  <c r="K190" i="4"/>
  <c r="K170" i="4"/>
  <c r="K150" i="4"/>
  <c r="K130" i="4"/>
  <c r="K110" i="4"/>
  <c r="K90" i="4"/>
  <c r="K70" i="4"/>
  <c r="K50" i="4"/>
  <c r="J305" i="4"/>
  <c r="J225" i="4"/>
  <c r="J165" i="4"/>
  <c r="J85" i="4"/>
  <c r="J244" i="4"/>
  <c r="J104" i="4"/>
  <c r="J263" i="4"/>
  <c r="J245" i="4"/>
  <c r="J304" i="4"/>
  <c r="J224" i="4"/>
  <c r="J164" i="4"/>
  <c r="J84" i="4"/>
  <c r="K265" i="4"/>
  <c r="K205" i="4"/>
  <c r="K185" i="4"/>
  <c r="K145" i="4"/>
  <c r="K125" i="4"/>
  <c r="K65" i="4"/>
  <c r="K284" i="4"/>
  <c r="K204" i="4"/>
  <c r="K124" i="4"/>
  <c r="J303" i="4"/>
  <c r="I17" i="4" l="1"/>
  <c r="I24" i="4"/>
  <c r="E47" i="4"/>
  <c r="F47" i="4" s="1"/>
  <c r="K47" i="4" s="1"/>
  <c r="I10" i="4"/>
  <c r="J15" i="4"/>
  <c r="E16" i="4"/>
  <c r="J44" i="4"/>
  <c r="I35" i="4"/>
  <c r="J26" i="4"/>
  <c r="E28" i="4"/>
  <c r="E33" i="4"/>
  <c r="E17" i="4"/>
  <c r="E3" i="4"/>
  <c r="F3" i="4" s="1"/>
  <c r="E23" i="4"/>
  <c r="J13" i="4"/>
  <c r="I19" i="4"/>
  <c r="I28" i="4"/>
  <c r="E43" i="4"/>
  <c r="J31" i="4"/>
  <c r="E14" i="4"/>
  <c r="E19" i="4"/>
  <c r="I41" i="4"/>
  <c r="I5" i="4"/>
  <c r="J6" i="4"/>
  <c r="E10" i="4"/>
  <c r="E34" i="4"/>
  <c r="E20" i="4"/>
  <c r="I37" i="4"/>
  <c r="I40" i="4"/>
  <c r="I30" i="4"/>
  <c r="J46" i="4"/>
  <c r="E31" i="4"/>
  <c r="J36" i="4"/>
  <c r="E32" i="4"/>
  <c r="F32" i="4" s="1"/>
  <c r="I20" i="4"/>
  <c r="I48" i="4"/>
  <c r="E5" i="4"/>
  <c r="F5" i="4" s="1"/>
  <c r="J9" i="4"/>
  <c r="J42" i="4"/>
  <c r="J20" i="4"/>
  <c r="J19" i="4"/>
  <c r="I8" i="4"/>
  <c r="E41" i="4"/>
  <c r="F41" i="4" s="1"/>
  <c r="K41" i="4" s="1"/>
  <c r="I49" i="4"/>
  <c r="J35" i="4"/>
  <c r="E21" i="4"/>
  <c r="F21" i="4" s="1"/>
  <c r="I4" i="4"/>
  <c r="J45" i="4"/>
  <c r="E29" i="4"/>
  <c r="E39" i="4"/>
  <c r="I11" i="4"/>
  <c r="I25" i="4"/>
  <c r="I3" i="4"/>
  <c r="E4" i="4"/>
  <c r="F4" i="4" s="1"/>
  <c r="E30" i="4"/>
  <c r="F30" i="4" s="1"/>
  <c r="I22" i="4"/>
  <c r="J5" i="4"/>
  <c r="E36" i="4"/>
  <c r="E38" i="4"/>
  <c r="I21" i="4"/>
  <c r="J16" i="4"/>
  <c r="I31" i="4"/>
  <c r="J3" i="4"/>
  <c r="J38" i="4"/>
  <c r="E49" i="4"/>
  <c r="F49" i="4" s="1"/>
  <c r="I47" i="4"/>
  <c r="I9" i="4"/>
  <c r="E24" i="4"/>
  <c r="F24" i="4" s="1"/>
  <c r="E11" i="4"/>
  <c r="I12" i="4"/>
  <c r="J10" i="4"/>
  <c r="E37" i="4"/>
  <c r="F37" i="4" s="1"/>
  <c r="I32" i="4"/>
  <c r="I16" i="4"/>
  <c r="J43" i="4"/>
  <c r="E46" i="4"/>
  <c r="F46" i="4" s="1"/>
  <c r="J30" i="4"/>
  <c r="J39" i="4"/>
  <c r="G2" i="4"/>
  <c r="I2" i="4" s="1"/>
  <c r="J32" i="4"/>
  <c r="I23" i="4"/>
  <c r="J29" i="4"/>
  <c r="I46" i="4"/>
  <c r="J25" i="4"/>
  <c r="J49" i="4"/>
  <c r="J37" i="4"/>
  <c r="I42" i="4"/>
  <c r="I36" i="4"/>
  <c r="I13" i="4"/>
  <c r="I26" i="4"/>
  <c r="E22" i="4"/>
  <c r="J8" i="4"/>
  <c r="E9" i="4"/>
  <c r="J40" i="4"/>
  <c r="I33" i="4"/>
  <c r="I44" i="4"/>
  <c r="J27" i="4"/>
  <c r="J28" i="4"/>
  <c r="J12" i="4"/>
  <c r="J41" i="4"/>
  <c r="J48" i="4"/>
  <c r="I34" i="4"/>
  <c r="I27" i="4"/>
  <c r="J4" i="4"/>
  <c r="E7" i="4"/>
  <c r="F7" i="4" s="1"/>
  <c r="J34" i="4"/>
  <c r="J21" i="4"/>
  <c r="J23" i="4"/>
  <c r="J7" i="4"/>
  <c r="E40" i="4"/>
  <c r="F40" i="4" s="1"/>
  <c r="I14" i="4"/>
  <c r="I29" i="4"/>
  <c r="E26" i="4"/>
  <c r="J14" i="4"/>
  <c r="E12" i="4"/>
  <c r="I15" i="4"/>
  <c r="I7" i="4"/>
  <c r="J24" i="4"/>
  <c r="E27" i="4"/>
  <c r="E13" i="4"/>
  <c r="E15" i="4"/>
  <c r="I18" i="4"/>
  <c r="E42" i="4"/>
  <c r="E44" i="4"/>
  <c r="F44" i="4" s="1"/>
  <c r="E8" i="4"/>
  <c r="E18" i="4"/>
  <c r="F18" i="4" s="1"/>
  <c r="I6" i="4"/>
  <c r="I38" i="4"/>
  <c r="I45" i="4"/>
  <c r="E25" i="4"/>
  <c r="E45" i="4"/>
  <c r="E48" i="4"/>
  <c r="E35" i="4"/>
  <c r="J17" i="4"/>
  <c r="J33" i="4"/>
  <c r="I39" i="4"/>
  <c r="I43" i="4"/>
  <c r="J47" i="4"/>
  <c r="E6" i="4"/>
  <c r="F6" i="4" s="1"/>
  <c r="J11" i="4"/>
  <c r="J22" i="4"/>
  <c r="K49" i="4" l="1"/>
  <c r="K5" i="4"/>
  <c r="F38" i="4"/>
  <c r="K38" i="4" s="1"/>
  <c r="F43" i="4"/>
  <c r="K43" i="4" s="1"/>
  <c r="F13" i="4"/>
  <c r="K13" i="4" s="1"/>
  <c r="F27" i="4"/>
  <c r="K27" i="4" s="1"/>
  <c r="K4" i="4"/>
  <c r="F23" i="4"/>
  <c r="K23" i="4" s="1"/>
  <c r="F33" i="4"/>
  <c r="K33" i="4" s="1"/>
  <c r="F14" i="4"/>
  <c r="K14" i="4" s="1"/>
  <c r="F12" i="4"/>
  <c r="K12" i="4" s="1"/>
  <c r="F48" i="4"/>
  <c r="K48" i="4" s="1"/>
  <c r="F45" i="4"/>
  <c r="K45" i="4" s="1"/>
  <c r="F39" i="4"/>
  <c r="K39" i="4" s="1"/>
  <c r="F28" i="4"/>
  <c r="K28" i="4" s="1"/>
  <c r="F11" i="4"/>
  <c r="K11" i="4" s="1"/>
  <c r="F29" i="4"/>
  <c r="K29" i="4" s="1"/>
  <c r="F17" i="4"/>
  <c r="K17" i="4" s="1"/>
  <c r="F35" i="4"/>
  <c r="K35" i="4" s="1"/>
  <c r="F9" i="4"/>
  <c r="K9" i="4" s="1"/>
  <c r="K3" i="4"/>
  <c r="F31" i="4"/>
  <c r="K31" i="4" s="1"/>
  <c r="F22" i="4"/>
  <c r="K22" i="4" s="1"/>
  <c r="F25" i="4"/>
  <c r="K25" i="4" s="1"/>
  <c r="K30" i="4"/>
  <c r="K44" i="4"/>
  <c r="F20" i="4"/>
  <c r="K20" i="4" s="1"/>
  <c r="F34" i="4"/>
  <c r="K34" i="4" s="1"/>
  <c r="F10" i="4"/>
  <c r="K10" i="4" s="1"/>
  <c r="K46" i="4"/>
  <c r="F36" i="4"/>
  <c r="K36" i="4" s="1"/>
  <c r="F26" i="4"/>
  <c r="K26" i="4" s="1"/>
  <c r="F16" i="4"/>
  <c r="K16" i="4" s="1"/>
  <c r="F8" i="4"/>
  <c r="K8" i="4" s="1"/>
  <c r="K7" i="4"/>
  <c r="K24" i="4"/>
  <c r="F42" i="4"/>
  <c r="K42" i="4" s="1"/>
  <c r="K21" i="4"/>
  <c r="K6" i="4"/>
  <c r="F15" i="4"/>
  <c r="K15" i="4" s="1"/>
  <c r="F19" i="4"/>
  <c r="K19" i="4" s="1"/>
  <c r="K32" i="4"/>
  <c r="K40" i="4"/>
  <c r="K37" i="4"/>
  <c r="E2" i="4"/>
  <c r="F2" i="4" s="1"/>
  <c r="J2" i="4"/>
  <c r="K18" i="4"/>
  <c r="K2" i="4" l="1"/>
  <c r="A3" i="8" s="1" a="1"/>
  <c r="A3" i="8" s="1"/>
  <c r="A3" i="7" l="1" a="1"/>
  <c r="A3" i="7" s="1"/>
  <c r="A3" i="5" a="1"/>
  <c r="A3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<sst xmlns="http://schemas.openxmlformats.org/spreadsheetml/2006/main" count="59" uniqueCount="54">
  <si>
    <t>Project</t>
  </si>
  <si>
    <t>Site</t>
  </si>
  <si>
    <t>Study</t>
  </si>
  <si>
    <t>WWS</t>
  </si>
  <si>
    <t>ISCO</t>
  </si>
  <si>
    <t>Notes</t>
  </si>
  <si>
    <t>Sample Type</t>
  </si>
  <si>
    <t>Start Date</t>
  </si>
  <si>
    <t>Sample ID (with Bottle #)</t>
  </si>
  <si>
    <t>Sample ID (with Time)</t>
  </si>
  <si>
    <t>Fill out the highlighted info to autofill sample template</t>
  </si>
  <si>
    <t>Samples per Site</t>
  </si>
  <si>
    <t>Sample Start Date</t>
  </si>
  <si>
    <t>SSFLAT</t>
  </si>
  <si>
    <t>ISCO Bottle #</t>
  </si>
  <si>
    <t>Start Bottle Number</t>
  </si>
  <si>
    <t>For ISCO Samples only</t>
  </si>
  <si>
    <t>ISCO Bottle ID</t>
  </si>
  <si>
    <t>Collect Time</t>
  </si>
  <si>
    <t>Collect DateTime</t>
  </si>
  <si>
    <t>Sample ID</t>
  </si>
  <si>
    <t>Aqualog Bottle #</t>
  </si>
  <si>
    <t>Shimadzu Bottle #</t>
  </si>
  <si>
    <t>CCAL Bottle #</t>
  </si>
  <si>
    <t>Excess Bottle #</t>
  </si>
  <si>
    <t>Separated Bottle Numbers</t>
  </si>
  <si>
    <t>(125 mL Bottles)</t>
  </si>
  <si>
    <t>(500 mL Bottles)</t>
  </si>
  <si>
    <t xml:space="preserve">DIRECTIONS </t>
  </si>
  <si>
    <t xml:space="preserve"> Pre-Weight (g)</t>
  </si>
  <si>
    <t>ISCO Bottle</t>
  </si>
  <si>
    <t>Post-Weight (g)</t>
  </si>
  <si>
    <t>ISCO Bottle Weights</t>
  </si>
  <si>
    <t>Filter Weights</t>
  </si>
  <si>
    <t>(30mL/125mL Bottles)</t>
  </si>
  <si>
    <t>(any method deviations that could affect the data)</t>
  </si>
  <si>
    <t>Filter Weight (g)</t>
  </si>
  <si>
    <t xml:space="preserve"> Pre-Weight</t>
  </si>
  <si>
    <t>Post-Weight</t>
  </si>
  <si>
    <t>1. Fill out the information above to auto populate the sample IDs which will autopopulate the datasheets</t>
  </si>
  <si>
    <r>
      <t>Site Codes (</t>
    </r>
    <r>
      <rPr>
        <b/>
        <i/>
        <sz val="11"/>
        <color theme="1"/>
        <rFont val="Calibri"/>
        <family val="2"/>
        <scheme val="minor"/>
      </rPr>
      <t>separated by commas</t>
    </r>
    <r>
      <rPr>
        <b/>
        <sz val="11"/>
        <color theme="1"/>
        <rFont val="Calibri"/>
        <family val="2"/>
        <scheme val="minor"/>
      </rPr>
      <t>)</t>
    </r>
  </si>
  <si>
    <r>
      <t>Project (</t>
    </r>
    <r>
      <rPr>
        <b/>
        <i/>
        <sz val="11"/>
        <color theme="1"/>
        <rFont val="Calibri"/>
        <family val="2"/>
        <scheme val="minor"/>
      </rPr>
      <t>e.g., WWS, NIFA</t>
    </r>
    <r>
      <rPr>
        <b/>
        <sz val="11"/>
        <color theme="1"/>
        <rFont val="Calibri"/>
        <family val="2"/>
        <scheme val="minor"/>
      </rPr>
      <t>)</t>
    </r>
  </si>
  <si>
    <r>
      <t>Study Code (</t>
    </r>
    <r>
      <rPr>
        <b/>
        <i/>
        <sz val="11"/>
        <color theme="1"/>
        <rFont val="Calibri"/>
        <family val="2"/>
        <scheme val="minor"/>
      </rPr>
      <t>e.g., SONDE, BDRK, SSFLAT</t>
    </r>
    <r>
      <rPr>
        <b/>
        <sz val="11"/>
        <color theme="1"/>
        <rFont val="Calibri"/>
        <family val="2"/>
        <scheme val="minor"/>
      </rPr>
      <t>)</t>
    </r>
  </si>
  <si>
    <t>Sample Start Time</t>
  </si>
  <si>
    <r>
      <t>Time Interval (</t>
    </r>
    <r>
      <rPr>
        <b/>
        <i/>
        <sz val="11"/>
        <color theme="1"/>
        <rFont val="Calibri"/>
        <family val="2"/>
        <scheme val="minor"/>
      </rPr>
      <t>Hours</t>
    </r>
    <r>
      <rPr>
        <b/>
        <sz val="11"/>
        <color theme="1"/>
        <rFont val="Calibri"/>
        <family val="2"/>
        <scheme val="minor"/>
      </rPr>
      <t>)</t>
    </r>
  </si>
  <si>
    <r>
      <t>Number of Sites (</t>
    </r>
    <r>
      <rPr>
        <b/>
        <i/>
        <sz val="11"/>
        <color theme="1"/>
        <rFont val="Calibri"/>
        <family val="2"/>
        <scheme val="minor"/>
      </rPr>
      <t>autofilled</t>
    </r>
    <r>
      <rPr>
        <b/>
        <sz val="11"/>
        <color theme="1"/>
        <rFont val="Calibri"/>
        <family val="2"/>
        <scheme val="minor"/>
      </rPr>
      <t>)</t>
    </r>
  </si>
  <si>
    <t>Bottle Number</t>
  </si>
  <si>
    <t>2. If collecting grab samples, fill out times manually to fully populate datasheets after collection.</t>
  </si>
  <si>
    <r>
      <t xml:space="preserve">3. Print out the Bottle Number data sheet in </t>
    </r>
    <r>
      <rPr>
        <b/>
        <sz val="11"/>
        <color theme="1"/>
        <rFont val="Calibri"/>
        <family val="2"/>
        <scheme val="minor"/>
      </rPr>
      <t>landscape</t>
    </r>
    <r>
      <rPr>
        <sz val="11"/>
        <color theme="1"/>
        <rFont val="Calibri"/>
        <family val="2"/>
        <scheme val="minor"/>
      </rPr>
      <t xml:space="preserve"> using "fit all columns on one page".</t>
    </r>
  </si>
  <si>
    <r>
      <t xml:space="preserve">5. Print out the Filter Weight data sheet in </t>
    </r>
    <r>
      <rPr>
        <b/>
        <sz val="11"/>
        <color theme="1"/>
        <rFont val="Calibri"/>
        <family val="2"/>
        <scheme val="minor"/>
      </rPr>
      <t>portrait</t>
    </r>
    <r>
      <rPr>
        <sz val="11"/>
        <color theme="1"/>
        <rFont val="Calibri"/>
        <family val="2"/>
        <scheme val="minor"/>
      </rPr>
      <t xml:space="preserve"> (if applicable) using "fit all columns on one page".</t>
    </r>
  </si>
  <si>
    <r>
      <t>Sample Type (</t>
    </r>
    <r>
      <rPr>
        <b/>
        <i/>
        <sz val="11"/>
        <color theme="1"/>
        <rFont val="Calibri"/>
        <family val="2"/>
        <scheme val="minor"/>
      </rPr>
      <t>choose one</t>
    </r>
    <r>
      <rPr>
        <b/>
        <sz val="11"/>
        <color theme="1"/>
        <rFont val="Calibri"/>
        <family val="2"/>
        <scheme val="minor"/>
      </rPr>
      <t>)</t>
    </r>
  </si>
  <si>
    <t>Sample ID Type (choose one)</t>
  </si>
  <si>
    <t>CMP, ALD</t>
  </si>
  <si>
    <r>
      <t xml:space="preserve">4. Print out the ISCO Bottle Weight data sheet in </t>
    </r>
    <r>
      <rPr>
        <b/>
        <sz val="11"/>
        <color theme="1"/>
        <rFont val="Calibri"/>
        <family val="2"/>
        <scheme val="minor"/>
      </rPr>
      <t>portrait</t>
    </r>
    <r>
      <rPr>
        <sz val="11"/>
        <color theme="1"/>
        <rFont val="Calibri"/>
        <family val="2"/>
        <scheme val="minor"/>
      </rPr>
      <t xml:space="preserve"> (if applicable) using "fit all columns on one page".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</si>
</sst>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onsolas"/>
      <family val="3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onsolas"/>
      <family val="3"/>
    </font>
    <font>
      <b/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rgb="FFCCCC00"/>
      </left>
      <right style="thin">
        <color rgb="FFCCCC00"/>
      </right>
      <top style="thin">
        <color rgb="FFCCCC00"/>
      </top>
      <bottom style="thin">
        <color rgb="FFCCCC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8" fillId="4" borderId="1" xfId="0" applyFont="1" applyFill="1" applyBorder="1"/>
    <xf numFmtId="0" fontId="0" fillId="0" borderId="1" xfId="0" applyBorder="1"/>
    <xf numFmtId="0" fontId="5" fillId="0" borderId="1" xfId="0" applyFont="1" applyBorder="1"/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10" fillId="6" borderId="0" xfId="0" applyFont="1" applyFill="1" applyAlignment="1">
      <alignment horizontal="left"/>
    </xf>
    <xf numFmtId="164" fontId="10" fillId="6" borderId="0" xfId="0" applyNumberFormat="1" applyFont="1" applyFill="1" applyAlignment="1">
      <alignment horizontal="left"/>
    </xf>
    <xf numFmtId="0" fontId="7" fillId="7" borderId="1" xfId="0" applyFont="1" applyFill="1" applyBorder="1"/>
    <xf numFmtId="0" fontId="7" fillId="0" borderId="2" xfId="0" applyFont="1" applyBorder="1"/>
    <xf numFmtId="0" fontId="0" fillId="8" borderId="1" xfId="0" applyFill="1" applyBorder="1"/>
    <xf numFmtId="0" fontId="5" fillId="8" borderId="1" xfId="0" applyFont="1" applyFill="1" applyBorder="1"/>
    <xf numFmtId="0" fontId="3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7" fillId="9" borderId="1" xfId="0" applyFont="1" applyFill="1" applyBorder="1"/>
    <xf numFmtId="0" fontId="7" fillId="10" borderId="1" xfId="0" applyFont="1" applyFill="1" applyBorder="1"/>
    <xf numFmtId="0" fontId="3" fillId="0" borderId="6" xfId="0" applyFont="1" applyBorder="1" applyAlignment="1">
      <alignment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0" fillId="3" borderId="0" xfId="0" applyFill="1"/>
    <xf numFmtId="0" fontId="0" fillId="11" borderId="0" xfId="0" applyFill="1" applyAlignment="1">
      <alignment horizontal="left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14" fontId="0" fillId="2" borderId="7" xfId="0" applyNumberFormat="1" applyFill="1" applyBorder="1" applyAlignment="1">
      <alignment horizontal="left"/>
    </xf>
    <xf numFmtId="20" fontId="0" fillId="2" borderId="7" xfId="0" applyNumberForma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8"/>
    </tableStyle>
    <tableStyle name="Table Style 3" pivot="0" count="1" xr9:uid="{F9D3F327-B512-4800-BA10-4EF09FA55AB3}">
      <tableStyleElement type="firstRowStripe" dxfId="7"/>
    </tableStyle>
    <tableStyle name="Table Style 4" pivot="0" count="1" xr9:uid="{11ADBC6B-8780-4B34-9129-079F70219539}">
      <tableStyleElement type="firstRowStripe" dxfId="6"/>
    </tableStyle>
  </tableStyles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E421-CB14-43E0-8DEF-1EDAC63A74D0}">
  <dimension ref="A1:D22"/>
  <sheetViews>
    <sheetView tabSelected="1" zoomScaleNormal="100" workbookViewId="0">
      <selection activeCell="J11" sqref="J11"/>
    </sheetView>
  </sheetViews>
  <sheetFormatPr defaultRowHeight="15" x14ac:dyDescent="0.25"/>
  <cols>
    <col min="1" max="1" width="39.7109375" customWidth="1"/>
    <col min="2" max="2" width="20.42578125" customWidth="1"/>
    <col min="3" max="3" width="24.140625" customWidth="1"/>
    <col min="4" max="4" width="11.7109375" customWidth="1"/>
  </cols>
  <sheetData>
    <row r="1" spans="1:2" x14ac:dyDescent="0.25">
      <c r="A1" s="37" t="s">
        <v>10</v>
      </c>
      <c r="B1" s="37"/>
    </row>
    <row r="3" spans="1:2" x14ac:dyDescent="0.25">
      <c r="A3" s="10" t="s">
        <v>41</v>
      </c>
      <c r="B3" s="31" t="s">
        <v>3</v>
      </c>
    </row>
    <row r="4" spans="1:2" x14ac:dyDescent="0.25">
      <c r="A4" s="10" t="s">
        <v>42</v>
      </c>
      <c r="B4" s="31" t="s">
        <v>13</v>
      </c>
    </row>
    <row r="5" spans="1:2" x14ac:dyDescent="0.25">
      <c r="A5" s="10" t="s">
        <v>40</v>
      </c>
      <c r="B5" s="32" t="s">
        <v>52</v>
      </c>
    </row>
    <row r="6" spans="1:2" x14ac:dyDescent="0.25">
      <c r="A6" s="10" t="s">
        <v>11</v>
      </c>
      <c r="B6" s="31">
        <v>24</v>
      </c>
    </row>
    <row r="7" spans="1:2" x14ac:dyDescent="0.25">
      <c r="A7" s="10" t="s">
        <v>12</v>
      </c>
      <c r="B7" s="33">
        <v>46100</v>
      </c>
    </row>
    <row r="8" spans="1:2" x14ac:dyDescent="0.25">
      <c r="A8" s="10" t="s">
        <v>50</v>
      </c>
      <c r="B8" s="33" t="s">
        <v>4</v>
      </c>
    </row>
    <row r="9" spans="1:2" x14ac:dyDescent="0.25">
      <c r="A9" s="10" t="s">
        <v>51</v>
      </c>
      <c r="B9" s="33" t="s">
        <v>46</v>
      </c>
    </row>
    <row r="10" spans="1:2" x14ac:dyDescent="0.25">
      <c r="A10" s="38" t="s">
        <v>16</v>
      </c>
      <c r="B10" s="38"/>
    </row>
    <row r="11" spans="1:2" x14ac:dyDescent="0.25">
      <c r="A11" s="10" t="s">
        <v>43</v>
      </c>
      <c r="B11" s="34">
        <v>0.41666666666666669</v>
      </c>
    </row>
    <row r="12" spans="1:2" x14ac:dyDescent="0.25">
      <c r="A12" s="10" t="s">
        <v>44</v>
      </c>
      <c r="B12" s="34">
        <v>8.3333333333333329E-2</v>
      </c>
    </row>
    <row r="13" spans="1:2" x14ac:dyDescent="0.25">
      <c r="A13" s="10" t="s">
        <v>15</v>
      </c>
      <c r="B13" s="35">
        <v>1</v>
      </c>
    </row>
    <row r="15" spans="1:2" x14ac:dyDescent="0.25">
      <c r="A15" s="10" t="s">
        <v>45</v>
      </c>
      <c r="B15" s="14">
        <f>COUNTA(_xlfn.TEXTSPLIT('FILL ME'!$B$5, ", "))</f>
        <v>2</v>
      </c>
    </row>
    <row r="17" spans="1:4" x14ac:dyDescent="0.25">
      <c r="A17" s="29" t="s">
        <v>28</v>
      </c>
    </row>
    <row r="18" spans="1:4" x14ac:dyDescent="0.25">
      <c r="A18" s="36" t="s">
        <v>39</v>
      </c>
      <c r="B18" s="36"/>
      <c r="C18" s="36"/>
      <c r="D18" s="36"/>
    </row>
    <row r="19" spans="1:4" x14ac:dyDescent="0.25">
      <c r="A19" s="30" t="s">
        <v>47</v>
      </c>
      <c r="B19" s="30"/>
      <c r="C19" s="30"/>
      <c r="D19" s="30"/>
    </row>
    <row r="20" spans="1:4" x14ac:dyDescent="0.25">
      <c r="A20" s="36" t="s">
        <v>48</v>
      </c>
      <c r="B20" s="36"/>
      <c r="C20" s="36"/>
      <c r="D20" s="36"/>
    </row>
    <row r="21" spans="1:4" x14ac:dyDescent="0.25">
      <c r="A21" s="36" t="s">
        <v>53</v>
      </c>
      <c r="B21" s="36"/>
      <c r="C21" s="36"/>
      <c r="D21" s="36"/>
    </row>
    <row r="22" spans="1:4" x14ac:dyDescent="0.25">
      <c r="A22" s="36" t="s">
        <v>49</v>
      </c>
      <c r="B22" s="36"/>
      <c r="C22" s="36"/>
      <c r="D22" s="36"/>
    </row>
  </sheetData>
  <mergeCells count="6">
    <mergeCell ref="A22:D22"/>
    <mergeCell ref="A1:B1"/>
    <mergeCell ref="A10:B10"/>
    <mergeCell ref="A18:D18"/>
    <mergeCell ref="A20:D20"/>
    <mergeCell ref="A21:D21"/>
  </mergeCells>
  <dataValidations count="2">
    <dataValidation type="list" allowBlank="1" showInputMessage="1" showErrorMessage="1" sqref="B9" xr:uid="{C9223F02-615C-40C0-AC22-D5C65C30523D}">
      <formula1>"Bottle Number, Sample Date/Time"</formula1>
    </dataValidation>
    <dataValidation type="list" allowBlank="1" showInputMessage="1" showErrorMessage="1" sqref="B8" xr:uid="{697B2588-1EEA-4F76-8C71-F3744F707BF8}">
      <formula1>"Grab, ISCO"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0D06-FFFB-4E0B-84AE-A424BDF68770}">
  <dimension ref="A1:K321"/>
  <sheetViews>
    <sheetView workbookViewId="0">
      <selection activeCell="F2" sqref="F2"/>
    </sheetView>
  </sheetViews>
  <sheetFormatPr defaultRowHeight="15" x14ac:dyDescent="0.25"/>
  <cols>
    <col min="1" max="3" width="9.140625" style="3"/>
    <col min="4" max="4" width="14" style="3" customWidth="1"/>
    <col min="5" max="5" width="17.28515625" style="3" customWidth="1"/>
    <col min="6" max="6" width="14" style="3" customWidth="1"/>
    <col min="7" max="7" width="14.42578125" style="3" customWidth="1"/>
    <col min="8" max="8" width="9.140625" style="3"/>
    <col min="9" max="9" width="16.85546875" style="14" customWidth="1"/>
    <col min="10" max="10" width="28.7109375" style="14" customWidth="1"/>
    <col min="11" max="11" width="30.140625" style="14" customWidth="1"/>
  </cols>
  <sheetData>
    <row r="1" spans="1:11" s="1" customFormat="1" x14ac:dyDescent="0.25">
      <c r="A1" s="4" t="s">
        <v>6</v>
      </c>
      <c r="B1" s="5" t="s">
        <v>0</v>
      </c>
      <c r="C1" s="4" t="s">
        <v>2</v>
      </c>
      <c r="D1" s="5" t="s">
        <v>7</v>
      </c>
      <c r="E1" s="5" t="s">
        <v>19</v>
      </c>
      <c r="F1" s="5" t="s">
        <v>18</v>
      </c>
      <c r="G1" s="4" t="s">
        <v>14</v>
      </c>
      <c r="H1" s="6" t="s">
        <v>1</v>
      </c>
      <c r="I1" s="16" t="s">
        <v>17</v>
      </c>
      <c r="J1" s="17" t="s">
        <v>8</v>
      </c>
      <c r="K1" s="16" t="s">
        <v>9</v>
      </c>
    </row>
    <row r="2" spans="1:11" x14ac:dyDescent="0.25">
      <c r="A2" s="11" t="str">
        <f>'FILL ME'!$B$8</f>
        <v>ISCO</v>
      </c>
      <c r="B2" t="str">
        <f>IF('FILL ME'!$B$3 = "", "", 'FILL ME'!$B$3)</f>
        <v>WWS</v>
      </c>
      <c r="C2" t="str">
        <f>IF('FILL ME'!$B$4 = "", "", 'FILL ME'!$B$4)</f>
        <v>SSFLAT</v>
      </c>
      <c r="D2" s="11" t="str">
        <f>TEXT('FILL ME'!$B$7,"yyyymmdd")</f>
        <v>20260319</v>
      </c>
      <c r="E2" s="13">
        <f>'FILL ME'!$B$7 + 'FILL ME'!$B$11 + ('FILL ME'!$B$12 * (G2-'FILL ME'!$B$13))</f>
        <v>46100.416666666664</v>
      </c>
      <c r="F2" s="12" t="str">
        <f>IF(A2="Grab","",TEXT(E2,"hh:mm"))</f>
        <v>10:00</v>
      </c>
      <c r="G2" s="3" cm="1">
        <f t="array" ref="G2:G49">MOD(_xlfn.SEQUENCE('FILL ME'!B6*'FILL ME'!B15,,0),'FILL ME'!B6) + 'FILL ME'!B13</f>
        <v>1</v>
      </c>
      <c r="H2" s="3" t="str" cm="1">
        <f t="array" ref="H2:H49">_xlfn.LET(
    _xlpm.items, _xlfn.TEXTSPLIT('FILL ME'!$B$5, ", "),
    _xlpm.x, 'FILL ME'!$B$6,
    INDEX(_xlpm.items, ROUNDUP(_xlfn.SEQUENCE(COUNTA(_xlpm.items)*_xlpm.x)/_xlpm.x, 0))
)</f>
        <v>CMP</v>
      </c>
      <c r="I2" s="14" t="str">
        <f>CONCATENATE(H2,"_",TEXT(G2,"00"))</f>
        <v>CMP_01</v>
      </c>
      <c r="J2" s="15" t="str">
        <f>CONCATENATE(C2,"_", H2,"_",D2,"_",TEXT(G2,"00"))</f>
        <v>SSFLAT_CMP_20260319_01</v>
      </c>
      <c r="K2" s="15" t="str">
        <f>CONCATENATE(C2,"_", H2,"_",TEXT(E2, "yyyymmdd"),"_",TEXT(F2, "hhmm"))</f>
        <v>SSFLAT_CMP_20260319_1000</v>
      </c>
    </row>
    <row r="3" spans="1:11" x14ac:dyDescent="0.25">
      <c r="A3" s="11" t="str">
        <f>'FILL ME'!$B$8</f>
        <v>ISCO</v>
      </c>
      <c r="B3" t="str">
        <f>IF('FILL ME'!$B$3 = "", "", 'FILL ME'!$B$3)</f>
        <v>WWS</v>
      </c>
      <c r="C3" t="str">
        <f>IF('FILL ME'!$B$4 = "", "", 'FILL ME'!$B$4)</f>
        <v>SSFLAT</v>
      </c>
      <c r="D3" s="11" t="str">
        <f>TEXT('FILL ME'!$B$7,"yyyymmdd")</f>
        <v>20260319</v>
      </c>
      <c r="E3" s="13">
        <f>'FILL ME'!$B$7 + 'FILL ME'!$B$11 + ('FILL ME'!$B$12 * (G3-'FILL ME'!$B$13))</f>
        <v>46100.5</v>
      </c>
      <c r="F3" s="12" t="str">
        <f t="shared" ref="F3:F66" si="0">IF(A3="Grab","",TEXT(E3,"hh:mm"))</f>
        <v>12:00</v>
      </c>
      <c r="G3" s="3">
        <v>2</v>
      </c>
      <c r="H3" s="3" t="str">
        <v>CMP</v>
      </c>
      <c r="I3" s="14" t="str">
        <f t="shared" ref="I3:I66" si="1">CONCATENATE(H3,"_",TEXT(G3,"00"))</f>
        <v>CMP_02</v>
      </c>
      <c r="J3" s="15" t="str">
        <f t="shared" ref="J3:J66" si="2">CONCATENATE(C3,"_", H3,"_",D3,"_",TEXT(G3,"00"))</f>
        <v>SSFLAT_CMP_20260319_02</v>
      </c>
      <c r="K3" s="15" t="str">
        <f t="shared" ref="K3:K66" si="3">CONCATENATE(C3,"_", H3,"_",TEXT(E3, "yyyymmdd"),"_",TEXT(F3, "hhmm"))</f>
        <v>SSFLAT_CMP_20260319_1200</v>
      </c>
    </row>
    <row r="4" spans="1:11" x14ac:dyDescent="0.25">
      <c r="A4" s="11" t="str">
        <f>'FILL ME'!$B$8</f>
        <v>ISCO</v>
      </c>
      <c r="B4" t="str">
        <f>IF('FILL ME'!$B$3 = "", "", 'FILL ME'!$B$3)</f>
        <v>WWS</v>
      </c>
      <c r="C4" t="str">
        <f>IF('FILL ME'!$B$4 = "", "", 'FILL ME'!$B$4)</f>
        <v>SSFLAT</v>
      </c>
      <c r="D4" s="11" t="str">
        <f>TEXT('FILL ME'!$B$7,"yyyymmdd")</f>
        <v>20260319</v>
      </c>
      <c r="E4" s="13">
        <f>'FILL ME'!$B$7 + 'FILL ME'!$B$11 + ('FILL ME'!$B$12 * (G4-'FILL ME'!$B$13))</f>
        <v>46100.583333333328</v>
      </c>
      <c r="F4" s="12" t="str">
        <f t="shared" si="0"/>
        <v>14:00</v>
      </c>
      <c r="G4" s="3">
        <v>3</v>
      </c>
      <c r="H4" s="3" t="str">
        <v>CMP</v>
      </c>
      <c r="I4" s="14" t="str">
        <f t="shared" si="1"/>
        <v>CMP_03</v>
      </c>
      <c r="J4" s="15" t="str">
        <f t="shared" si="2"/>
        <v>SSFLAT_CMP_20260319_03</v>
      </c>
      <c r="K4" s="15" t="str">
        <f t="shared" si="3"/>
        <v>SSFLAT_CMP_20260319_1400</v>
      </c>
    </row>
    <row r="5" spans="1:11" x14ac:dyDescent="0.25">
      <c r="A5" s="11" t="str">
        <f>'FILL ME'!$B$8</f>
        <v>ISCO</v>
      </c>
      <c r="B5" t="str">
        <f>IF('FILL ME'!$B$3 = "", "", 'FILL ME'!$B$3)</f>
        <v>WWS</v>
      </c>
      <c r="C5" t="str">
        <f>IF('FILL ME'!$B$4 = "", "", 'FILL ME'!$B$4)</f>
        <v>SSFLAT</v>
      </c>
      <c r="D5" s="11" t="str">
        <f>TEXT('FILL ME'!$B$7,"yyyymmdd")</f>
        <v>20260319</v>
      </c>
      <c r="E5" s="13">
        <f>'FILL ME'!$B$7 + 'FILL ME'!$B$11 + ('FILL ME'!$B$12 * (G5-'FILL ME'!$B$13))</f>
        <v>46100.666666666664</v>
      </c>
      <c r="F5" s="12" t="str">
        <f t="shared" si="0"/>
        <v>16:00</v>
      </c>
      <c r="G5" s="3">
        <v>4</v>
      </c>
      <c r="H5" s="3" t="str">
        <v>CMP</v>
      </c>
      <c r="I5" s="14" t="str">
        <f t="shared" si="1"/>
        <v>CMP_04</v>
      </c>
      <c r="J5" s="15" t="str">
        <f t="shared" si="2"/>
        <v>SSFLAT_CMP_20260319_04</v>
      </c>
      <c r="K5" s="15" t="str">
        <f t="shared" si="3"/>
        <v>SSFLAT_CMP_20260319_1600</v>
      </c>
    </row>
    <row r="6" spans="1:11" x14ac:dyDescent="0.25">
      <c r="A6" s="11" t="str">
        <f>'FILL ME'!$B$8</f>
        <v>ISCO</v>
      </c>
      <c r="B6" t="str">
        <f>IF('FILL ME'!$B$3 = "", "", 'FILL ME'!$B$3)</f>
        <v>WWS</v>
      </c>
      <c r="C6" t="str">
        <f>IF('FILL ME'!$B$4 = "", "", 'FILL ME'!$B$4)</f>
        <v>SSFLAT</v>
      </c>
      <c r="D6" s="11" t="str">
        <f>TEXT('FILL ME'!$B$7,"yyyymmdd")</f>
        <v>20260319</v>
      </c>
      <c r="E6" s="13">
        <f>'FILL ME'!$B$7 + 'FILL ME'!$B$11 + ('FILL ME'!$B$12 * (G6-'FILL ME'!$B$13))</f>
        <v>46100.75</v>
      </c>
      <c r="F6" s="12" t="str">
        <f t="shared" si="0"/>
        <v>18:00</v>
      </c>
      <c r="G6" s="3">
        <v>5</v>
      </c>
      <c r="H6" s="3" t="str">
        <v>CMP</v>
      </c>
      <c r="I6" s="14" t="str">
        <f t="shared" si="1"/>
        <v>CMP_05</v>
      </c>
      <c r="J6" s="15" t="str">
        <f t="shared" si="2"/>
        <v>SSFLAT_CMP_20260319_05</v>
      </c>
      <c r="K6" s="15" t="str">
        <f t="shared" si="3"/>
        <v>SSFLAT_CMP_20260319_1800</v>
      </c>
    </row>
    <row r="7" spans="1:11" x14ac:dyDescent="0.25">
      <c r="A7" s="11" t="str">
        <f>'FILL ME'!$B$8</f>
        <v>ISCO</v>
      </c>
      <c r="B7" t="str">
        <f>IF('FILL ME'!$B$3 = "", "", 'FILL ME'!$B$3)</f>
        <v>WWS</v>
      </c>
      <c r="C7" t="str">
        <f>IF('FILL ME'!$B$4 = "", "", 'FILL ME'!$B$4)</f>
        <v>SSFLAT</v>
      </c>
      <c r="D7" s="11" t="str">
        <f>TEXT('FILL ME'!$B$7,"yyyymmdd")</f>
        <v>20260319</v>
      </c>
      <c r="E7" s="13">
        <f>'FILL ME'!$B$7 + 'FILL ME'!$B$11 + ('FILL ME'!$B$12 * (G7-'FILL ME'!$B$13))</f>
        <v>46100.833333333328</v>
      </c>
      <c r="F7" s="12" t="str">
        <f t="shared" si="0"/>
        <v>20:00</v>
      </c>
      <c r="G7" s="3">
        <v>6</v>
      </c>
      <c r="H7" s="3" t="str">
        <v>CMP</v>
      </c>
      <c r="I7" s="14" t="str">
        <f t="shared" si="1"/>
        <v>CMP_06</v>
      </c>
      <c r="J7" s="15" t="str">
        <f t="shared" si="2"/>
        <v>SSFLAT_CMP_20260319_06</v>
      </c>
      <c r="K7" s="15" t="str">
        <f t="shared" si="3"/>
        <v>SSFLAT_CMP_20260319_2000</v>
      </c>
    </row>
    <row r="8" spans="1:11" x14ac:dyDescent="0.25">
      <c r="A8" s="11" t="str">
        <f>'FILL ME'!$B$8</f>
        <v>ISCO</v>
      </c>
      <c r="B8" t="str">
        <f>IF('FILL ME'!$B$3 = "", "", 'FILL ME'!$B$3)</f>
        <v>WWS</v>
      </c>
      <c r="C8" t="str">
        <f>IF('FILL ME'!$B$4 = "", "", 'FILL ME'!$B$4)</f>
        <v>SSFLAT</v>
      </c>
      <c r="D8" s="11" t="str">
        <f>TEXT('FILL ME'!$B$7,"yyyymmdd")</f>
        <v>20260319</v>
      </c>
      <c r="E8" s="13">
        <f>'FILL ME'!$B$7 + 'FILL ME'!$B$11 + ('FILL ME'!$B$12 * (G8-'FILL ME'!$B$13))</f>
        <v>46100.916666666664</v>
      </c>
      <c r="F8" s="12" t="str">
        <f t="shared" si="0"/>
        <v>22:00</v>
      </c>
      <c r="G8" s="3">
        <v>7</v>
      </c>
      <c r="H8" s="3" t="str">
        <v>CMP</v>
      </c>
      <c r="I8" s="14" t="str">
        <f t="shared" si="1"/>
        <v>CMP_07</v>
      </c>
      <c r="J8" s="15" t="str">
        <f t="shared" si="2"/>
        <v>SSFLAT_CMP_20260319_07</v>
      </c>
      <c r="K8" s="15" t="str">
        <f t="shared" si="3"/>
        <v>SSFLAT_CMP_20260319_2200</v>
      </c>
    </row>
    <row r="9" spans="1:11" x14ac:dyDescent="0.25">
      <c r="A9" s="11" t="str">
        <f>'FILL ME'!$B$8</f>
        <v>ISCO</v>
      </c>
      <c r="B9" t="str">
        <f>IF('FILL ME'!$B$3 = "", "", 'FILL ME'!$B$3)</f>
        <v>WWS</v>
      </c>
      <c r="C9" t="str">
        <f>IF('FILL ME'!$B$4 = "", "", 'FILL ME'!$B$4)</f>
        <v>SSFLAT</v>
      </c>
      <c r="D9" s="11" t="str">
        <f>TEXT('FILL ME'!$B$7,"yyyymmdd")</f>
        <v>20260319</v>
      </c>
      <c r="E9" s="13">
        <f>'FILL ME'!$B$7 + 'FILL ME'!$B$11 + ('FILL ME'!$B$12 * (G9-'FILL ME'!$B$13))</f>
        <v>46101</v>
      </c>
      <c r="F9" s="12" t="str">
        <f t="shared" si="0"/>
        <v>00:00</v>
      </c>
      <c r="G9" s="3">
        <v>8</v>
      </c>
      <c r="H9" s="3" t="str">
        <v>CMP</v>
      </c>
      <c r="I9" s="14" t="str">
        <f t="shared" si="1"/>
        <v>CMP_08</v>
      </c>
      <c r="J9" s="15" t="str">
        <f t="shared" si="2"/>
        <v>SSFLAT_CMP_20260319_08</v>
      </c>
      <c r="K9" s="15" t="str">
        <f t="shared" si="3"/>
        <v>SSFLAT_CMP_20260320_0000</v>
      </c>
    </row>
    <row r="10" spans="1:11" x14ac:dyDescent="0.25">
      <c r="A10" s="11" t="str">
        <f>'FILL ME'!$B$8</f>
        <v>ISCO</v>
      </c>
      <c r="B10" t="str">
        <f>IF('FILL ME'!$B$3 = "", "", 'FILL ME'!$B$3)</f>
        <v>WWS</v>
      </c>
      <c r="C10" t="str">
        <f>IF('FILL ME'!$B$4 = "", "", 'FILL ME'!$B$4)</f>
        <v>SSFLAT</v>
      </c>
      <c r="D10" s="11" t="str">
        <f>TEXT('FILL ME'!$B$7,"yyyymmdd")</f>
        <v>20260319</v>
      </c>
      <c r="E10" s="13">
        <f>'FILL ME'!$B$7 + 'FILL ME'!$B$11 + ('FILL ME'!$B$12 * (G10-'FILL ME'!$B$13))</f>
        <v>46101.083333333328</v>
      </c>
      <c r="F10" s="12" t="str">
        <f t="shared" si="0"/>
        <v>02:00</v>
      </c>
      <c r="G10" s="3">
        <v>9</v>
      </c>
      <c r="H10" s="3" t="str">
        <v>CMP</v>
      </c>
      <c r="I10" s="14" t="str">
        <f t="shared" si="1"/>
        <v>CMP_09</v>
      </c>
      <c r="J10" s="15" t="str">
        <f t="shared" si="2"/>
        <v>SSFLAT_CMP_20260319_09</v>
      </c>
      <c r="K10" s="15" t="str">
        <f t="shared" si="3"/>
        <v>SSFLAT_CMP_20260320_0200</v>
      </c>
    </row>
    <row r="11" spans="1:11" x14ac:dyDescent="0.25">
      <c r="A11" s="11" t="str">
        <f>'FILL ME'!$B$8</f>
        <v>ISCO</v>
      </c>
      <c r="B11" t="str">
        <f>IF('FILL ME'!$B$3 = "", "", 'FILL ME'!$B$3)</f>
        <v>WWS</v>
      </c>
      <c r="C11" t="str">
        <f>IF('FILL ME'!$B$4 = "", "", 'FILL ME'!$B$4)</f>
        <v>SSFLAT</v>
      </c>
      <c r="D11" s="11" t="str">
        <f>TEXT('FILL ME'!$B$7,"yyyymmdd")</f>
        <v>20260319</v>
      </c>
      <c r="E11" s="13">
        <f>'FILL ME'!$B$7 + 'FILL ME'!$B$11 + ('FILL ME'!$B$12 * (G11-'FILL ME'!$B$13))</f>
        <v>46101.166666666664</v>
      </c>
      <c r="F11" s="12" t="str">
        <f t="shared" si="0"/>
        <v>04:00</v>
      </c>
      <c r="G11" s="3">
        <v>10</v>
      </c>
      <c r="H11" s="3" t="str">
        <v>CMP</v>
      </c>
      <c r="I11" s="14" t="str">
        <f t="shared" si="1"/>
        <v>CMP_10</v>
      </c>
      <c r="J11" s="15" t="str">
        <f t="shared" si="2"/>
        <v>SSFLAT_CMP_20260319_10</v>
      </c>
      <c r="K11" s="15" t="str">
        <f t="shared" si="3"/>
        <v>SSFLAT_CMP_20260320_0400</v>
      </c>
    </row>
    <row r="12" spans="1:11" x14ac:dyDescent="0.25">
      <c r="A12" s="11" t="str">
        <f>'FILL ME'!$B$8</f>
        <v>ISCO</v>
      </c>
      <c r="B12" t="str">
        <f>IF('FILL ME'!$B$3 = "", "", 'FILL ME'!$B$3)</f>
        <v>WWS</v>
      </c>
      <c r="C12" t="str">
        <f>IF('FILL ME'!$B$4 = "", "", 'FILL ME'!$B$4)</f>
        <v>SSFLAT</v>
      </c>
      <c r="D12" s="11" t="str">
        <f>TEXT('FILL ME'!$B$7,"yyyymmdd")</f>
        <v>20260319</v>
      </c>
      <c r="E12" s="13">
        <f>'FILL ME'!$B$7 + 'FILL ME'!$B$11 + ('FILL ME'!$B$12 * (G12-'FILL ME'!$B$13))</f>
        <v>46101.25</v>
      </c>
      <c r="F12" s="12" t="str">
        <f t="shared" si="0"/>
        <v>06:00</v>
      </c>
      <c r="G12" s="3">
        <v>11</v>
      </c>
      <c r="H12" s="3" t="str">
        <v>CMP</v>
      </c>
      <c r="I12" s="14" t="str">
        <f t="shared" si="1"/>
        <v>CMP_11</v>
      </c>
      <c r="J12" s="15" t="str">
        <f t="shared" si="2"/>
        <v>SSFLAT_CMP_20260319_11</v>
      </c>
      <c r="K12" s="15" t="str">
        <f t="shared" si="3"/>
        <v>SSFLAT_CMP_20260320_0600</v>
      </c>
    </row>
    <row r="13" spans="1:11" x14ac:dyDescent="0.25">
      <c r="A13" s="11" t="str">
        <f>'FILL ME'!$B$8</f>
        <v>ISCO</v>
      </c>
      <c r="B13" t="str">
        <f>IF('FILL ME'!$B$3 = "", "", 'FILL ME'!$B$3)</f>
        <v>WWS</v>
      </c>
      <c r="C13" t="str">
        <f>IF('FILL ME'!$B$4 = "", "", 'FILL ME'!$B$4)</f>
        <v>SSFLAT</v>
      </c>
      <c r="D13" s="11" t="str">
        <f>TEXT('FILL ME'!$B$7,"yyyymmdd")</f>
        <v>20260319</v>
      </c>
      <c r="E13" s="13">
        <f>'FILL ME'!$B$7 + 'FILL ME'!$B$11 + ('FILL ME'!$B$12 * (G13-'FILL ME'!$B$13))</f>
        <v>46101.333333333328</v>
      </c>
      <c r="F13" s="12" t="str">
        <f t="shared" si="0"/>
        <v>08:00</v>
      </c>
      <c r="G13" s="3">
        <v>12</v>
      </c>
      <c r="H13" s="3" t="str">
        <v>CMP</v>
      </c>
      <c r="I13" s="14" t="str">
        <f t="shared" si="1"/>
        <v>CMP_12</v>
      </c>
      <c r="J13" s="15" t="str">
        <f t="shared" si="2"/>
        <v>SSFLAT_CMP_20260319_12</v>
      </c>
      <c r="K13" s="15" t="str">
        <f t="shared" si="3"/>
        <v>SSFLAT_CMP_20260320_0800</v>
      </c>
    </row>
    <row r="14" spans="1:11" x14ac:dyDescent="0.25">
      <c r="A14" s="11" t="str">
        <f>'FILL ME'!$B$8</f>
        <v>ISCO</v>
      </c>
      <c r="B14" t="str">
        <f>IF('FILL ME'!$B$3 = "", "", 'FILL ME'!$B$3)</f>
        <v>WWS</v>
      </c>
      <c r="C14" t="str">
        <f>IF('FILL ME'!$B$4 = "", "", 'FILL ME'!$B$4)</f>
        <v>SSFLAT</v>
      </c>
      <c r="D14" s="11" t="str">
        <f>TEXT('FILL ME'!$B$7,"yyyymmdd")</f>
        <v>20260319</v>
      </c>
      <c r="E14" s="13">
        <f>'FILL ME'!$B$7 + 'FILL ME'!$B$11 + ('FILL ME'!$B$12 * (G14-'FILL ME'!$B$13))</f>
        <v>46101.416666666664</v>
      </c>
      <c r="F14" s="12" t="str">
        <f t="shared" si="0"/>
        <v>10:00</v>
      </c>
      <c r="G14" s="3">
        <v>13</v>
      </c>
      <c r="H14" s="3" t="str">
        <v>CMP</v>
      </c>
      <c r="I14" s="14" t="str">
        <f t="shared" si="1"/>
        <v>CMP_13</v>
      </c>
      <c r="J14" s="15" t="str">
        <f t="shared" si="2"/>
        <v>SSFLAT_CMP_20260319_13</v>
      </c>
      <c r="K14" s="15" t="str">
        <f t="shared" si="3"/>
        <v>SSFLAT_CMP_20260320_1000</v>
      </c>
    </row>
    <row r="15" spans="1:11" x14ac:dyDescent="0.25">
      <c r="A15" s="11" t="str">
        <f>'FILL ME'!$B$8</f>
        <v>ISCO</v>
      </c>
      <c r="B15" t="str">
        <f>IF('FILL ME'!$B$3 = "", "", 'FILL ME'!$B$3)</f>
        <v>WWS</v>
      </c>
      <c r="C15" t="str">
        <f>IF('FILL ME'!$B$4 = "", "", 'FILL ME'!$B$4)</f>
        <v>SSFLAT</v>
      </c>
      <c r="D15" s="11" t="str">
        <f>TEXT('FILL ME'!$B$7,"yyyymmdd")</f>
        <v>20260319</v>
      </c>
      <c r="E15" s="13">
        <f>'FILL ME'!$B$7 + 'FILL ME'!$B$11 + ('FILL ME'!$B$12 * (G15-'FILL ME'!$B$13))</f>
        <v>46101.5</v>
      </c>
      <c r="F15" s="12" t="str">
        <f t="shared" si="0"/>
        <v>12:00</v>
      </c>
      <c r="G15" s="3">
        <v>14</v>
      </c>
      <c r="H15" s="3" t="str">
        <v>CMP</v>
      </c>
      <c r="I15" s="14" t="str">
        <f t="shared" si="1"/>
        <v>CMP_14</v>
      </c>
      <c r="J15" s="15" t="str">
        <f t="shared" si="2"/>
        <v>SSFLAT_CMP_20260319_14</v>
      </c>
      <c r="K15" s="15" t="str">
        <f t="shared" si="3"/>
        <v>SSFLAT_CMP_20260320_1200</v>
      </c>
    </row>
    <row r="16" spans="1:11" x14ac:dyDescent="0.25">
      <c r="A16" s="11" t="str">
        <f>'FILL ME'!$B$8</f>
        <v>ISCO</v>
      </c>
      <c r="B16" t="str">
        <f>IF('FILL ME'!$B$3 = "", "", 'FILL ME'!$B$3)</f>
        <v>WWS</v>
      </c>
      <c r="C16" t="str">
        <f>IF('FILL ME'!$B$4 = "", "", 'FILL ME'!$B$4)</f>
        <v>SSFLAT</v>
      </c>
      <c r="D16" s="11" t="str">
        <f>TEXT('FILL ME'!$B$7,"yyyymmdd")</f>
        <v>20260319</v>
      </c>
      <c r="E16" s="13">
        <f>'FILL ME'!$B$7 + 'FILL ME'!$B$11 + ('FILL ME'!$B$12 * (G16-'FILL ME'!$B$13))</f>
        <v>46101.583333333328</v>
      </c>
      <c r="F16" s="12" t="str">
        <f t="shared" si="0"/>
        <v>14:00</v>
      </c>
      <c r="G16" s="3">
        <v>15</v>
      </c>
      <c r="H16" s="3" t="str">
        <v>CMP</v>
      </c>
      <c r="I16" s="14" t="str">
        <f t="shared" si="1"/>
        <v>CMP_15</v>
      </c>
      <c r="J16" s="15" t="str">
        <f t="shared" si="2"/>
        <v>SSFLAT_CMP_20260319_15</v>
      </c>
      <c r="K16" s="15" t="str">
        <f t="shared" si="3"/>
        <v>SSFLAT_CMP_20260320_1400</v>
      </c>
    </row>
    <row r="17" spans="1:11" x14ac:dyDescent="0.25">
      <c r="A17" s="11" t="str">
        <f>'FILL ME'!$B$8</f>
        <v>ISCO</v>
      </c>
      <c r="B17" t="str">
        <f>IF('FILL ME'!$B$3 = "", "", 'FILL ME'!$B$3)</f>
        <v>WWS</v>
      </c>
      <c r="C17" t="str">
        <f>IF('FILL ME'!$B$4 = "", "", 'FILL ME'!$B$4)</f>
        <v>SSFLAT</v>
      </c>
      <c r="D17" s="11" t="str">
        <f>TEXT('FILL ME'!$B$7,"yyyymmdd")</f>
        <v>20260319</v>
      </c>
      <c r="E17" s="13">
        <f>'FILL ME'!$B$7 + 'FILL ME'!$B$11 + ('FILL ME'!$B$12 * (G17-'FILL ME'!$B$13))</f>
        <v>46101.666666666664</v>
      </c>
      <c r="F17" s="12" t="str">
        <f t="shared" si="0"/>
        <v>16:00</v>
      </c>
      <c r="G17" s="3">
        <v>16</v>
      </c>
      <c r="H17" s="3" t="str">
        <v>CMP</v>
      </c>
      <c r="I17" s="14" t="str">
        <f t="shared" si="1"/>
        <v>CMP_16</v>
      </c>
      <c r="J17" s="15" t="str">
        <f t="shared" si="2"/>
        <v>SSFLAT_CMP_20260319_16</v>
      </c>
      <c r="K17" s="15" t="str">
        <f t="shared" si="3"/>
        <v>SSFLAT_CMP_20260320_1600</v>
      </c>
    </row>
    <row r="18" spans="1:11" x14ac:dyDescent="0.25">
      <c r="A18" s="11" t="str">
        <f>'FILL ME'!$B$8</f>
        <v>ISCO</v>
      </c>
      <c r="B18" t="str">
        <f>IF('FILL ME'!$B$3 = "", "", 'FILL ME'!$B$3)</f>
        <v>WWS</v>
      </c>
      <c r="C18" t="str">
        <f>IF('FILL ME'!$B$4 = "", "", 'FILL ME'!$B$4)</f>
        <v>SSFLAT</v>
      </c>
      <c r="D18" s="11" t="str">
        <f>TEXT('FILL ME'!$B$7,"yyyymmdd")</f>
        <v>20260319</v>
      </c>
      <c r="E18" s="13">
        <f>'FILL ME'!$B$7 + 'FILL ME'!$B$11 + ('FILL ME'!$B$12 * (G18-'FILL ME'!$B$13))</f>
        <v>46101.75</v>
      </c>
      <c r="F18" s="12" t="str">
        <f t="shared" si="0"/>
        <v>18:00</v>
      </c>
      <c r="G18" s="3">
        <v>17</v>
      </c>
      <c r="H18" s="3" t="str">
        <v>CMP</v>
      </c>
      <c r="I18" s="14" t="str">
        <f t="shared" si="1"/>
        <v>CMP_17</v>
      </c>
      <c r="J18" s="15" t="str">
        <f t="shared" si="2"/>
        <v>SSFLAT_CMP_20260319_17</v>
      </c>
      <c r="K18" s="15" t="str">
        <f t="shared" si="3"/>
        <v>SSFLAT_CMP_20260320_1800</v>
      </c>
    </row>
    <row r="19" spans="1:11" x14ac:dyDescent="0.25">
      <c r="A19" s="11" t="str">
        <f>'FILL ME'!$B$8</f>
        <v>ISCO</v>
      </c>
      <c r="B19" t="str">
        <f>IF('FILL ME'!$B$3 = "", "", 'FILL ME'!$B$3)</f>
        <v>WWS</v>
      </c>
      <c r="C19" t="str">
        <f>IF('FILL ME'!$B$4 = "", "", 'FILL ME'!$B$4)</f>
        <v>SSFLAT</v>
      </c>
      <c r="D19" s="11" t="str">
        <f>TEXT('FILL ME'!$B$7,"yyyymmdd")</f>
        <v>20260319</v>
      </c>
      <c r="E19" s="13">
        <f>'FILL ME'!$B$7 + 'FILL ME'!$B$11 + ('FILL ME'!$B$12 * (G19-'FILL ME'!$B$13))</f>
        <v>46101.833333333328</v>
      </c>
      <c r="F19" s="12" t="str">
        <f t="shared" si="0"/>
        <v>20:00</v>
      </c>
      <c r="G19" s="3">
        <v>18</v>
      </c>
      <c r="H19" s="3" t="str">
        <v>CMP</v>
      </c>
      <c r="I19" s="14" t="str">
        <f t="shared" si="1"/>
        <v>CMP_18</v>
      </c>
      <c r="J19" s="15" t="str">
        <f t="shared" si="2"/>
        <v>SSFLAT_CMP_20260319_18</v>
      </c>
      <c r="K19" s="15" t="str">
        <f t="shared" si="3"/>
        <v>SSFLAT_CMP_20260320_2000</v>
      </c>
    </row>
    <row r="20" spans="1:11" x14ac:dyDescent="0.25">
      <c r="A20" s="11" t="str">
        <f>'FILL ME'!$B$8</f>
        <v>ISCO</v>
      </c>
      <c r="B20" t="str">
        <f>IF('FILL ME'!$B$3 = "", "", 'FILL ME'!$B$3)</f>
        <v>WWS</v>
      </c>
      <c r="C20" t="str">
        <f>IF('FILL ME'!$B$4 = "", "", 'FILL ME'!$B$4)</f>
        <v>SSFLAT</v>
      </c>
      <c r="D20" s="11" t="str">
        <f>TEXT('FILL ME'!$B$7,"yyyymmdd")</f>
        <v>20260319</v>
      </c>
      <c r="E20" s="13">
        <f>'FILL ME'!$B$7 + 'FILL ME'!$B$11 + ('FILL ME'!$B$12 * (G20-'FILL ME'!$B$13))</f>
        <v>46101.916666666664</v>
      </c>
      <c r="F20" s="12" t="str">
        <f t="shared" si="0"/>
        <v>22:00</v>
      </c>
      <c r="G20" s="3">
        <v>19</v>
      </c>
      <c r="H20" s="3" t="str">
        <v>CMP</v>
      </c>
      <c r="I20" s="14" t="str">
        <f t="shared" si="1"/>
        <v>CMP_19</v>
      </c>
      <c r="J20" s="15" t="str">
        <f t="shared" si="2"/>
        <v>SSFLAT_CMP_20260319_19</v>
      </c>
      <c r="K20" s="15" t="str">
        <f t="shared" si="3"/>
        <v>SSFLAT_CMP_20260320_2200</v>
      </c>
    </row>
    <row r="21" spans="1:11" x14ac:dyDescent="0.25">
      <c r="A21" s="11" t="str">
        <f>'FILL ME'!$B$8</f>
        <v>ISCO</v>
      </c>
      <c r="B21" t="str">
        <f>IF('FILL ME'!$B$3 = "", "", 'FILL ME'!$B$3)</f>
        <v>WWS</v>
      </c>
      <c r="C21" t="str">
        <f>IF('FILL ME'!$B$4 = "", "", 'FILL ME'!$B$4)</f>
        <v>SSFLAT</v>
      </c>
      <c r="D21" s="11" t="str">
        <f>TEXT('FILL ME'!$B$7,"yyyymmdd")</f>
        <v>20260319</v>
      </c>
      <c r="E21" s="13">
        <f>'FILL ME'!$B$7 + 'FILL ME'!$B$11 + ('FILL ME'!$B$12 * (G21-'FILL ME'!$B$13))</f>
        <v>46102</v>
      </c>
      <c r="F21" s="12" t="str">
        <f t="shared" si="0"/>
        <v>00:00</v>
      </c>
      <c r="G21" s="3">
        <v>20</v>
      </c>
      <c r="H21" s="3" t="str">
        <v>CMP</v>
      </c>
      <c r="I21" s="14" t="str">
        <f t="shared" si="1"/>
        <v>CMP_20</v>
      </c>
      <c r="J21" s="15" t="str">
        <f t="shared" si="2"/>
        <v>SSFLAT_CMP_20260319_20</v>
      </c>
      <c r="K21" s="15" t="str">
        <f t="shared" si="3"/>
        <v>SSFLAT_CMP_20260321_0000</v>
      </c>
    </row>
    <row r="22" spans="1:11" x14ac:dyDescent="0.25">
      <c r="A22" s="11" t="str">
        <f>'FILL ME'!$B$8</f>
        <v>ISCO</v>
      </c>
      <c r="B22" t="str">
        <f>IF('FILL ME'!$B$3 = "", "", 'FILL ME'!$B$3)</f>
        <v>WWS</v>
      </c>
      <c r="C22" t="str">
        <f>IF('FILL ME'!$B$4 = "", "", 'FILL ME'!$B$4)</f>
        <v>SSFLAT</v>
      </c>
      <c r="D22" s="11" t="str">
        <f>TEXT('FILL ME'!$B$7,"yyyymmdd")</f>
        <v>20260319</v>
      </c>
      <c r="E22" s="13">
        <f>'FILL ME'!$B$7 + 'FILL ME'!$B$11 + ('FILL ME'!$B$12 * (G22-'FILL ME'!$B$13))</f>
        <v>46102.083333333328</v>
      </c>
      <c r="F22" s="12" t="str">
        <f t="shared" si="0"/>
        <v>02:00</v>
      </c>
      <c r="G22" s="3">
        <v>21</v>
      </c>
      <c r="H22" s="3" t="str">
        <v>CMP</v>
      </c>
      <c r="I22" s="14" t="str">
        <f t="shared" si="1"/>
        <v>CMP_21</v>
      </c>
      <c r="J22" s="15" t="str">
        <f t="shared" si="2"/>
        <v>SSFLAT_CMP_20260319_21</v>
      </c>
      <c r="K22" s="15" t="str">
        <f t="shared" si="3"/>
        <v>SSFLAT_CMP_20260321_0200</v>
      </c>
    </row>
    <row r="23" spans="1:11" x14ac:dyDescent="0.25">
      <c r="A23" s="11" t="str">
        <f>'FILL ME'!$B$8</f>
        <v>ISCO</v>
      </c>
      <c r="B23" t="str">
        <f>IF('FILL ME'!$B$3 = "", "", 'FILL ME'!$B$3)</f>
        <v>WWS</v>
      </c>
      <c r="C23" t="str">
        <f>IF('FILL ME'!$B$4 = "", "", 'FILL ME'!$B$4)</f>
        <v>SSFLAT</v>
      </c>
      <c r="D23" s="11" t="str">
        <f>TEXT('FILL ME'!$B$7,"yyyymmdd")</f>
        <v>20260319</v>
      </c>
      <c r="E23" s="13">
        <f>'FILL ME'!$B$7 + 'FILL ME'!$B$11 + ('FILL ME'!$B$12 * (G23-'FILL ME'!$B$13))</f>
        <v>46102.166666666664</v>
      </c>
      <c r="F23" s="12" t="str">
        <f t="shared" si="0"/>
        <v>04:00</v>
      </c>
      <c r="G23" s="3">
        <v>22</v>
      </c>
      <c r="H23" s="3" t="str">
        <v>CMP</v>
      </c>
      <c r="I23" s="14" t="str">
        <f t="shared" si="1"/>
        <v>CMP_22</v>
      </c>
      <c r="J23" s="15" t="str">
        <f t="shared" si="2"/>
        <v>SSFLAT_CMP_20260319_22</v>
      </c>
      <c r="K23" s="15" t="str">
        <f t="shared" si="3"/>
        <v>SSFLAT_CMP_20260321_0400</v>
      </c>
    </row>
    <row r="24" spans="1:11" x14ac:dyDescent="0.25">
      <c r="A24" s="11" t="str">
        <f>'FILL ME'!$B$8</f>
        <v>ISCO</v>
      </c>
      <c r="B24" t="str">
        <f>IF('FILL ME'!$B$3 = "", "", 'FILL ME'!$B$3)</f>
        <v>WWS</v>
      </c>
      <c r="C24" t="str">
        <f>IF('FILL ME'!$B$4 = "", "", 'FILL ME'!$B$4)</f>
        <v>SSFLAT</v>
      </c>
      <c r="D24" s="11" t="str">
        <f>TEXT('FILL ME'!$B$7,"yyyymmdd")</f>
        <v>20260319</v>
      </c>
      <c r="E24" s="13">
        <f>'FILL ME'!$B$7 + 'FILL ME'!$B$11 + ('FILL ME'!$B$12 * (G24-'FILL ME'!$B$13))</f>
        <v>46102.25</v>
      </c>
      <c r="F24" s="12" t="str">
        <f t="shared" si="0"/>
        <v>06:00</v>
      </c>
      <c r="G24" s="3">
        <v>23</v>
      </c>
      <c r="H24" s="3" t="str">
        <v>CMP</v>
      </c>
      <c r="I24" s="14" t="str">
        <f t="shared" si="1"/>
        <v>CMP_23</v>
      </c>
      <c r="J24" s="15" t="str">
        <f t="shared" si="2"/>
        <v>SSFLAT_CMP_20260319_23</v>
      </c>
      <c r="K24" s="15" t="str">
        <f t="shared" si="3"/>
        <v>SSFLAT_CMP_20260321_0600</v>
      </c>
    </row>
    <row r="25" spans="1:11" x14ac:dyDescent="0.25">
      <c r="A25" s="11" t="str">
        <f>'FILL ME'!$B$8</f>
        <v>ISCO</v>
      </c>
      <c r="B25" t="str">
        <f>IF('FILL ME'!$B$3 = "", "", 'FILL ME'!$B$3)</f>
        <v>WWS</v>
      </c>
      <c r="C25" t="str">
        <f>IF('FILL ME'!$B$4 = "", "", 'FILL ME'!$B$4)</f>
        <v>SSFLAT</v>
      </c>
      <c r="D25" s="11" t="str">
        <f>TEXT('FILL ME'!$B$7,"yyyymmdd")</f>
        <v>20260319</v>
      </c>
      <c r="E25" s="13">
        <f>'FILL ME'!$B$7 + 'FILL ME'!$B$11 + ('FILL ME'!$B$12 * (G25-'FILL ME'!$B$13))</f>
        <v>46102.333333333328</v>
      </c>
      <c r="F25" s="12" t="str">
        <f t="shared" si="0"/>
        <v>08:00</v>
      </c>
      <c r="G25" s="3">
        <v>24</v>
      </c>
      <c r="H25" s="3" t="str">
        <v>CMP</v>
      </c>
      <c r="I25" s="14" t="str">
        <f t="shared" si="1"/>
        <v>CMP_24</v>
      </c>
      <c r="J25" s="15" t="str">
        <f t="shared" si="2"/>
        <v>SSFLAT_CMP_20260319_24</v>
      </c>
      <c r="K25" s="15" t="str">
        <f t="shared" si="3"/>
        <v>SSFLAT_CMP_20260321_0800</v>
      </c>
    </row>
    <row r="26" spans="1:11" x14ac:dyDescent="0.25">
      <c r="A26" s="11" t="str">
        <f>'FILL ME'!$B$8</f>
        <v>ISCO</v>
      </c>
      <c r="B26" t="str">
        <f>IF('FILL ME'!$B$3 = "", "", 'FILL ME'!$B$3)</f>
        <v>WWS</v>
      </c>
      <c r="C26" t="str">
        <f>IF('FILL ME'!$B$4 = "", "", 'FILL ME'!$B$4)</f>
        <v>SSFLAT</v>
      </c>
      <c r="D26" s="11" t="str">
        <f>TEXT('FILL ME'!$B$7,"yyyymmdd")</f>
        <v>20260319</v>
      </c>
      <c r="E26" s="13">
        <f>'FILL ME'!$B$7 + 'FILL ME'!$B$11 + ('FILL ME'!$B$12 * (G26-'FILL ME'!$B$13))</f>
        <v>46100.416666666664</v>
      </c>
      <c r="F26" s="12" t="str">
        <f t="shared" si="0"/>
        <v>10:00</v>
      </c>
      <c r="G26" s="3">
        <v>1</v>
      </c>
      <c r="H26" s="3" t="str">
        <v>ALD</v>
      </c>
      <c r="I26" s="14" t="str">
        <f t="shared" si="1"/>
        <v>ALD_01</v>
      </c>
      <c r="J26" s="15" t="str">
        <f t="shared" si="2"/>
        <v>SSFLAT_ALD_20260319_01</v>
      </c>
      <c r="K26" s="15" t="str">
        <f t="shared" si="3"/>
        <v>SSFLAT_ALD_20260319_1000</v>
      </c>
    </row>
    <row r="27" spans="1:11" x14ac:dyDescent="0.25">
      <c r="A27" s="11" t="str">
        <f>'FILL ME'!$B$8</f>
        <v>ISCO</v>
      </c>
      <c r="B27" t="str">
        <f>IF('FILL ME'!$B$3 = "", "", 'FILL ME'!$B$3)</f>
        <v>WWS</v>
      </c>
      <c r="C27" t="str">
        <f>IF('FILL ME'!$B$4 = "", "", 'FILL ME'!$B$4)</f>
        <v>SSFLAT</v>
      </c>
      <c r="D27" s="11" t="str">
        <f>TEXT('FILL ME'!$B$7,"yyyymmdd")</f>
        <v>20260319</v>
      </c>
      <c r="E27" s="13">
        <f>'FILL ME'!$B$7 + 'FILL ME'!$B$11 + ('FILL ME'!$B$12 * (G27-'FILL ME'!$B$13))</f>
        <v>46100.5</v>
      </c>
      <c r="F27" s="12" t="str">
        <f t="shared" si="0"/>
        <v>12:00</v>
      </c>
      <c r="G27" s="3">
        <v>2</v>
      </c>
      <c r="H27" s="3" t="str">
        <v>ALD</v>
      </c>
      <c r="I27" s="14" t="str">
        <f t="shared" si="1"/>
        <v>ALD_02</v>
      </c>
      <c r="J27" s="15" t="str">
        <f t="shared" si="2"/>
        <v>SSFLAT_ALD_20260319_02</v>
      </c>
      <c r="K27" s="15" t="str">
        <f t="shared" si="3"/>
        <v>SSFLAT_ALD_20260319_1200</v>
      </c>
    </row>
    <row r="28" spans="1:11" x14ac:dyDescent="0.25">
      <c r="A28" s="11" t="str">
        <f>'FILL ME'!$B$8</f>
        <v>ISCO</v>
      </c>
      <c r="B28" t="str">
        <f>IF('FILL ME'!$B$3 = "", "", 'FILL ME'!$B$3)</f>
        <v>WWS</v>
      </c>
      <c r="C28" t="str">
        <f>IF('FILL ME'!$B$4 = "", "", 'FILL ME'!$B$4)</f>
        <v>SSFLAT</v>
      </c>
      <c r="D28" s="11" t="str">
        <f>TEXT('FILL ME'!$B$7,"yyyymmdd")</f>
        <v>20260319</v>
      </c>
      <c r="E28" s="13">
        <f>'FILL ME'!$B$7 + 'FILL ME'!$B$11 + ('FILL ME'!$B$12 * (G28-'FILL ME'!$B$13))</f>
        <v>46100.583333333328</v>
      </c>
      <c r="F28" s="12" t="str">
        <f t="shared" si="0"/>
        <v>14:00</v>
      </c>
      <c r="G28" s="3">
        <v>3</v>
      </c>
      <c r="H28" s="3" t="str">
        <v>ALD</v>
      </c>
      <c r="I28" s="14" t="str">
        <f t="shared" si="1"/>
        <v>ALD_03</v>
      </c>
      <c r="J28" s="15" t="str">
        <f t="shared" si="2"/>
        <v>SSFLAT_ALD_20260319_03</v>
      </c>
      <c r="K28" s="15" t="str">
        <f t="shared" si="3"/>
        <v>SSFLAT_ALD_20260319_1400</v>
      </c>
    </row>
    <row r="29" spans="1:11" x14ac:dyDescent="0.25">
      <c r="A29" s="11" t="str">
        <f>'FILL ME'!$B$8</f>
        <v>ISCO</v>
      </c>
      <c r="B29" t="str">
        <f>IF('FILL ME'!$B$3 = "", "", 'FILL ME'!$B$3)</f>
        <v>WWS</v>
      </c>
      <c r="C29" t="str">
        <f>IF('FILL ME'!$B$4 = "", "", 'FILL ME'!$B$4)</f>
        <v>SSFLAT</v>
      </c>
      <c r="D29" s="11" t="str">
        <f>TEXT('FILL ME'!$B$7,"yyyymmdd")</f>
        <v>20260319</v>
      </c>
      <c r="E29" s="13">
        <f>'FILL ME'!$B$7 + 'FILL ME'!$B$11 + ('FILL ME'!$B$12 * (G29-'FILL ME'!$B$13))</f>
        <v>46100.666666666664</v>
      </c>
      <c r="F29" s="12" t="str">
        <f t="shared" si="0"/>
        <v>16:00</v>
      </c>
      <c r="G29" s="3">
        <v>4</v>
      </c>
      <c r="H29" s="3" t="str">
        <v>ALD</v>
      </c>
      <c r="I29" s="14" t="str">
        <f t="shared" si="1"/>
        <v>ALD_04</v>
      </c>
      <c r="J29" s="15" t="str">
        <f t="shared" si="2"/>
        <v>SSFLAT_ALD_20260319_04</v>
      </c>
      <c r="K29" s="15" t="str">
        <f t="shared" si="3"/>
        <v>SSFLAT_ALD_20260319_1600</v>
      </c>
    </row>
    <row r="30" spans="1:11" x14ac:dyDescent="0.25">
      <c r="A30" s="11" t="str">
        <f>'FILL ME'!$B$8</f>
        <v>ISCO</v>
      </c>
      <c r="B30" t="str">
        <f>IF('FILL ME'!$B$3 = "", "", 'FILL ME'!$B$3)</f>
        <v>WWS</v>
      </c>
      <c r="C30" t="str">
        <f>IF('FILL ME'!$B$4 = "", "", 'FILL ME'!$B$4)</f>
        <v>SSFLAT</v>
      </c>
      <c r="D30" s="11" t="str">
        <f>TEXT('FILL ME'!$B$7,"yyyymmdd")</f>
        <v>20260319</v>
      </c>
      <c r="E30" s="13">
        <f>'FILL ME'!$B$7 + 'FILL ME'!$B$11 + ('FILL ME'!$B$12 * (G30-'FILL ME'!$B$13))</f>
        <v>46100.75</v>
      </c>
      <c r="F30" s="12" t="str">
        <f t="shared" si="0"/>
        <v>18:00</v>
      </c>
      <c r="G30" s="3">
        <v>5</v>
      </c>
      <c r="H30" s="3" t="str">
        <v>ALD</v>
      </c>
      <c r="I30" s="14" t="str">
        <f t="shared" si="1"/>
        <v>ALD_05</v>
      </c>
      <c r="J30" s="15" t="str">
        <f t="shared" si="2"/>
        <v>SSFLAT_ALD_20260319_05</v>
      </c>
      <c r="K30" s="15" t="str">
        <f t="shared" si="3"/>
        <v>SSFLAT_ALD_20260319_1800</v>
      </c>
    </row>
    <row r="31" spans="1:11" x14ac:dyDescent="0.25">
      <c r="A31" s="11" t="str">
        <f>'FILL ME'!$B$8</f>
        <v>ISCO</v>
      </c>
      <c r="B31" t="str">
        <f>IF('FILL ME'!$B$3 = "", "", 'FILL ME'!$B$3)</f>
        <v>WWS</v>
      </c>
      <c r="C31" t="str">
        <f>IF('FILL ME'!$B$4 = "", "", 'FILL ME'!$B$4)</f>
        <v>SSFLAT</v>
      </c>
      <c r="D31" s="11" t="str">
        <f>TEXT('FILL ME'!$B$7,"yyyymmdd")</f>
        <v>20260319</v>
      </c>
      <c r="E31" s="13">
        <f>'FILL ME'!$B$7 + 'FILL ME'!$B$11 + ('FILL ME'!$B$12 * (G31-'FILL ME'!$B$13))</f>
        <v>46100.833333333328</v>
      </c>
      <c r="F31" s="12" t="str">
        <f t="shared" si="0"/>
        <v>20:00</v>
      </c>
      <c r="G31" s="3">
        <v>6</v>
      </c>
      <c r="H31" s="3" t="str">
        <v>ALD</v>
      </c>
      <c r="I31" s="14" t="str">
        <f t="shared" si="1"/>
        <v>ALD_06</v>
      </c>
      <c r="J31" s="15" t="str">
        <f t="shared" si="2"/>
        <v>SSFLAT_ALD_20260319_06</v>
      </c>
      <c r="K31" s="15" t="str">
        <f t="shared" si="3"/>
        <v>SSFLAT_ALD_20260319_2000</v>
      </c>
    </row>
    <row r="32" spans="1:11" x14ac:dyDescent="0.25">
      <c r="A32" s="11" t="str">
        <f>'FILL ME'!$B$8</f>
        <v>ISCO</v>
      </c>
      <c r="B32" t="str">
        <f>IF('FILL ME'!$B$3 = "", "", 'FILL ME'!$B$3)</f>
        <v>WWS</v>
      </c>
      <c r="C32" t="str">
        <f>IF('FILL ME'!$B$4 = "", "", 'FILL ME'!$B$4)</f>
        <v>SSFLAT</v>
      </c>
      <c r="D32" s="11" t="str">
        <f>TEXT('FILL ME'!$B$7,"yyyymmdd")</f>
        <v>20260319</v>
      </c>
      <c r="E32" s="13">
        <f>'FILL ME'!$B$7 + 'FILL ME'!$B$11 + ('FILL ME'!$B$12 * (G32-'FILL ME'!$B$13))</f>
        <v>46100.916666666664</v>
      </c>
      <c r="F32" s="12" t="str">
        <f t="shared" si="0"/>
        <v>22:00</v>
      </c>
      <c r="G32" s="3">
        <v>7</v>
      </c>
      <c r="H32" s="3" t="str">
        <v>ALD</v>
      </c>
      <c r="I32" s="14" t="str">
        <f t="shared" si="1"/>
        <v>ALD_07</v>
      </c>
      <c r="J32" s="15" t="str">
        <f t="shared" si="2"/>
        <v>SSFLAT_ALD_20260319_07</v>
      </c>
      <c r="K32" s="15" t="str">
        <f t="shared" si="3"/>
        <v>SSFLAT_ALD_20260319_2200</v>
      </c>
    </row>
    <row r="33" spans="1:11" x14ac:dyDescent="0.25">
      <c r="A33" s="11" t="str">
        <f>'FILL ME'!$B$8</f>
        <v>ISCO</v>
      </c>
      <c r="B33" t="str">
        <f>IF('FILL ME'!$B$3 = "", "", 'FILL ME'!$B$3)</f>
        <v>WWS</v>
      </c>
      <c r="C33" t="str">
        <f>IF('FILL ME'!$B$4 = "", "", 'FILL ME'!$B$4)</f>
        <v>SSFLAT</v>
      </c>
      <c r="D33" s="11" t="str">
        <f>TEXT('FILL ME'!$B$7,"yyyymmdd")</f>
        <v>20260319</v>
      </c>
      <c r="E33" s="13">
        <f>'FILL ME'!$B$7 + 'FILL ME'!$B$11 + ('FILL ME'!$B$12 * (G33-'FILL ME'!$B$13))</f>
        <v>46101</v>
      </c>
      <c r="F33" s="12" t="str">
        <f t="shared" si="0"/>
        <v>00:00</v>
      </c>
      <c r="G33" s="3">
        <v>8</v>
      </c>
      <c r="H33" s="3" t="str">
        <v>ALD</v>
      </c>
      <c r="I33" s="14" t="str">
        <f t="shared" si="1"/>
        <v>ALD_08</v>
      </c>
      <c r="J33" s="15" t="str">
        <f t="shared" si="2"/>
        <v>SSFLAT_ALD_20260319_08</v>
      </c>
      <c r="K33" s="15" t="str">
        <f t="shared" si="3"/>
        <v>SSFLAT_ALD_20260320_0000</v>
      </c>
    </row>
    <row r="34" spans="1:11" x14ac:dyDescent="0.25">
      <c r="A34" s="11" t="str">
        <f>'FILL ME'!$B$8</f>
        <v>ISCO</v>
      </c>
      <c r="B34" t="str">
        <f>IF('FILL ME'!$B$3 = "", "", 'FILL ME'!$B$3)</f>
        <v>WWS</v>
      </c>
      <c r="C34" t="str">
        <f>IF('FILL ME'!$B$4 = "", "", 'FILL ME'!$B$4)</f>
        <v>SSFLAT</v>
      </c>
      <c r="D34" s="11" t="str">
        <f>TEXT('FILL ME'!$B$7,"yyyymmdd")</f>
        <v>20260319</v>
      </c>
      <c r="E34" s="13">
        <f>'FILL ME'!$B$7 + 'FILL ME'!$B$11 + ('FILL ME'!$B$12 * (G34-'FILL ME'!$B$13))</f>
        <v>46101.083333333328</v>
      </c>
      <c r="F34" s="12" t="str">
        <f t="shared" si="0"/>
        <v>02:00</v>
      </c>
      <c r="G34" s="3">
        <v>9</v>
      </c>
      <c r="H34" s="3" t="str">
        <v>ALD</v>
      </c>
      <c r="I34" s="14" t="str">
        <f t="shared" si="1"/>
        <v>ALD_09</v>
      </c>
      <c r="J34" s="15" t="str">
        <f t="shared" si="2"/>
        <v>SSFLAT_ALD_20260319_09</v>
      </c>
      <c r="K34" s="15" t="str">
        <f t="shared" si="3"/>
        <v>SSFLAT_ALD_20260320_0200</v>
      </c>
    </row>
    <row r="35" spans="1:11" x14ac:dyDescent="0.25">
      <c r="A35" s="11" t="str">
        <f>'FILL ME'!$B$8</f>
        <v>ISCO</v>
      </c>
      <c r="B35" t="str">
        <f>IF('FILL ME'!$B$3 = "", "", 'FILL ME'!$B$3)</f>
        <v>WWS</v>
      </c>
      <c r="C35" t="str">
        <f>IF('FILL ME'!$B$4 = "", "", 'FILL ME'!$B$4)</f>
        <v>SSFLAT</v>
      </c>
      <c r="D35" s="11" t="str">
        <f>TEXT('FILL ME'!$B$7,"yyyymmdd")</f>
        <v>20260319</v>
      </c>
      <c r="E35" s="13">
        <f>'FILL ME'!$B$7 + 'FILL ME'!$B$11 + ('FILL ME'!$B$12 * (G35-'FILL ME'!$B$13))</f>
        <v>46101.166666666664</v>
      </c>
      <c r="F35" s="12" t="str">
        <f t="shared" si="0"/>
        <v>04:00</v>
      </c>
      <c r="G35" s="3">
        <v>10</v>
      </c>
      <c r="H35" s="3" t="str">
        <v>ALD</v>
      </c>
      <c r="I35" s="14" t="str">
        <f t="shared" si="1"/>
        <v>ALD_10</v>
      </c>
      <c r="J35" s="15" t="str">
        <f t="shared" si="2"/>
        <v>SSFLAT_ALD_20260319_10</v>
      </c>
      <c r="K35" s="15" t="str">
        <f t="shared" si="3"/>
        <v>SSFLAT_ALD_20260320_0400</v>
      </c>
    </row>
    <row r="36" spans="1:11" x14ac:dyDescent="0.25">
      <c r="A36" s="11" t="str">
        <f>'FILL ME'!$B$8</f>
        <v>ISCO</v>
      </c>
      <c r="B36" t="str">
        <f>IF('FILL ME'!$B$3 = "", "", 'FILL ME'!$B$3)</f>
        <v>WWS</v>
      </c>
      <c r="C36" t="str">
        <f>IF('FILL ME'!$B$4 = "", "", 'FILL ME'!$B$4)</f>
        <v>SSFLAT</v>
      </c>
      <c r="D36" s="11" t="str">
        <f>TEXT('FILL ME'!$B$7,"yyyymmdd")</f>
        <v>20260319</v>
      </c>
      <c r="E36" s="13">
        <f>'FILL ME'!$B$7 + 'FILL ME'!$B$11 + ('FILL ME'!$B$12 * (G36-'FILL ME'!$B$13))</f>
        <v>46101.25</v>
      </c>
      <c r="F36" s="12" t="str">
        <f t="shared" si="0"/>
        <v>06:00</v>
      </c>
      <c r="G36" s="3">
        <v>11</v>
      </c>
      <c r="H36" s="3" t="str">
        <v>ALD</v>
      </c>
      <c r="I36" s="14" t="str">
        <f t="shared" si="1"/>
        <v>ALD_11</v>
      </c>
      <c r="J36" s="15" t="str">
        <f t="shared" si="2"/>
        <v>SSFLAT_ALD_20260319_11</v>
      </c>
      <c r="K36" s="15" t="str">
        <f t="shared" si="3"/>
        <v>SSFLAT_ALD_20260320_0600</v>
      </c>
    </row>
    <row r="37" spans="1:11" x14ac:dyDescent="0.25">
      <c r="A37" s="11" t="str">
        <f>'FILL ME'!$B$8</f>
        <v>ISCO</v>
      </c>
      <c r="B37" t="str">
        <f>IF('FILL ME'!$B$3 = "", "", 'FILL ME'!$B$3)</f>
        <v>WWS</v>
      </c>
      <c r="C37" t="str">
        <f>IF('FILL ME'!$B$4 = "", "", 'FILL ME'!$B$4)</f>
        <v>SSFLAT</v>
      </c>
      <c r="D37" s="11" t="str">
        <f>TEXT('FILL ME'!$B$7,"yyyymmdd")</f>
        <v>20260319</v>
      </c>
      <c r="E37" s="13">
        <f>'FILL ME'!$B$7 + 'FILL ME'!$B$11 + ('FILL ME'!$B$12 * (G37-'FILL ME'!$B$13))</f>
        <v>46101.333333333328</v>
      </c>
      <c r="F37" s="12" t="str">
        <f t="shared" si="0"/>
        <v>08:00</v>
      </c>
      <c r="G37" s="3">
        <v>12</v>
      </c>
      <c r="H37" s="3" t="str">
        <v>ALD</v>
      </c>
      <c r="I37" s="14" t="str">
        <f t="shared" si="1"/>
        <v>ALD_12</v>
      </c>
      <c r="J37" s="15" t="str">
        <f t="shared" si="2"/>
        <v>SSFLAT_ALD_20260319_12</v>
      </c>
      <c r="K37" s="15" t="str">
        <f t="shared" si="3"/>
        <v>SSFLAT_ALD_20260320_0800</v>
      </c>
    </row>
    <row r="38" spans="1:11" x14ac:dyDescent="0.25">
      <c r="A38" s="11" t="str">
        <f>'FILL ME'!$B$8</f>
        <v>ISCO</v>
      </c>
      <c r="B38" t="str">
        <f>IF('FILL ME'!$B$3 = "", "", 'FILL ME'!$B$3)</f>
        <v>WWS</v>
      </c>
      <c r="C38" t="str">
        <f>IF('FILL ME'!$B$4 = "", "", 'FILL ME'!$B$4)</f>
        <v>SSFLAT</v>
      </c>
      <c r="D38" s="11" t="str">
        <f>TEXT('FILL ME'!$B$7,"yyyymmdd")</f>
        <v>20260319</v>
      </c>
      <c r="E38" s="13">
        <f>'FILL ME'!$B$7 + 'FILL ME'!$B$11 + ('FILL ME'!$B$12 * (G38-'FILL ME'!$B$13))</f>
        <v>46101.416666666664</v>
      </c>
      <c r="F38" s="12" t="str">
        <f t="shared" si="0"/>
        <v>10:00</v>
      </c>
      <c r="G38" s="3">
        <v>13</v>
      </c>
      <c r="H38" s="3" t="str">
        <v>ALD</v>
      </c>
      <c r="I38" s="14" t="str">
        <f t="shared" si="1"/>
        <v>ALD_13</v>
      </c>
      <c r="J38" s="15" t="str">
        <f t="shared" si="2"/>
        <v>SSFLAT_ALD_20260319_13</v>
      </c>
      <c r="K38" s="15" t="str">
        <f t="shared" si="3"/>
        <v>SSFLAT_ALD_20260320_1000</v>
      </c>
    </row>
    <row r="39" spans="1:11" x14ac:dyDescent="0.25">
      <c r="A39" s="11" t="str">
        <f>'FILL ME'!$B$8</f>
        <v>ISCO</v>
      </c>
      <c r="B39" t="str">
        <f>IF('FILL ME'!$B$3 = "", "", 'FILL ME'!$B$3)</f>
        <v>WWS</v>
      </c>
      <c r="C39" t="str">
        <f>IF('FILL ME'!$B$4 = "", "", 'FILL ME'!$B$4)</f>
        <v>SSFLAT</v>
      </c>
      <c r="D39" s="11" t="str">
        <f>TEXT('FILL ME'!$B$7,"yyyymmdd")</f>
        <v>20260319</v>
      </c>
      <c r="E39" s="13">
        <f>'FILL ME'!$B$7 + 'FILL ME'!$B$11 + ('FILL ME'!$B$12 * (G39-'FILL ME'!$B$13))</f>
        <v>46101.5</v>
      </c>
      <c r="F39" s="12" t="str">
        <f t="shared" si="0"/>
        <v>12:00</v>
      </c>
      <c r="G39" s="3">
        <v>14</v>
      </c>
      <c r="H39" s="3" t="str">
        <v>ALD</v>
      </c>
      <c r="I39" s="14" t="str">
        <f t="shared" si="1"/>
        <v>ALD_14</v>
      </c>
      <c r="J39" s="15" t="str">
        <f t="shared" si="2"/>
        <v>SSFLAT_ALD_20260319_14</v>
      </c>
      <c r="K39" s="15" t="str">
        <f t="shared" si="3"/>
        <v>SSFLAT_ALD_20260320_1200</v>
      </c>
    </row>
    <row r="40" spans="1:11" x14ac:dyDescent="0.25">
      <c r="A40" s="11" t="str">
        <f>'FILL ME'!$B$8</f>
        <v>ISCO</v>
      </c>
      <c r="B40" t="str">
        <f>IF('FILL ME'!$B$3 = "", "", 'FILL ME'!$B$3)</f>
        <v>WWS</v>
      </c>
      <c r="C40" t="str">
        <f>IF('FILL ME'!$B$4 = "", "", 'FILL ME'!$B$4)</f>
        <v>SSFLAT</v>
      </c>
      <c r="D40" s="11" t="str">
        <f>TEXT('FILL ME'!$B$7,"yyyymmdd")</f>
        <v>20260319</v>
      </c>
      <c r="E40" s="13">
        <f>'FILL ME'!$B$7 + 'FILL ME'!$B$11 + ('FILL ME'!$B$12 * (G40-'FILL ME'!$B$13))</f>
        <v>46101.583333333328</v>
      </c>
      <c r="F40" s="12" t="str">
        <f t="shared" si="0"/>
        <v>14:00</v>
      </c>
      <c r="G40" s="3">
        <v>15</v>
      </c>
      <c r="H40" s="3" t="str">
        <v>ALD</v>
      </c>
      <c r="I40" s="14" t="str">
        <f t="shared" si="1"/>
        <v>ALD_15</v>
      </c>
      <c r="J40" s="15" t="str">
        <f t="shared" si="2"/>
        <v>SSFLAT_ALD_20260319_15</v>
      </c>
      <c r="K40" s="15" t="str">
        <f t="shared" si="3"/>
        <v>SSFLAT_ALD_20260320_1400</v>
      </c>
    </row>
    <row r="41" spans="1:11" x14ac:dyDescent="0.25">
      <c r="A41" s="11" t="str">
        <f>'FILL ME'!$B$8</f>
        <v>ISCO</v>
      </c>
      <c r="B41" t="str">
        <f>IF('FILL ME'!$B$3 = "", "", 'FILL ME'!$B$3)</f>
        <v>WWS</v>
      </c>
      <c r="C41" t="str">
        <f>IF('FILL ME'!$B$4 = "", "", 'FILL ME'!$B$4)</f>
        <v>SSFLAT</v>
      </c>
      <c r="D41" s="11" t="str">
        <f>TEXT('FILL ME'!$B$7,"yyyymmdd")</f>
        <v>20260319</v>
      </c>
      <c r="E41" s="13">
        <f>'FILL ME'!$B$7 + 'FILL ME'!$B$11 + ('FILL ME'!$B$12 * (G41-'FILL ME'!$B$13))</f>
        <v>46101.666666666664</v>
      </c>
      <c r="F41" s="12" t="str">
        <f t="shared" si="0"/>
        <v>16:00</v>
      </c>
      <c r="G41" s="3">
        <v>16</v>
      </c>
      <c r="H41" s="3" t="str">
        <v>ALD</v>
      </c>
      <c r="I41" s="14" t="str">
        <f t="shared" si="1"/>
        <v>ALD_16</v>
      </c>
      <c r="J41" s="15" t="str">
        <f t="shared" si="2"/>
        <v>SSFLAT_ALD_20260319_16</v>
      </c>
      <c r="K41" s="15" t="str">
        <f t="shared" si="3"/>
        <v>SSFLAT_ALD_20260320_1600</v>
      </c>
    </row>
    <row r="42" spans="1:11" x14ac:dyDescent="0.25">
      <c r="A42" s="11" t="str">
        <f>'FILL ME'!$B$8</f>
        <v>ISCO</v>
      </c>
      <c r="B42" t="str">
        <f>IF('FILL ME'!$B$3 = "", "", 'FILL ME'!$B$3)</f>
        <v>WWS</v>
      </c>
      <c r="C42" t="str">
        <f>IF('FILL ME'!$B$4 = "", "", 'FILL ME'!$B$4)</f>
        <v>SSFLAT</v>
      </c>
      <c r="D42" s="11" t="str">
        <f>TEXT('FILL ME'!$B$7,"yyyymmdd")</f>
        <v>20260319</v>
      </c>
      <c r="E42" s="13">
        <f>'FILL ME'!$B$7 + 'FILL ME'!$B$11 + ('FILL ME'!$B$12 * (G42-'FILL ME'!$B$13))</f>
        <v>46101.75</v>
      </c>
      <c r="F42" s="12" t="str">
        <f t="shared" si="0"/>
        <v>18:00</v>
      </c>
      <c r="G42" s="3">
        <v>17</v>
      </c>
      <c r="H42" s="3" t="str">
        <v>ALD</v>
      </c>
      <c r="I42" s="14" t="str">
        <f t="shared" si="1"/>
        <v>ALD_17</v>
      </c>
      <c r="J42" s="15" t="str">
        <f t="shared" si="2"/>
        <v>SSFLAT_ALD_20260319_17</v>
      </c>
      <c r="K42" s="15" t="str">
        <f t="shared" si="3"/>
        <v>SSFLAT_ALD_20260320_1800</v>
      </c>
    </row>
    <row r="43" spans="1:11" x14ac:dyDescent="0.25">
      <c r="A43" s="11" t="str">
        <f>'FILL ME'!$B$8</f>
        <v>ISCO</v>
      </c>
      <c r="B43" t="str">
        <f>IF('FILL ME'!$B$3 = "", "", 'FILL ME'!$B$3)</f>
        <v>WWS</v>
      </c>
      <c r="C43" t="str">
        <f>IF('FILL ME'!$B$4 = "", "", 'FILL ME'!$B$4)</f>
        <v>SSFLAT</v>
      </c>
      <c r="D43" s="11" t="str">
        <f>TEXT('FILL ME'!$B$7,"yyyymmdd")</f>
        <v>20260319</v>
      </c>
      <c r="E43" s="13">
        <f>'FILL ME'!$B$7 + 'FILL ME'!$B$11 + ('FILL ME'!$B$12 * (G43-'FILL ME'!$B$13))</f>
        <v>46101.833333333328</v>
      </c>
      <c r="F43" s="12" t="str">
        <f t="shared" si="0"/>
        <v>20:00</v>
      </c>
      <c r="G43" s="3">
        <v>18</v>
      </c>
      <c r="H43" s="3" t="str">
        <v>ALD</v>
      </c>
      <c r="I43" s="14" t="str">
        <f t="shared" si="1"/>
        <v>ALD_18</v>
      </c>
      <c r="J43" s="15" t="str">
        <f t="shared" si="2"/>
        <v>SSFLAT_ALD_20260319_18</v>
      </c>
      <c r="K43" s="15" t="str">
        <f t="shared" si="3"/>
        <v>SSFLAT_ALD_20260320_2000</v>
      </c>
    </row>
    <row r="44" spans="1:11" x14ac:dyDescent="0.25">
      <c r="A44" s="11" t="str">
        <f>'FILL ME'!$B$8</f>
        <v>ISCO</v>
      </c>
      <c r="B44" t="str">
        <f>IF('FILL ME'!$B$3 = "", "", 'FILL ME'!$B$3)</f>
        <v>WWS</v>
      </c>
      <c r="C44" t="str">
        <f>IF('FILL ME'!$B$4 = "", "", 'FILL ME'!$B$4)</f>
        <v>SSFLAT</v>
      </c>
      <c r="D44" s="11" t="str">
        <f>TEXT('FILL ME'!$B$7,"yyyymmdd")</f>
        <v>20260319</v>
      </c>
      <c r="E44" s="13">
        <f>'FILL ME'!$B$7 + 'FILL ME'!$B$11 + ('FILL ME'!$B$12 * (G44-'FILL ME'!$B$13))</f>
        <v>46101.916666666664</v>
      </c>
      <c r="F44" s="12" t="str">
        <f t="shared" si="0"/>
        <v>22:00</v>
      </c>
      <c r="G44" s="3">
        <v>19</v>
      </c>
      <c r="H44" s="3" t="str">
        <v>ALD</v>
      </c>
      <c r="I44" s="14" t="str">
        <f t="shared" si="1"/>
        <v>ALD_19</v>
      </c>
      <c r="J44" s="15" t="str">
        <f t="shared" si="2"/>
        <v>SSFLAT_ALD_20260319_19</v>
      </c>
      <c r="K44" s="15" t="str">
        <f t="shared" si="3"/>
        <v>SSFLAT_ALD_20260320_2200</v>
      </c>
    </row>
    <row r="45" spans="1:11" x14ac:dyDescent="0.25">
      <c r="A45" s="11" t="str">
        <f>'FILL ME'!$B$8</f>
        <v>ISCO</v>
      </c>
      <c r="B45" t="str">
        <f>IF('FILL ME'!$B$3 = "", "", 'FILL ME'!$B$3)</f>
        <v>WWS</v>
      </c>
      <c r="C45" t="str">
        <f>IF('FILL ME'!$B$4 = "", "", 'FILL ME'!$B$4)</f>
        <v>SSFLAT</v>
      </c>
      <c r="D45" s="11" t="str">
        <f>TEXT('FILL ME'!$B$7,"yyyymmdd")</f>
        <v>20260319</v>
      </c>
      <c r="E45" s="13">
        <f>'FILL ME'!$B$7 + 'FILL ME'!$B$11 + ('FILL ME'!$B$12 * (G45-'FILL ME'!$B$13))</f>
        <v>46102</v>
      </c>
      <c r="F45" s="12" t="str">
        <f t="shared" si="0"/>
        <v>00:00</v>
      </c>
      <c r="G45" s="3">
        <v>20</v>
      </c>
      <c r="H45" s="3" t="str">
        <v>ALD</v>
      </c>
      <c r="I45" s="14" t="str">
        <f t="shared" si="1"/>
        <v>ALD_20</v>
      </c>
      <c r="J45" s="15" t="str">
        <f t="shared" si="2"/>
        <v>SSFLAT_ALD_20260319_20</v>
      </c>
      <c r="K45" s="15" t="str">
        <f t="shared" si="3"/>
        <v>SSFLAT_ALD_20260321_0000</v>
      </c>
    </row>
    <row r="46" spans="1:11" x14ac:dyDescent="0.25">
      <c r="A46" s="11" t="str">
        <f>'FILL ME'!$B$8</f>
        <v>ISCO</v>
      </c>
      <c r="B46" t="str">
        <f>IF('FILL ME'!$B$3 = "", "", 'FILL ME'!$B$3)</f>
        <v>WWS</v>
      </c>
      <c r="C46" t="str">
        <f>IF('FILL ME'!$B$4 = "", "", 'FILL ME'!$B$4)</f>
        <v>SSFLAT</v>
      </c>
      <c r="D46" s="11" t="str">
        <f>TEXT('FILL ME'!$B$7,"yyyymmdd")</f>
        <v>20260319</v>
      </c>
      <c r="E46" s="13">
        <f>'FILL ME'!$B$7 + 'FILL ME'!$B$11 + ('FILL ME'!$B$12 * (G46-'FILL ME'!$B$13))</f>
        <v>46102.083333333328</v>
      </c>
      <c r="F46" s="12" t="str">
        <f t="shared" si="0"/>
        <v>02:00</v>
      </c>
      <c r="G46" s="3">
        <v>21</v>
      </c>
      <c r="H46" s="3" t="str">
        <v>ALD</v>
      </c>
      <c r="I46" s="14" t="str">
        <f t="shared" si="1"/>
        <v>ALD_21</v>
      </c>
      <c r="J46" s="15" t="str">
        <f t="shared" si="2"/>
        <v>SSFLAT_ALD_20260319_21</v>
      </c>
      <c r="K46" s="15" t="str">
        <f t="shared" si="3"/>
        <v>SSFLAT_ALD_20260321_0200</v>
      </c>
    </row>
    <row r="47" spans="1:11" x14ac:dyDescent="0.25">
      <c r="A47" s="11" t="str">
        <f>'FILL ME'!$B$8</f>
        <v>ISCO</v>
      </c>
      <c r="B47" t="str">
        <f>IF('FILL ME'!$B$3 = "", "", 'FILL ME'!$B$3)</f>
        <v>WWS</v>
      </c>
      <c r="C47" t="str">
        <f>IF('FILL ME'!$B$4 = "", "", 'FILL ME'!$B$4)</f>
        <v>SSFLAT</v>
      </c>
      <c r="D47" s="11" t="str">
        <f>TEXT('FILL ME'!$B$7,"yyyymmdd")</f>
        <v>20260319</v>
      </c>
      <c r="E47" s="13">
        <f>'FILL ME'!$B$7 + 'FILL ME'!$B$11 + ('FILL ME'!$B$12 * (G47-'FILL ME'!$B$13))</f>
        <v>46102.166666666664</v>
      </c>
      <c r="F47" s="12" t="str">
        <f t="shared" si="0"/>
        <v>04:00</v>
      </c>
      <c r="G47" s="3">
        <v>22</v>
      </c>
      <c r="H47" s="3" t="str">
        <v>ALD</v>
      </c>
      <c r="I47" s="14" t="str">
        <f t="shared" si="1"/>
        <v>ALD_22</v>
      </c>
      <c r="J47" s="15" t="str">
        <f t="shared" si="2"/>
        <v>SSFLAT_ALD_20260319_22</v>
      </c>
      <c r="K47" s="15" t="str">
        <f t="shared" si="3"/>
        <v>SSFLAT_ALD_20260321_0400</v>
      </c>
    </row>
    <row r="48" spans="1:11" x14ac:dyDescent="0.25">
      <c r="A48" s="11" t="str">
        <f>'FILL ME'!$B$8</f>
        <v>ISCO</v>
      </c>
      <c r="B48" t="str">
        <f>IF('FILL ME'!$B$3 = "", "", 'FILL ME'!$B$3)</f>
        <v>WWS</v>
      </c>
      <c r="C48" t="str">
        <f>IF('FILL ME'!$B$4 = "", "", 'FILL ME'!$B$4)</f>
        <v>SSFLAT</v>
      </c>
      <c r="D48" s="11" t="str">
        <f>TEXT('FILL ME'!$B$7,"yyyymmdd")</f>
        <v>20260319</v>
      </c>
      <c r="E48" s="13">
        <f>'FILL ME'!$B$7 + 'FILL ME'!$B$11 + ('FILL ME'!$B$12 * (G48-'FILL ME'!$B$13))</f>
        <v>46102.25</v>
      </c>
      <c r="F48" s="12" t="str">
        <f t="shared" si="0"/>
        <v>06:00</v>
      </c>
      <c r="G48" s="3">
        <v>23</v>
      </c>
      <c r="H48" s="3" t="str">
        <v>ALD</v>
      </c>
      <c r="I48" s="14" t="str">
        <f t="shared" si="1"/>
        <v>ALD_23</v>
      </c>
      <c r="J48" s="15" t="str">
        <f t="shared" si="2"/>
        <v>SSFLAT_ALD_20260319_23</v>
      </c>
      <c r="K48" s="15" t="str">
        <f t="shared" si="3"/>
        <v>SSFLAT_ALD_20260321_0600</v>
      </c>
    </row>
    <row r="49" spans="1:11" x14ac:dyDescent="0.25">
      <c r="A49" s="11" t="str">
        <f>'FILL ME'!$B$8</f>
        <v>ISCO</v>
      </c>
      <c r="B49" t="str">
        <f>IF('FILL ME'!$B$3 = "", "", 'FILL ME'!$B$3)</f>
        <v>WWS</v>
      </c>
      <c r="C49" t="str">
        <f>IF('FILL ME'!$B$4 = "", "", 'FILL ME'!$B$4)</f>
        <v>SSFLAT</v>
      </c>
      <c r="D49" s="11" t="str">
        <f>TEXT('FILL ME'!$B$7,"yyyymmdd")</f>
        <v>20260319</v>
      </c>
      <c r="E49" s="13">
        <f>'FILL ME'!$B$7 + 'FILL ME'!$B$11 + ('FILL ME'!$B$12 * (G49-'FILL ME'!$B$13))</f>
        <v>46102.333333333328</v>
      </c>
      <c r="F49" s="12" t="str">
        <f t="shared" si="0"/>
        <v>08:00</v>
      </c>
      <c r="G49" s="3">
        <v>24</v>
      </c>
      <c r="H49" s="3" t="str">
        <v>ALD</v>
      </c>
      <c r="I49" s="14" t="str">
        <f t="shared" si="1"/>
        <v>ALD_24</v>
      </c>
      <c r="J49" s="15" t="str">
        <f t="shared" si="2"/>
        <v>SSFLAT_ALD_20260319_24</v>
      </c>
      <c r="K49" s="15" t="str">
        <f t="shared" si="3"/>
        <v>SSFLAT_ALD_20260321_0800</v>
      </c>
    </row>
    <row r="50" spans="1:11" x14ac:dyDescent="0.25">
      <c r="A50" s="11" t="str">
        <f>'FILL ME'!$B$8</f>
        <v>ISCO</v>
      </c>
      <c r="B50" t="str">
        <f>IF('FILL ME'!$B$3 = "", "", 'FILL ME'!$B$3)</f>
        <v>WWS</v>
      </c>
      <c r="C50" t="str">
        <f>IF('FILL ME'!$B$4 = "", "", 'FILL ME'!$B$4)</f>
        <v>SSFLAT</v>
      </c>
      <c r="D50" s="11" t="str">
        <f>TEXT('FILL ME'!$B$7,"yyyymmdd")</f>
        <v>20260319</v>
      </c>
      <c r="E50" s="13">
        <f>'FILL ME'!$B$7 + 'FILL ME'!$B$11 + ('FILL ME'!$B$12 * (G50-'FILL ME'!$B$13))</f>
        <v>46100.333333333328</v>
      </c>
      <c r="F50" s="12" t="str">
        <f t="shared" si="0"/>
        <v>08:00</v>
      </c>
      <c r="G50" s="12"/>
      <c r="I50" s="14" t="str">
        <f t="shared" si="1"/>
        <v>_00</v>
      </c>
      <c r="J50" s="15" t="str">
        <f t="shared" si="2"/>
        <v>SSFLAT__20260319_00</v>
      </c>
      <c r="K50" s="15" t="str">
        <f t="shared" si="3"/>
        <v>SSFLAT__20260319_0800</v>
      </c>
    </row>
    <row r="51" spans="1:11" x14ac:dyDescent="0.25">
      <c r="A51" s="11" t="str">
        <f>'FILL ME'!$B$8</f>
        <v>ISCO</v>
      </c>
      <c r="B51" t="str">
        <f>IF('FILL ME'!$B$3 = "", "", 'FILL ME'!$B$3)</f>
        <v>WWS</v>
      </c>
      <c r="C51" t="str">
        <f>IF('FILL ME'!$B$4 = "", "", 'FILL ME'!$B$4)</f>
        <v>SSFLAT</v>
      </c>
      <c r="D51" s="11" t="str">
        <f>TEXT('FILL ME'!$B$7,"yyyymmdd")</f>
        <v>20260319</v>
      </c>
      <c r="E51" s="13">
        <f>'FILL ME'!$B$7 + 'FILL ME'!$B$11 + ('FILL ME'!$B$12 * (G51-'FILL ME'!$B$13))</f>
        <v>46100.333333333328</v>
      </c>
      <c r="F51" s="12" t="str">
        <f t="shared" si="0"/>
        <v>08:00</v>
      </c>
      <c r="G51" s="12"/>
      <c r="I51" s="14" t="str">
        <f t="shared" si="1"/>
        <v>_00</v>
      </c>
      <c r="J51" s="15" t="str">
        <f t="shared" si="2"/>
        <v>SSFLAT__20260319_00</v>
      </c>
      <c r="K51" s="15" t="str">
        <f t="shared" si="3"/>
        <v>SSFLAT__20260319_0800</v>
      </c>
    </row>
    <row r="52" spans="1:11" x14ac:dyDescent="0.25">
      <c r="A52" s="11" t="str">
        <f>'FILL ME'!$B$8</f>
        <v>ISCO</v>
      </c>
      <c r="B52" t="str">
        <f>IF('FILL ME'!$B$3 = "", "", 'FILL ME'!$B$3)</f>
        <v>WWS</v>
      </c>
      <c r="C52" t="str">
        <f>IF('FILL ME'!$B$4 = "", "", 'FILL ME'!$B$4)</f>
        <v>SSFLAT</v>
      </c>
      <c r="D52" s="11" t="str">
        <f>TEXT('FILL ME'!$B$7,"yyyymmdd")</f>
        <v>20260319</v>
      </c>
      <c r="E52" s="13">
        <f>'FILL ME'!$B$7 + 'FILL ME'!$B$11 + ('FILL ME'!$B$12 * (G52-'FILL ME'!$B$13))</f>
        <v>46100.333333333328</v>
      </c>
      <c r="F52" s="12" t="str">
        <f t="shared" si="0"/>
        <v>08:00</v>
      </c>
      <c r="G52" s="12"/>
      <c r="I52" s="14" t="str">
        <f t="shared" si="1"/>
        <v>_00</v>
      </c>
      <c r="J52" s="15" t="str">
        <f t="shared" si="2"/>
        <v>SSFLAT__20260319_00</v>
      </c>
      <c r="K52" s="15" t="str">
        <f t="shared" si="3"/>
        <v>SSFLAT__20260319_0800</v>
      </c>
    </row>
    <row r="53" spans="1:11" x14ac:dyDescent="0.25">
      <c r="A53" s="11" t="str">
        <f>'FILL ME'!$B$8</f>
        <v>ISCO</v>
      </c>
      <c r="B53" t="str">
        <f>IF('FILL ME'!$B$3 = "", "", 'FILL ME'!$B$3)</f>
        <v>WWS</v>
      </c>
      <c r="C53" t="str">
        <f>IF('FILL ME'!$B$4 = "", "", 'FILL ME'!$B$4)</f>
        <v>SSFLAT</v>
      </c>
      <c r="D53" s="11" t="str">
        <f>TEXT('FILL ME'!$B$7,"yyyymmdd")</f>
        <v>20260319</v>
      </c>
      <c r="E53" s="13">
        <f>'FILL ME'!$B$7 + 'FILL ME'!$B$11 + ('FILL ME'!$B$12 * (G53-'FILL ME'!$B$13))</f>
        <v>46100.333333333328</v>
      </c>
      <c r="F53" s="12" t="str">
        <f t="shared" si="0"/>
        <v>08:00</v>
      </c>
      <c r="G53" s="12"/>
      <c r="I53" s="14" t="str">
        <f t="shared" si="1"/>
        <v>_00</v>
      </c>
      <c r="J53" s="15" t="str">
        <f t="shared" si="2"/>
        <v>SSFLAT__20260319_00</v>
      </c>
      <c r="K53" s="15" t="str">
        <f t="shared" si="3"/>
        <v>SSFLAT__20260319_0800</v>
      </c>
    </row>
    <row r="54" spans="1:11" x14ac:dyDescent="0.25">
      <c r="A54" s="11" t="str">
        <f>'FILL ME'!$B$8</f>
        <v>ISCO</v>
      </c>
      <c r="B54" t="str">
        <f>IF('FILL ME'!$B$3 = "", "", 'FILL ME'!$B$3)</f>
        <v>WWS</v>
      </c>
      <c r="C54" t="str">
        <f>IF('FILL ME'!$B$4 = "", "", 'FILL ME'!$B$4)</f>
        <v>SSFLAT</v>
      </c>
      <c r="D54" s="11" t="str">
        <f>TEXT('FILL ME'!$B$7,"yyyymmdd")</f>
        <v>20260319</v>
      </c>
      <c r="E54" s="13">
        <f>'FILL ME'!$B$7 + 'FILL ME'!$B$11 + ('FILL ME'!$B$12 * (G54-'FILL ME'!$B$13))</f>
        <v>46100.333333333328</v>
      </c>
      <c r="F54" s="12" t="str">
        <f t="shared" si="0"/>
        <v>08:00</v>
      </c>
      <c r="G54" s="12"/>
      <c r="I54" s="14" t="str">
        <f t="shared" si="1"/>
        <v>_00</v>
      </c>
      <c r="J54" s="15" t="str">
        <f t="shared" si="2"/>
        <v>SSFLAT__20260319_00</v>
      </c>
      <c r="K54" s="15" t="str">
        <f t="shared" si="3"/>
        <v>SSFLAT__20260319_0800</v>
      </c>
    </row>
    <row r="55" spans="1:11" x14ac:dyDescent="0.25">
      <c r="A55" s="11" t="str">
        <f>'FILL ME'!$B$8</f>
        <v>ISCO</v>
      </c>
      <c r="B55" t="str">
        <f>IF('FILL ME'!$B$3 = "", "", 'FILL ME'!$B$3)</f>
        <v>WWS</v>
      </c>
      <c r="C55" t="str">
        <f>IF('FILL ME'!$B$4 = "", "", 'FILL ME'!$B$4)</f>
        <v>SSFLAT</v>
      </c>
      <c r="D55" s="11" t="str">
        <f>TEXT('FILL ME'!$B$7,"yyyymmdd")</f>
        <v>20260319</v>
      </c>
      <c r="E55" s="13">
        <f>'FILL ME'!$B$7 + 'FILL ME'!$B$11 + ('FILL ME'!$B$12 * (G55-'FILL ME'!$B$13))</f>
        <v>46100.333333333328</v>
      </c>
      <c r="F55" s="12" t="str">
        <f t="shared" si="0"/>
        <v>08:00</v>
      </c>
      <c r="G55" s="12"/>
      <c r="I55" s="14" t="str">
        <f t="shared" si="1"/>
        <v>_00</v>
      </c>
      <c r="J55" s="15" t="str">
        <f t="shared" si="2"/>
        <v>SSFLAT__20260319_00</v>
      </c>
      <c r="K55" s="15" t="str">
        <f t="shared" si="3"/>
        <v>SSFLAT__20260319_0800</v>
      </c>
    </row>
    <row r="56" spans="1:11" x14ac:dyDescent="0.25">
      <c r="A56" s="11" t="str">
        <f>'FILL ME'!$B$8</f>
        <v>ISCO</v>
      </c>
      <c r="B56" t="str">
        <f>IF('FILL ME'!$B$3 = "", "", 'FILL ME'!$B$3)</f>
        <v>WWS</v>
      </c>
      <c r="C56" t="str">
        <f>IF('FILL ME'!$B$4 = "", "", 'FILL ME'!$B$4)</f>
        <v>SSFLAT</v>
      </c>
      <c r="D56" s="11" t="str">
        <f>TEXT('FILL ME'!$B$7,"yyyymmdd")</f>
        <v>20260319</v>
      </c>
      <c r="E56" s="13">
        <f>'FILL ME'!$B$7 + 'FILL ME'!$B$11 + ('FILL ME'!$B$12 * (G56-'FILL ME'!$B$13))</f>
        <v>46100.333333333328</v>
      </c>
      <c r="F56" s="12" t="str">
        <f t="shared" si="0"/>
        <v>08:00</v>
      </c>
      <c r="G56" s="12"/>
      <c r="I56" s="14" t="str">
        <f t="shared" si="1"/>
        <v>_00</v>
      </c>
      <c r="J56" s="15" t="str">
        <f t="shared" si="2"/>
        <v>SSFLAT__20260319_00</v>
      </c>
      <c r="K56" s="15" t="str">
        <f t="shared" si="3"/>
        <v>SSFLAT__20260319_0800</v>
      </c>
    </row>
    <row r="57" spans="1:11" x14ac:dyDescent="0.25">
      <c r="A57" s="11" t="str">
        <f>'FILL ME'!$B$8</f>
        <v>ISCO</v>
      </c>
      <c r="B57" t="str">
        <f>IF('FILL ME'!$B$3 = "", "", 'FILL ME'!$B$3)</f>
        <v>WWS</v>
      </c>
      <c r="C57" t="str">
        <f>IF('FILL ME'!$B$4 = "", "", 'FILL ME'!$B$4)</f>
        <v>SSFLAT</v>
      </c>
      <c r="D57" s="11" t="str">
        <f>TEXT('FILL ME'!$B$7,"yyyymmdd")</f>
        <v>20260319</v>
      </c>
      <c r="E57" s="13">
        <f>'FILL ME'!$B$7 + 'FILL ME'!$B$11 + ('FILL ME'!$B$12 * (G57-'FILL ME'!$B$13))</f>
        <v>46100.333333333328</v>
      </c>
      <c r="F57" s="12" t="str">
        <f t="shared" si="0"/>
        <v>08:00</v>
      </c>
      <c r="G57" s="12"/>
      <c r="I57" s="14" t="str">
        <f t="shared" si="1"/>
        <v>_00</v>
      </c>
      <c r="J57" s="15" t="str">
        <f t="shared" si="2"/>
        <v>SSFLAT__20260319_00</v>
      </c>
      <c r="K57" s="15" t="str">
        <f t="shared" si="3"/>
        <v>SSFLAT__20260319_0800</v>
      </c>
    </row>
    <row r="58" spans="1:11" x14ac:dyDescent="0.25">
      <c r="A58" s="11" t="str">
        <f>'FILL ME'!$B$8</f>
        <v>ISCO</v>
      </c>
      <c r="B58" t="str">
        <f>IF('FILL ME'!$B$3 = "", "", 'FILL ME'!$B$3)</f>
        <v>WWS</v>
      </c>
      <c r="C58" t="str">
        <f>IF('FILL ME'!$B$4 = "", "", 'FILL ME'!$B$4)</f>
        <v>SSFLAT</v>
      </c>
      <c r="D58" s="11" t="str">
        <f>TEXT('FILL ME'!$B$7,"yyyymmdd")</f>
        <v>20260319</v>
      </c>
      <c r="E58" s="13">
        <f>'FILL ME'!$B$7 + 'FILL ME'!$B$11 + ('FILL ME'!$B$12 * (G58-'FILL ME'!$B$13))</f>
        <v>46100.333333333328</v>
      </c>
      <c r="F58" s="12" t="str">
        <f t="shared" si="0"/>
        <v>08:00</v>
      </c>
      <c r="G58" s="12"/>
      <c r="I58" s="14" t="str">
        <f t="shared" si="1"/>
        <v>_00</v>
      </c>
      <c r="J58" s="15" t="str">
        <f t="shared" si="2"/>
        <v>SSFLAT__20260319_00</v>
      </c>
      <c r="K58" s="15" t="str">
        <f t="shared" si="3"/>
        <v>SSFLAT__20260319_0800</v>
      </c>
    </row>
    <row r="59" spans="1:11" x14ac:dyDescent="0.25">
      <c r="A59" s="11" t="str">
        <f>'FILL ME'!$B$8</f>
        <v>ISCO</v>
      </c>
      <c r="B59" t="str">
        <f>IF('FILL ME'!$B$3 = "", "", 'FILL ME'!$B$3)</f>
        <v>WWS</v>
      </c>
      <c r="C59" t="str">
        <f>IF('FILL ME'!$B$4 = "", "", 'FILL ME'!$B$4)</f>
        <v>SSFLAT</v>
      </c>
      <c r="D59" s="11" t="str">
        <f>TEXT('FILL ME'!$B$7,"yyyymmdd")</f>
        <v>20260319</v>
      </c>
      <c r="E59" s="13">
        <f>'FILL ME'!$B$7 + 'FILL ME'!$B$11 + ('FILL ME'!$B$12 * (G59-'FILL ME'!$B$13))</f>
        <v>46100.333333333328</v>
      </c>
      <c r="F59" s="12" t="str">
        <f t="shared" si="0"/>
        <v>08:00</v>
      </c>
      <c r="G59" s="12"/>
      <c r="I59" s="14" t="str">
        <f t="shared" si="1"/>
        <v>_00</v>
      </c>
      <c r="J59" s="15" t="str">
        <f t="shared" si="2"/>
        <v>SSFLAT__20260319_00</v>
      </c>
      <c r="K59" s="15" t="str">
        <f t="shared" si="3"/>
        <v>SSFLAT__20260319_0800</v>
      </c>
    </row>
    <row r="60" spans="1:11" x14ac:dyDescent="0.25">
      <c r="A60" s="11" t="str">
        <f>'FILL ME'!$B$8</f>
        <v>ISCO</v>
      </c>
      <c r="B60" t="str">
        <f>IF('FILL ME'!$B$3 = "", "", 'FILL ME'!$B$3)</f>
        <v>WWS</v>
      </c>
      <c r="C60" t="str">
        <f>IF('FILL ME'!$B$4 = "", "", 'FILL ME'!$B$4)</f>
        <v>SSFLAT</v>
      </c>
      <c r="D60" s="11" t="str">
        <f>TEXT('FILL ME'!$B$7,"yyyymmdd")</f>
        <v>20260319</v>
      </c>
      <c r="E60" s="13">
        <f>'FILL ME'!$B$7 + 'FILL ME'!$B$11 + ('FILL ME'!$B$12 * (G60-'FILL ME'!$B$13))</f>
        <v>46100.333333333328</v>
      </c>
      <c r="F60" s="12" t="str">
        <f t="shared" si="0"/>
        <v>08:00</v>
      </c>
      <c r="G60" s="12"/>
      <c r="I60" s="14" t="str">
        <f t="shared" si="1"/>
        <v>_00</v>
      </c>
      <c r="J60" s="15" t="str">
        <f t="shared" si="2"/>
        <v>SSFLAT__20260319_00</v>
      </c>
      <c r="K60" s="15" t="str">
        <f t="shared" si="3"/>
        <v>SSFLAT__20260319_0800</v>
      </c>
    </row>
    <row r="61" spans="1:11" x14ac:dyDescent="0.25">
      <c r="A61" s="11" t="str">
        <f>'FILL ME'!$B$8</f>
        <v>ISCO</v>
      </c>
      <c r="B61" t="str">
        <f>IF('FILL ME'!$B$3 = "", "", 'FILL ME'!$B$3)</f>
        <v>WWS</v>
      </c>
      <c r="C61" t="str">
        <f>IF('FILL ME'!$B$4 = "", "", 'FILL ME'!$B$4)</f>
        <v>SSFLAT</v>
      </c>
      <c r="D61" s="11" t="str">
        <f>TEXT('FILL ME'!$B$7,"yyyymmdd")</f>
        <v>20260319</v>
      </c>
      <c r="E61" s="13">
        <f>'FILL ME'!$B$7 + 'FILL ME'!$B$11 + ('FILL ME'!$B$12 * (G61-'FILL ME'!$B$13))</f>
        <v>46100.333333333328</v>
      </c>
      <c r="F61" s="12" t="str">
        <f t="shared" si="0"/>
        <v>08:00</v>
      </c>
      <c r="G61" s="12"/>
      <c r="I61" s="14" t="str">
        <f t="shared" si="1"/>
        <v>_00</v>
      </c>
      <c r="J61" s="15" t="str">
        <f t="shared" si="2"/>
        <v>SSFLAT__20260319_00</v>
      </c>
      <c r="K61" s="15" t="str">
        <f t="shared" si="3"/>
        <v>SSFLAT__20260319_0800</v>
      </c>
    </row>
    <row r="62" spans="1:11" x14ac:dyDescent="0.25">
      <c r="B62" t="str">
        <f>IF('FILL ME'!$B$3 = "", "", 'FILL ME'!$B$3)</f>
        <v>WWS</v>
      </c>
      <c r="C62" t="str">
        <f>IF('FILL ME'!$B$4 = "", "", 'FILL ME'!$B$4)</f>
        <v>SSFLAT</v>
      </c>
      <c r="D62" s="11" t="str">
        <f>TEXT('FILL ME'!$B$7,"yyyymmdd")</f>
        <v>20260319</v>
      </c>
      <c r="E62" s="13">
        <f>'FILL ME'!$B$7 + 'FILL ME'!$B$11 + ('FILL ME'!$B$12 * (G62-'FILL ME'!$B$13))</f>
        <v>46100.333333333328</v>
      </c>
      <c r="F62" s="12" t="str">
        <f t="shared" si="0"/>
        <v>08:00</v>
      </c>
      <c r="G62" s="12"/>
      <c r="I62" s="14" t="str">
        <f t="shared" si="1"/>
        <v>_00</v>
      </c>
      <c r="J62" s="15" t="str">
        <f t="shared" si="2"/>
        <v>SSFLAT__20260319_00</v>
      </c>
      <c r="K62" s="15" t="str">
        <f t="shared" si="3"/>
        <v>SSFLAT__20260319_0800</v>
      </c>
    </row>
    <row r="63" spans="1:11" x14ac:dyDescent="0.25">
      <c r="B63" t="str">
        <f>IF('FILL ME'!$B$3 = "", "", 'FILL ME'!$B$3)</f>
        <v>WWS</v>
      </c>
      <c r="C63" t="str">
        <f>IF('FILL ME'!$B$4 = "", "", 'FILL ME'!$B$4)</f>
        <v>SSFLAT</v>
      </c>
      <c r="D63" s="11" t="str">
        <f>TEXT('FILL ME'!$B$7,"yyyymmdd")</f>
        <v>20260319</v>
      </c>
      <c r="E63" s="13">
        <f>'FILL ME'!$B$7 + 'FILL ME'!$B$11 + ('FILL ME'!$B$12 * (G63-'FILL ME'!$B$13))</f>
        <v>46100.333333333328</v>
      </c>
      <c r="F63" s="12" t="str">
        <f t="shared" si="0"/>
        <v>08:00</v>
      </c>
      <c r="G63" s="12"/>
      <c r="I63" s="14" t="str">
        <f t="shared" si="1"/>
        <v>_00</v>
      </c>
      <c r="J63" s="15" t="str">
        <f t="shared" si="2"/>
        <v>SSFLAT__20260319_00</v>
      </c>
      <c r="K63" s="15" t="str">
        <f t="shared" si="3"/>
        <v>SSFLAT__20260319_0800</v>
      </c>
    </row>
    <row r="64" spans="1:11" x14ac:dyDescent="0.25">
      <c r="B64" t="str">
        <f>IF('FILL ME'!$B$3 = "", "", 'FILL ME'!$B$3)</f>
        <v>WWS</v>
      </c>
      <c r="C64" t="str">
        <f>IF('FILL ME'!$B$4 = "", "", 'FILL ME'!$B$4)</f>
        <v>SSFLAT</v>
      </c>
      <c r="D64" s="11" t="str">
        <f>TEXT('FILL ME'!$B$7,"yyyymmdd")</f>
        <v>20260319</v>
      </c>
      <c r="E64" s="13">
        <f>'FILL ME'!$B$7 + 'FILL ME'!$B$11 + ('FILL ME'!$B$12 * (G64-'FILL ME'!$B$13))</f>
        <v>46100.333333333328</v>
      </c>
      <c r="F64" s="12" t="str">
        <f t="shared" si="0"/>
        <v>08:00</v>
      </c>
      <c r="G64" s="12"/>
      <c r="I64" s="14" t="str">
        <f t="shared" si="1"/>
        <v>_00</v>
      </c>
      <c r="J64" s="15" t="str">
        <f t="shared" si="2"/>
        <v>SSFLAT__20260319_00</v>
      </c>
      <c r="K64" s="15" t="str">
        <f t="shared" si="3"/>
        <v>SSFLAT__20260319_0800</v>
      </c>
    </row>
    <row r="65" spans="2:11" x14ac:dyDescent="0.25">
      <c r="B65" t="str">
        <f>IF('FILL ME'!$B$3 = "", "", 'FILL ME'!$B$3)</f>
        <v>WWS</v>
      </c>
      <c r="C65" t="str">
        <f>IF('FILL ME'!$B$4 = "", "", 'FILL ME'!$B$4)</f>
        <v>SSFLAT</v>
      </c>
      <c r="D65" s="11" t="str">
        <f>TEXT('FILL ME'!$B$7,"yyyymmdd")</f>
        <v>20260319</v>
      </c>
      <c r="E65" s="13">
        <f>'FILL ME'!$B$7 + 'FILL ME'!$B$11 + ('FILL ME'!$B$12 * (G65-'FILL ME'!$B$13))</f>
        <v>46100.333333333328</v>
      </c>
      <c r="F65" s="12" t="str">
        <f t="shared" si="0"/>
        <v>08:00</v>
      </c>
      <c r="G65" s="12"/>
      <c r="I65" s="14" t="str">
        <f t="shared" si="1"/>
        <v>_00</v>
      </c>
      <c r="J65" s="15" t="str">
        <f t="shared" si="2"/>
        <v>SSFLAT__20260319_00</v>
      </c>
      <c r="K65" s="15" t="str">
        <f t="shared" si="3"/>
        <v>SSFLAT__20260319_0800</v>
      </c>
    </row>
    <row r="66" spans="2:11" x14ac:dyDescent="0.25">
      <c r="B66" t="str">
        <f>IF('FILL ME'!$B$3 = "", "", 'FILL ME'!$B$3)</f>
        <v>WWS</v>
      </c>
      <c r="C66" t="str">
        <f>IF('FILL ME'!$B$4 = "", "", 'FILL ME'!$B$4)</f>
        <v>SSFLAT</v>
      </c>
      <c r="D66" s="11" t="str">
        <f>TEXT('FILL ME'!$B$7,"yyyymmdd")</f>
        <v>20260319</v>
      </c>
      <c r="E66" s="13">
        <f>'FILL ME'!$B$7 + 'FILL ME'!$B$11 + ('FILL ME'!$B$12 * (G66-'FILL ME'!$B$13))</f>
        <v>46100.333333333328</v>
      </c>
      <c r="F66" s="12" t="str">
        <f t="shared" si="0"/>
        <v>08:00</v>
      </c>
      <c r="G66" s="12"/>
      <c r="I66" s="14" t="str">
        <f t="shared" si="1"/>
        <v>_00</v>
      </c>
      <c r="J66" s="15" t="str">
        <f t="shared" si="2"/>
        <v>SSFLAT__20260319_00</v>
      </c>
      <c r="K66" s="15" t="str">
        <f t="shared" si="3"/>
        <v>SSFLAT__20260319_0800</v>
      </c>
    </row>
    <row r="67" spans="2:11" x14ac:dyDescent="0.25">
      <c r="B67" t="str">
        <f>IF('FILL ME'!$B$3 = "", "", 'FILL ME'!$B$3)</f>
        <v>WWS</v>
      </c>
      <c r="C67" t="str">
        <f>IF('FILL ME'!$B$4 = "", "", 'FILL ME'!$B$4)</f>
        <v>SSFLAT</v>
      </c>
      <c r="D67" s="11" t="str">
        <f>TEXT('FILL ME'!$B$7,"yyyymmdd")</f>
        <v>20260319</v>
      </c>
      <c r="E67" s="13">
        <f>'FILL ME'!$B$7 + 'FILL ME'!$B$11 + ('FILL ME'!$B$12 * (G67-'FILL ME'!$B$13))</f>
        <v>46100.333333333328</v>
      </c>
      <c r="F67" s="12" t="str">
        <f t="shared" ref="F67:F130" si="4">IF(A67="Grab","",TEXT(E67,"hh:mm"))</f>
        <v>08:00</v>
      </c>
      <c r="G67" s="12"/>
      <c r="I67" s="14" t="str">
        <f t="shared" ref="I67:I130" si="5">CONCATENATE(H67,"_",TEXT(G67,"00"))</f>
        <v>_00</v>
      </c>
      <c r="J67" s="15" t="str">
        <f t="shared" ref="J67:J130" si="6">CONCATENATE(C67,"_", H67,"_",D67,"_",TEXT(G67,"00"))</f>
        <v>SSFLAT__20260319_00</v>
      </c>
      <c r="K67" s="15" t="str">
        <f t="shared" ref="K67:K130" si="7">CONCATENATE(C67,"_", H67,"_",TEXT(E67, "yyyymmdd"),"_",TEXT(F67, "hhmm"))</f>
        <v>SSFLAT__20260319_0800</v>
      </c>
    </row>
    <row r="68" spans="2:11" x14ac:dyDescent="0.25">
      <c r="B68" t="str">
        <f>IF('FILL ME'!$B$3 = "", "", 'FILL ME'!$B$3)</f>
        <v>WWS</v>
      </c>
      <c r="C68" t="str">
        <f>IF('FILL ME'!$B$4 = "", "", 'FILL ME'!$B$4)</f>
        <v>SSFLAT</v>
      </c>
      <c r="D68" s="11" t="str">
        <f>TEXT('FILL ME'!$B$7,"yyyymmdd")</f>
        <v>20260319</v>
      </c>
      <c r="E68" s="13">
        <f>'FILL ME'!$B$7 + 'FILL ME'!$B$11 + ('FILL ME'!$B$12 * (G68-'FILL ME'!$B$13))</f>
        <v>46100.333333333328</v>
      </c>
      <c r="F68" s="12" t="str">
        <f t="shared" si="4"/>
        <v>08:00</v>
      </c>
      <c r="G68" s="12"/>
      <c r="I68" s="14" t="str">
        <f t="shared" si="5"/>
        <v>_00</v>
      </c>
      <c r="J68" s="15" t="str">
        <f t="shared" si="6"/>
        <v>SSFLAT__20260319_00</v>
      </c>
      <c r="K68" s="15" t="str">
        <f t="shared" si="7"/>
        <v>SSFLAT__20260319_0800</v>
      </c>
    </row>
    <row r="69" spans="2:11" x14ac:dyDescent="0.25">
      <c r="B69" t="str">
        <f>IF('FILL ME'!$B$3 = "", "", 'FILL ME'!$B$3)</f>
        <v>WWS</v>
      </c>
      <c r="C69" t="str">
        <f>IF('FILL ME'!$B$4 = "", "", 'FILL ME'!$B$4)</f>
        <v>SSFLAT</v>
      </c>
      <c r="D69" s="11" t="str">
        <f>TEXT('FILL ME'!$B$7,"yyyymmdd")</f>
        <v>20260319</v>
      </c>
      <c r="E69" s="13">
        <f>'FILL ME'!$B$7 + 'FILL ME'!$B$11 + ('FILL ME'!$B$12 * (G69-'FILL ME'!$B$13))</f>
        <v>46100.333333333328</v>
      </c>
      <c r="F69" s="12" t="str">
        <f t="shared" si="4"/>
        <v>08:00</v>
      </c>
      <c r="G69" s="12"/>
      <c r="I69" s="14" t="str">
        <f t="shared" si="5"/>
        <v>_00</v>
      </c>
      <c r="J69" s="15" t="str">
        <f t="shared" si="6"/>
        <v>SSFLAT__20260319_00</v>
      </c>
      <c r="K69" s="15" t="str">
        <f t="shared" si="7"/>
        <v>SSFLAT__20260319_0800</v>
      </c>
    </row>
    <row r="70" spans="2:11" x14ac:dyDescent="0.25">
      <c r="B70" t="str">
        <f>IF('FILL ME'!$B$3 = "", "", 'FILL ME'!$B$3)</f>
        <v>WWS</v>
      </c>
      <c r="C70" t="str">
        <f>IF('FILL ME'!$B$4 = "", "", 'FILL ME'!$B$4)</f>
        <v>SSFLAT</v>
      </c>
      <c r="D70" s="11" t="str">
        <f>TEXT('FILL ME'!$B$7,"yyyymmdd")</f>
        <v>20260319</v>
      </c>
      <c r="E70" s="13">
        <f>'FILL ME'!$B$7 + 'FILL ME'!$B$11 + ('FILL ME'!$B$12 * (G70-'FILL ME'!$B$13))</f>
        <v>46100.333333333328</v>
      </c>
      <c r="F70" s="12" t="str">
        <f t="shared" si="4"/>
        <v>08:00</v>
      </c>
      <c r="G70" s="12"/>
      <c r="I70" s="14" t="str">
        <f t="shared" si="5"/>
        <v>_00</v>
      </c>
      <c r="J70" s="15" t="str">
        <f t="shared" si="6"/>
        <v>SSFLAT__20260319_00</v>
      </c>
      <c r="K70" s="15" t="str">
        <f t="shared" si="7"/>
        <v>SSFLAT__20260319_0800</v>
      </c>
    </row>
    <row r="71" spans="2:11" x14ac:dyDescent="0.25">
      <c r="B71" t="str">
        <f>IF('FILL ME'!$B$3 = "", "", 'FILL ME'!$B$3)</f>
        <v>WWS</v>
      </c>
      <c r="C71" t="str">
        <f>IF('FILL ME'!$B$4 = "", "", 'FILL ME'!$B$4)</f>
        <v>SSFLAT</v>
      </c>
      <c r="D71" s="11" t="str">
        <f>TEXT('FILL ME'!$B$7,"yyyymmdd")</f>
        <v>20260319</v>
      </c>
      <c r="E71" s="13">
        <f>'FILL ME'!$B$7 + 'FILL ME'!$B$11 + ('FILL ME'!$B$12 * (G71-'FILL ME'!$B$13))</f>
        <v>46100.333333333328</v>
      </c>
      <c r="F71" s="12" t="str">
        <f t="shared" si="4"/>
        <v>08:00</v>
      </c>
      <c r="G71" s="12"/>
      <c r="I71" s="14" t="str">
        <f t="shared" si="5"/>
        <v>_00</v>
      </c>
      <c r="J71" s="15" t="str">
        <f t="shared" si="6"/>
        <v>SSFLAT__20260319_00</v>
      </c>
      <c r="K71" s="15" t="str">
        <f t="shared" si="7"/>
        <v>SSFLAT__20260319_0800</v>
      </c>
    </row>
    <row r="72" spans="2:11" x14ac:dyDescent="0.25">
      <c r="B72" t="str">
        <f>IF('FILL ME'!$B$3 = "", "", 'FILL ME'!$B$3)</f>
        <v>WWS</v>
      </c>
      <c r="C72" t="str">
        <f>IF('FILL ME'!$B$4 = "", "", 'FILL ME'!$B$4)</f>
        <v>SSFLAT</v>
      </c>
      <c r="D72" s="11" t="str">
        <f>TEXT('FILL ME'!$B$7,"yyyymmdd")</f>
        <v>20260319</v>
      </c>
      <c r="E72" s="13">
        <f>'FILL ME'!$B$7 + 'FILL ME'!$B$11 + ('FILL ME'!$B$12 * (G72-'FILL ME'!$B$13))</f>
        <v>46100.333333333328</v>
      </c>
      <c r="F72" s="12" t="str">
        <f t="shared" si="4"/>
        <v>08:00</v>
      </c>
      <c r="G72" s="12"/>
      <c r="I72" s="14" t="str">
        <f t="shared" si="5"/>
        <v>_00</v>
      </c>
      <c r="J72" s="15" t="str">
        <f t="shared" si="6"/>
        <v>SSFLAT__20260319_00</v>
      </c>
      <c r="K72" s="15" t="str">
        <f t="shared" si="7"/>
        <v>SSFLAT__20260319_0800</v>
      </c>
    </row>
    <row r="73" spans="2:11" x14ac:dyDescent="0.25">
      <c r="B73" t="str">
        <f>IF('FILL ME'!$B$3 = "", "", 'FILL ME'!$B$3)</f>
        <v>WWS</v>
      </c>
      <c r="C73" t="str">
        <f>IF('FILL ME'!$B$4 = "", "", 'FILL ME'!$B$4)</f>
        <v>SSFLAT</v>
      </c>
      <c r="D73" s="11" t="str">
        <f>TEXT('FILL ME'!$B$7,"yyyymmdd")</f>
        <v>20260319</v>
      </c>
      <c r="E73" s="13">
        <f>'FILL ME'!$B$7 + 'FILL ME'!$B$11 + ('FILL ME'!$B$12 * (G73-'FILL ME'!$B$13))</f>
        <v>46100.333333333328</v>
      </c>
      <c r="F73" s="12" t="str">
        <f t="shared" si="4"/>
        <v>08:00</v>
      </c>
      <c r="G73" s="12"/>
      <c r="I73" s="14" t="str">
        <f t="shared" si="5"/>
        <v>_00</v>
      </c>
      <c r="J73" s="15" t="str">
        <f t="shared" si="6"/>
        <v>SSFLAT__20260319_00</v>
      </c>
      <c r="K73" s="15" t="str">
        <f t="shared" si="7"/>
        <v>SSFLAT__20260319_0800</v>
      </c>
    </row>
    <row r="74" spans="2:11" x14ac:dyDescent="0.25">
      <c r="B74" t="str">
        <f>IF('FILL ME'!$B$3 = "", "", 'FILL ME'!$B$3)</f>
        <v>WWS</v>
      </c>
      <c r="C74" t="str">
        <f>IF('FILL ME'!$B$4 = "", "", 'FILL ME'!$B$4)</f>
        <v>SSFLAT</v>
      </c>
      <c r="D74" s="11" t="str">
        <f>TEXT('FILL ME'!$B$7,"yyyymmdd")</f>
        <v>20260319</v>
      </c>
      <c r="E74" s="13">
        <f>'FILL ME'!$B$7 + 'FILL ME'!$B$11 + ('FILL ME'!$B$12 * (G74-'FILL ME'!$B$13))</f>
        <v>46100.333333333328</v>
      </c>
      <c r="F74" s="12" t="str">
        <f t="shared" si="4"/>
        <v>08:00</v>
      </c>
      <c r="G74" s="12"/>
      <c r="I74" s="14" t="str">
        <f t="shared" si="5"/>
        <v>_00</v>
      </c>
      <c r="J74" s="15" t="str">
        <f t="shared" si="6"/>
        <v>SSFLAT__20260319_00</v>
      </c>
      <c r="K74" s="15" t="str">
        <f t="shared" si="7"/>
        <v>SSFLAT__20260319_0800</v>
      </c>
    </row>
    <row r="75" spans="2:11" x14ac:dyDescent="0.25">
      <c r="B75" t="str">
        <f>IF('FILL ME'!$B$3 = "", "", 'FILL ME'!$B$3)</f>
        <v>WWS</v>
      </c>
      <c r="C75" t="str">
        <f>IF('FILL ME'!$B$4 = "", "", 'FILL ME'!$B$4)</f>
        <v>SSFLAT</v>
      </c>
      <c r="D75" s="11" t="str">
        <f>TEXT('FILL ME'!$B$7,"yyyymmdd")</f>
        <v>20260319</v>
      </c>
      <c r="E75" s="13">
        <f>'FILL ME'!$B$7 + 'FILL ME'!$B$11 + ('FILL ME'!$B$12 * (G75-'FILL ME'!$B$13))</f>
        <v>46100.333333333328</v>
      </c>
      <c r="F75" s="12" t="str">
        <f t="shared" si="4"/>
        <v>08:00</v>
      </c>
      <c r="G75" s="12"/>
      <c r="I75" s="14" t="str">
        <f t="shared" si="5"/>
        <v>_00</v>
      </c>
      <c r="J75" s="15" t="str">
        <f t="shared" si="6"/>
        <v>SSFLAT__20260319_00</v>
      </c>
      <c r="K75" s="15" t="str">
        <f t="shared" si="7"/>
        <v>SSFLAT__20260319_0800</v>
      </c>
    </row>
    <row r="76" spans="2:11" x14ac:dyDescent="0.25">
      <c r="B76" t="str">
        <f>IF('FILL ME'!$B$3 = "", "", 'FILL ME'!$B$3)</f>
        <v>WWS</v>
      </c>
      <c r="C76" t="str">
        <f>IF('FILL ME'!$B$4 = "", "", 'FILL ME'!$B$4)</f>
        <v>SSFLAT</v>
      </c>
      <c r="D76" s="11" t="str">
        <f>TEXT('FILL ME'!$B$7,"yyyymmdd")</f>
        <v>20260319</v>
      </c>
      <c r="E76" s="13">
        <f>'FILL ME'!$B$7 + 'FILL ME'!$B$11 + ('FILL ME'!$B$12 * (G76-'FILL ME'!$B$13))</f>
        <v>46100.333333333328</v>
      </c>
      <c r="F76" s="12" t="str">
        <f t="shared" si="4"/>
        <v>08:00</v>
      </c>
      <c r="G76" s="12"/>
      <c r="I76" s="14" t="str">
        <f t="shared" si="5"/>
        <v>_00</v>
      </c>
      <c r="J76" s="15" t="str">
        <f t="shared" si="6"/>
        <v>SSFLAT__20260319_00</v>
      </c>
      <c r="K76" s="15" t="str">
        <f t="shared" si="7"/>
        <v>SSFLAT__20260319_0800</v>
      </c>
    </row>
    <row r="77" spans="2:11" x14ac:dyDescent="0.25">
      <c r="B77" t="str">
        <f>IF('FILL ME'!$B$3 = "", "", 'FILL ME'!$B$3)</f>
        <v>WWS</v>
      </c>
      <c r="C77" t="str">
        <f>IF('FILL ME'!$B$4 = "", "", 'FILL ME'!$B$4)</f>
        <v>SSFLAT</v>
      </c>
      <c r="D77" s="11" t="str">
        <f>TEXT('FILL ME'!$B$7,"yyyymmdd")</f>
        <v>20260319</v>
      </c>
      <c r="E77" s="13">
        <f>'FILL ME'!$B$7 + 'FILL ME'!$B$11 + ('FILL ME'!$B$12 * (G77-'FILL ME'!$B$13))</f>
        <v>46100.333333333328</v>
      </c>
      <c r="F77" s="12" t="str">
        <f t="shared" si="4"/>
        <v>08:00</v>
      </c>
      <c r="G77" s="12"/>
      <c r="I77" s="14" t="str">
        <f t="shared" si="5"/>
        <v>_00</v>
      </c>
      <c r="J77" s="15" t="str">
        <f t="shared" si="6"/>
        <v>SSFLAT__20260319_00</v>
      </c>
      <c r="K77" s="15" t="str">
        <f t="shared" si="7"/>
        <v>SSFLAT__20260319_0800</v>
      </c>
    </row>
    <row r="78" spans="2:11" x14ac:dyDescent="0.25">
      <c r="B78" t="str">
        <f>IF('FILL ME'!$B$3 = "", "", 'FILL ME'!$B$3)</f>
        <v>WWS</v>
      </c>
      <c r="C78" t="str">
        <f>IF('FILL ME'!$B$4 = "", "", 'FILL ME'!$B$4)</f>
        <v>SSFLAT</v>
      </c>
      <c r="D78" s="11" t="str">
        <f>TEXT('FILL ME'!$B$7,"yyyymmdd")</f>
        <v>20260319</v>
      </c>
      <c r="E78" s="13">
        <f>'FILL ME'!$B$7 + 'FILL ME'!$B$11 + ('FILL ME'!$B$12 * (G78-'FILL ME'!$B$13))</f>
        <v>46100.333333333328</v>
      </c>
      <c r="F78" s="12" t="str">
        <f t="shared" si="4"/>
        <v>08:00</v>
      </c>
      <c r="G78" s="12"/>
      <c r="I78" s="14" t="str">
        <f t="shared" si="5"/>
        <v>_00</v>
      </c>
      <c r="J78" s="15" t="str">
        <f t="shared" si="6"/>
        <v>SSFLAT__20260319_00</v>
      </c>
      <c r="K78" s="15" t="str">
        <f t="shared" si="7"/>
        <v>SSFLAT__20260319_0800</v>
      </c>
    </row>
    <row r="79" spans="2:11" x14ac:dyDescent="0.25">
      <c r="B79" t="str">
        <f>IF('FILL ME'!$B$3 = "", "", 'FILL ME'!$B$3)</f>
        <v>WWS</v>
      </c>
      <c r="C79" t="str">
        <f>IF('FILL ME'!$B$4 = "", "", 'FILL ME'!$B$4)</f>
        <v>SSFLAT</v>
      </c>
      <c r="D79" s="11" t="str">
        <f>TEXT('FILL ME'!$B$7,"yyyymmdd")</f>
        <v>20260319</v>
      </c>
      <c r="E79" s="13">
        <f>'FILL ME'!$B$7 + 'FILL ME'!$B$11 + ('FILL ME'!$B$12 * (G79-'FILL ME'!$B$13))</f>
        <v>46100.333333333328</v>
      </c>
      <c r="F79" s="12" t="str">
        <f t="shared" si="4"/>
        <v>08:00</v>
      </c>
      <c r="G79" s="12"/>
      <c r="I79" s="14" t="str">
        <f t="shared" si="5"/>
        <v>_00</v>
      </c>
      <c r="J79" s="15" t="str">
        <f t="shared" si="6"/>
        <v>SSFLAT__20260319_00</v>
      </c>
      <c r="K79" s="15" t="str">
        <f t="shared" si="7"/>
        <v>SSFLAT__20260319_0800</v>
      </c>
    </row>
    <row r="80" spans="2:11" x14ac:dyDescent="0.25">
      <c r="B80" t="str">
        <f>IF('FILL ME'!$B$3 = "", "", 'FILL ME'!$B$3)</f>
        <v>WWS</v>
      </c>
      <c r="C80" t="str">
        <f>IF('FILL ME'!$B$4 = "", "", 'FILL ME'!$B$4)</f>
        <v>SSFLAT</v>
      </c>
      <c r="D80" s="11" t="str">
        <f>TEXT('FILL ME'!$B$7,"yyyymmdd")</f>
        <v>20260319</v>
      </c>
      <c r="E80" s="13">
        <f>'FILL ME'!$B$7 + 'FILL ME'!$B$11 + ('FILL ME'!$B$12 * (G80-'FILL ME'!$B$13))</f>
        <v>46100.333333333328</v>
      </c>
      <c r="F80" s="12" t="str">
        <f t="shared" si="4"/>
        <v>08:00</v>
      </c>
      <c r="G80" s="12"/>
      <c r="I80" s="14" t="str">
        <f t="shared" si="5"/>
        <v>_00</v>
      </c>
      <c r="J80" s="15" t="str">
        <f t="shared" si="6"/>
        <v>SSFLAT__20260319_00</v>
      </c>
      <c r="K80" s="15" t="str">
        <f t="shared" si="7"/>
        <v>SSFLAT__20260319_0800</v>
      </c>
    </row>
    <row r="81" spans="2:11" x14ac:dyDescent="0.25">
      <c r="B81" t="str">
        <f>IF('FILL ME'!$B$3 = "", "", 'FILL ME'!$B$3)</f>
        <v>WWS</v>
      </c>
      <c r="C81" t="str">
        <f>IF('FILL ME'!$B$4 = "", "", 'FILL ME'!$B$4)</f>
        <v>SSFLAT</v>
      </c>
      <c r="D81" s="11" t="str">
        <f>TEXT('FILL ME'!$B$7,"yyyymmdd")</f>
        <v>20260319</v>
      </c>
      <c r="E81" s="13">
        <f>'FILL ME'!$B$7 + 'FILL ME'!$B$11 + ('FILL ME'!$B$12 * (G81-'FILL ME'!$B$13))</f>
        <v>46100.333333333328</v>
      </c>
      <c r="F81" s="12" t="str">
        <f t="shared" si="4"/>
        <v>08:00</v>
      </c>
      <c r="G81" s="12"/>
      <c r="I81" s="14" t="str">
        <f t="shared" si="5"/>
        <v>_00</v>
      </c>
      <c r="J81" s="15" t="str">
        <f t="shared" si="6"/>
        <v>SSFLAT__20260319_00</v>
      </c>
      <c r="K81" s="15" t="str">
        <f t="shared" si="7"/>
        <v>SSFLAT__20260319_0800</v>
      </c>
    </row>
    <row r="82" spans="2:11" x14ac:dyDescent="0.25">
      <c r="B82" t="str">
        <f>IF('FILL ME'!$B$3 = "", "", 'FILL ME'!$B$3)</f>
        <v>WWS</v>
      </c>
      <c r="C82" t="str">
        <f>IF('FILL ME'!$B$4 = "", "", 'FILL ME'!$B$4)</f>
        <v>SSFLAT</v>
      </c>
      <c r="D82" s="11" t="str">
        <f>TEXT('FILL ME'!$B$7,"yyyymmdd")</f>
        <v>20260319</v>
      </c>
      <c r="E82" s="13">
        <f>'FILL ME'!$B$7 + 'FILL ME'!$B$11 + ('FILL ME'!$B$12 * (G82-'FILL ME'!$B$13))</f>
        <v>46100.333333333328</v>
      </c>
      <c r="F82" s="12" t="str">
        <f t="shared" si="4"/>
        <v>08:00</v>
      </c>
      <c r="G82" s="12"/>
      <c r="I82" s="14" t="str">
        <f t="shared" si="5"/>
        <v>_00</v>
      </c>
      <c r="J82" s="15" t="str">
        <f t="shared" si="6"/>
        <v>SSFLAT__20260319_00</v>
      </c>
      <c r="K82" s="15" t="str">
        <f t="shared" si="7"/>
        <v>SSFLAT__20260319_0800</v>
      </c>
    </row>
    <row r="83" spans="2:11" x14ac:dyDescent="0.25">
      <c r="B83" t="str">
        <f>IF('FILL ME'!$B$3 = "", "", 'FILL ME'!$B$3)</f>
        <v>WWS</v>
      </c>
      <c r="C83" t="str">
        <f>IF('FILL ME'!$B$4 = "", "", 'FILL ME'!$B$4)</f>
        <v>SSFLAT</v>
      </c>
      <c r="D83" s="11" t="str">
        <f>TEXT('FILL ME'!$B$7,"yyyymmdd")</f>
        <v>20260319</v>
      </c>
      <c r="E83" s="13">
        <f>'FILL ME'!$B$7 + 'FILL ME'!$B$11 + ('FILL ME'!$B$12 * (G83-'FILL ME'!$B$13))</f>
        <v>46100.333333333328</v>
      </c>
      <c r="F83" s="12" t="str">
        <f t="shared" si="4"/>
        <v>08:00</v>
      </c>
      <c r="G83" s="12"/>
      <c r="I83" s="14" t="str">
        <f t="shared" si="5"/>
        <v>_00</v>
      </c>
      <c r="J83" s="15" t="str">
        <f t="shared" si="6"/>
        <v>SSFLAT__20260319_00</v>
      </c>
      <c r="K83" s="15" t="str">
        <f t="shared" si="7"/>
        <v>SSFLAT__20260319_0800</v>
      </c>
    </row>
    <row r="84" spans="2:11" x14ac:dyDescent="0.25">
      <c r="B84" t="str">
        <f>IF('FILL ME'!$B$3 = "", "", 'FILL ME'!$B$3)</f>
        <v>WWS</v>
      </c>
      <c r="C84" t="str">
        <f>IF('FILL ME'!$B$4 = "", "", 'FILL ME'!$B$4)</f>
        <v>SSFLAT</v>
      </c>
      <c r="D84" s="11" t="str">
        <f>TEXT('FILL ME'!$B$7,"yyyymmdd")</f>
        <v>20260319</v>
      </c>
      <c r="E84" s="13">
        <f>'FILL ME'!$B$7 + 'FILL ME'!$B$11 + ('FILL ME'!$B$12 * (G84-'FILL ME'!$B$13))</f>
        <v>46100.333333333328</v>
      </c>
      <c r="F84" s="12" t="str">
        <f t="shared" si="4"/>
        <v>08:00</v>
      </c>
      <c r="G84" s="12"/>
      <c r="I84" s="14" t="str">
        <f t="shared" si="5"/>
        <v>_00</v>
      </c>
      <c r="J84" s="15" t="str">
        <f t="shared" si="6"/>
        <v>SSFLAT__20260319_00</v>
      </c>
      <c r="K84" s="15" t="str">
        <f t="shared" si="7"/>
        <v>SSFLAT__20260319_0800</v>
      </c>
    </row>
    <row r="85" spans="2:11" x14ac:dyDescent="0.25">
      <c r="B85" t="str">
        <f>IF('FILL ME'!$B$3 = "", "", 'FILL ME'!$B$3)</f>
        <v>WWS</v>
      </c>
      <c r="C85" t="str">
        <f>IF('FILL ME'!$B$4 = "", "", 'FILL ME'!$B$4)</f>
        <v>SSFLAT</v>
      </c>
      <c r="D85" s="11" t="str">
        <f>TEXT('FILL ME'!$B$7,"yyyymmdd")</f>
        <v>20260319</v>
      </c>
      <c r="E85" s="13">
        <f>'FILL ME'!$B$7 + 'FILL ME'!$B$11 + ('FILL ME'!$B$12 * (G85-'FILL ME'!$B$13))</f>
        <v>46100.333333333328</v>
      </c>
      <c r="F85" s="12" t="str">
        <f t="shared" si="4"/>
        <v>08:00</v>
      </c>
      <c r="G85" s="12"/>
      <c r="I85" s="14" t="str">
        <f t="shared" si="5"/>
        <v>_00</v>
      </c>
      <c r="J85" s="15" t="str">
        <f t="shared" si="6"/>
        <v>SSFLAT__20260319_00</v>
      </c>
      <c r="K85" s="15" t="str">
        <f t="shared" si="7"/>
        <v>SSFLAT__20260319_0800</v>
      </c>
    </row>
    <row r="86" spans="2:11" x14ac:dyDescent="0.25">
      <c r="B86" t="str">
        <f>IF('FILL ME'!$B$3 = "", "", 'FILL ME'!$B$3)</f>
        <v>WWS</v>
      </c>
      <c r="C86" t="str">
        <f>IF('FILL ME'!$B$4 = "", "", 'FILL ME'!$B$4)</f>
        <v>SSFLAT</v>
      </c>
      <c r="D86" s="11" t="str">
        <f>TEXT('FILL ME'!$B$7,"yyyymmdd")</f>
        <v>20260319</v>
      </c>
      <c r="E86" s="13">
        <f>'FILL ME'!$B$7 + 'FILL ME'!$B$11 + ('FILL ME'!$B$12 * (G86-'FILL ME'!$B$13))</f>
        <v>46100.333333333328</v>
      </c>
      <c r="F86" s="12" t="str">
        <f t="shared" si="4"/>
        <v>08:00</v>
      </c>
      <c r="G86" s="12"/>
      <c r="I86" s="14" t="str">
        <f t="shared" si="5"/>
        <v>_00</v>
      </c>
      <c r="J86" s="15" t="str">
        <f t="shared" si="6"/>
        <v>SSFLAT__20260319_00</v>
      </c>
      <c r="K86" s="15" t="str">
        <f t="shared" si="7"/>
        <v>SSFLAT__20260319_0800</v>
      </c>
    </row>
    <row r="87" spans="2:11" x14ac:dyDescent="0.25">
      <c r="B87" t="str">
        <f>IF('FILL ME'!$B$3 = "", "", 'FILL ME'!$B$3)</f>
        <v>WWS</v>
      </c>
      <c r="C87" t="str">
        <f>IF('FILL ME'!$B$4 = "", "", 'FILL ME'!$B$4)</f>
        <v>SSFLAT</v>
      </c>
      <c r="D87" s="11" t="str">
        <f>TEXT('FILL ME'!$B$7,"yyyymmdd")</f>
        <v>20260319</v>
      </c>
      <c r="E87" s="13">
        <f>'FILL ME'!$B$7 + 'FILL ME'!$B$11 + ('FILL ME'!$B$12 * (G87-'FILL ME'!$B$13))</f>
        <v>46100.333333333328</v>
      </c>
      <c r="F87" s="12" t="str">
        <f t="shared" si="4"/>
        <v>08:00</v>
      </c>
      <c r="G87" s="12"/>
      <c r="I87" s="14" t="str">
        <f t="shared" si="5"/>
        <v>_00</v>
      </c>
      <c r="J87" s="15" t="str">
        <f t="shared" si="6"/>
        <v>SSFLAT__20260319_00</v>
      </c>
      <c r="K87" s="15" t="str">
        <f t="shared" si="7"/>
        <v>SSFLAT__20260319_0800</v>
      </c>
    </row>
    <row r="88" spans="2:11" x14ac:dyDescent="0.25">
      <c r="B88" t="str">
        <f>IF('FILL ME'!$B$3 = "", "", 'FILL ME'!$B$3)</f>
        <v>WWS</v>
      </c>
      <c r="C88" t="str">
        <f>IF('FILL ME'!$B$4 = "", "", 'FILL ME'!$B$4)</f>
        <v>SSFLAT</v>
      </c>
      <c r="D88" s="11" t="str">
        <f>TEXT('FILL ME'!$B$7,"yyyymmdd")</f>
        <v>20260319</v>
      </c>
      <c r="E88" s="13">
        <f>'FILL ME'!$B$7 + 'FILL ME'!$B$11 + ('FILL ME'!$B$12 * (G88-'FILL ME'!$B$13))</f>
        <v>46100.333333333328</v>
      </c>
      <c r="F88" s="12" t="str">
        <f t="shared" si="4"/>
        <v>08:00</v>
      </c>
      <c r="G88" s="12"/>
      <c r="I88" s="14" t="str">
        <f t="shared" si="5"/>
        <v>_00</v>
      </c>
      <c r="J88" s="15" t="str">
        <f t="shared" si="6"/>
        <v>SSFLAT__20260319_00</v>
      </c>
      <c r="K88" s="15" t="str">
        <f t="shared" si="7"/>
        <v>SSFLAT__20260319_0800</v>
      </c>
    </row>
    <row r="89" spans="2:11" x14ac:dyDescent="0.25">
      <c r="B89" t="str">
        <f>IF('FILL ME'!$B$3 = "", "", 'FILL ME'!$B$3)</f>
        <v>WWS</v>
      </c>
      <c r="C89" t="str">
        <f>IF('FILL ME'!$B$4 = "", "", 'FILL ME'!$B$4)</f>
        <v>SSFLAT</v>
      </c>
      <c r="D89" s="11" t="str">
        <f>TEXT('FILL ME'!$B$7,"yyyymmdd")</f>
        <v>20260319</v>
      </c>
      <c r="E89" s="13">
        <f>'FILL ME'!$B$7 + 'FILL ME'!$B$11 + ('FILL ME'!$B$12 * (G89-'FILL ME'!$B$13))</f>
        <v>46100.333333333328</v>
      </c>
      <c r="F89" s="12" t="str">
        <f t="shared" si="4"/>
        <v>08:00</v>
      </c>
      <c r="G89" s="12"/>
      <c r="I89" s="14" t="str">
        <f t="shared" si="5"/>
        <v>_00</v>
      </c>
      <c r="J89" s="15" t="str">
        <f t="shared" si="6"/>
        <v>SSFLAT__20260319_00</v>
      </c>
      <c r="K89" s="15" t="str">
        <f t="shared" si="7"/>
        <v>SSFLAT__20260319_0800</v>
      </c>
    </row>
    <row r="90" spans="2:11" x14ac:dyDescent="0.25">
      <c r="B90" t="str">
        <f>IF('FILL ME'!$B$3 = "", "", 'FILL ME'!$B$3)</f>
        <v>WWS</v>
      </c>
      <c r="C90" t="str">
        <f>IF('FILL ME'!$B$4 = "", "", 'FILL ME'!$B$4)</f>
        <v>SSFLAT</v>
      </c>
      <c r="D90" s="11" t="str">
        <f>TEXT('FILL ME'!$B$7,"yyyymmdd")</f>
        <v>20260319</v>
      </c>
      <c r="E90" s="13">
        <f>'FILL ME'!$B$7 + 'FILL ME'!$B$11 + ('FILL ME'!$B$12 * (G90-'FILL ME'!$B$13))</f>
        <v>46100.333333333328</v>
      </c>
      <c r="F90" s="12" t="str">
        <f t="shared" si="4"/>
        <v>08:00</v>
      </c>
      <c r="G90" s="12"/>
      <c r="I90" s="14" t="str">
        <f t="shared" si="5"/>
        <v>_00</v>
      </c>
      <c r="J90" s="15" t="str">
        <f t="shared" si="6"/>
        <v>SSFLAT__20260319_00</v>
      </c>
      <c r="K90" s="15" t="str">
        <f t="shared" si="7"/>
        <v>SSFLAT__20260319_0800</v>
      </c>
    </row>
    <row r="91" spans="2:11" x14ac:dyDescent="0.25">
      <c r="B91" t="str">
        <f>IF('FILL ME'!$B$3 = "", "", 'FILL ME'!$B$3)</f>
        <v>WWS</v>
      </c>
      <c r="C91" t="str">
        <f>IF('FILL ME'!$B$4 = "", "", 'FILL ME'!$B$4)</f>
        <v>SSFLAT</v>
      </c>
      <c r="D91" s="11" t="str">
        <f>TEXT('FILL ME'!$B$7,"yyyymmdd")</f>
        <v>20260319</v>
      </c>
      <c r="E91" s="13">
        <f>'FILL ME'!$B$7 + 'FILL ME'!$B$11 + ('FILL ME'!$B$12 * (G91-'FILL ME'!$B$13))</f>
        <v>46100.333333333328</v>
      </c>
      <c r="F91" s="12" t="str">
        <f t="shared" si="4"/>
        <v>08:00</v>
      </c>
      <c r="G91" s="12"/>
      <c r="I91" s="14" t="str">
        <f t="shared" si="5"/>
        <v>_00</v>
      </c>
      <c r="J91" s="15" t="str">
        <f t="shared" si="6"/>
        <v>SSFLAT__20260319_00</v>
      </c>
      <c r="K91" s="15" t="str">
        <f t="shared" si="7"/>
        <v>SSFLAT__20260319_0800</v>
      </c>
    </row>
    <row r="92" spans="2:11" x14ac:dyDescent="0.25">
      <c r="B92" t="str">
        <f>IF('FILL ME'!$B$3 = "", "", 'FILL ME'!$B$3)</f>
        <v>WWS</v>
      </c>
      <c r="C92" t="str">
        <f>IF('FILL ME'!$B$4 = "", "", 'FILL ME'!$B$4)</f>
        <v>SSFLAT</v>
      </c>
      <c r="D92" s="11" t="str">
        <f>TEXT('FILL ME'!$B$7,"yyyymmdd")</f>
        <v>20260319</v>
      </c>
      <c r="E92" s="13">
        <f>'FILL ME'!$B$7 + 'FILL ME'!$B$11 + ('FILL ME'!$B$12 * (G92-'FILL ME'!$B$13))</f>
        <v>46100.333333333328</v>
      </c>
      <c r="F92" s="12" t="str">
        <f t="shared" si="4"/>
        <v>08:00</v>
      </c>
      <c r="G92" s="12"/>
      <c r="I92" s="14" t="str">
        <f t="shared" si="5"/>
        <v>_00</v>
      </c>
      <c r="J92" s="15" t="str">
        <f t="shared" si="6"/>
        <v>SSFLAT__20260319_00</v>
      </c>
      <c r="K92" s="15" t="str">
        <f t="shared" si="7"/>
        <v>SSFLAT__20260319_0800</v>
      </c>
    </row>
    <row r="93" spans="2:11" x14ac:dyDescent="0.25">
      <c r="B93" t="str">
        <f>IF('FILL ME'!$B$3 = "", "", 'FILL ME'!$B$3)</f>
        <v>WWS</v>
      </c>
      <c r="C93" t="str">
        <f>IF('FILL ME'!$B$4 = "", "", 'FILL ME'!$B$4)</f>
        <v>SSFLAT</v>
      </c>
      <c r="D93" s="11" t="str">
        <f>TEXT('FILL ME'!$B$7,"yyyymmdd")</f>
        <v>20260319</v>
      </c>
      <c r="E93" s="13">
        <f>'FILL ME'!$B$7 + 'FILL ME'!$B$11 + ('FILL ME'!$B$12 * (G93-'FILL ME'!$B$13))</f>
        <v>46100.333333333328</v>
      </c>
      <c r="F93" s="12" t="str">
        <f t="shared" si="4"/>
        <v>08:00</v>
      </c>
      <c r="G93" s="12"/>
      <c r="I93" s="14" t="str">
        <f t="shared" si="5"/>
        <v>_00</v>
      </c>
      <c r="J93" s="15" t="str">
        <f t="shared" si="6"/>
        <v>SSFLAT__20260319_00</v>
      </c>
      <c r="K93" s="15" t="str">
        <f t="shared" si="7"/>
        <v>SSFLAT__20260319_0800</v>
      </c>
    </row>
    <row r="94" spans="2:11" x14ac:dyDescent="0.25">
      <c r="B94" t="str">
        <f>IF('FILL ME'!$B$3 = "", "", 'FILL ME'!$B$3)</f>
        <v>WWS</v>
      </c>
      <c r="C94" t="str">
        <f>IF('FILL ME'!$B$4 = "", "", 'FILL ME'!$B$4)</f>
        <v>SSFLAT</v>
      </c>
      <c r="D94" s="11" t="str">
        <f>TEXT('FILL ME'!$B$7,"yyyymmdd")</f>
        <v>20260319</v>
      </c>
      <c r="E94" s="13">
        <f>'FILL ME'!$B$7 + 'FILL ME'!$B$11 + ('FILL ME'!$B$12 * (G94-'FILL ME'!$B$13))</f>
        <v>46100.333333333328</v>
      </c>
      <c r="F94" s="12" t="str">
        <f t="shared" si="4"/>
        <v>08:00</v>
      </c>
      <c r="G94" s="12"/>
      <c r="I94" s="14" t="str">
        <f t="shared" si="5"/>
        <v>_00</v>
      </c>
      <c r="J94" s="15" t="str">
        <f t="shared" si="6"/>
        <v>SSFLAT__20260319_00</v>
      </c>
      <c r="K94" s="15" t="str">
        <f t="shared" si="7"/>
        <v>SSFLAT__20260319_0800</v>
      </c>
    </row>
    <row r="95" spans="2:11" x14ac:dyDescent="0.25">
      <c r="B95" t="str">
        <f>IF('FILL ME'!$B$3 = "", "", 'FILL ME'!$B$3)</f>
        <v>WWS</v>
      </c>
      <c r="C95" t="str">
        <f>IF('FILL ME'!$B$4 = "", "", 'FILL ME'!$B$4)</f>
        <v>SSFLAT</v>
      </c>
      <c r="D95" s="11" t="str">
        <f>TEXT('FILL ME'!$B$7,"yyyymmdd")</f>
        <v>20260319</v>
      </c>
      <c r="E95" s="13">
        <f>'FILL ME'!$B$7 + 'FILL ME'!$B$11 + ('FILL ME'!$B$12 * (G95-'FILL ME'!$B$13))</f>
        <v>46100.333333333328</v>
      </c>
      <c r="F95" s="12" t="str">
        <f t="shared" si="4"/>
        <v>08:00</v>
      </c>
      <c r="G95" s="12"/>
      <c r="I95" s="14" t="str">
        <f t="shared" si="5"/>
        <v>_00</v>
      </c>
      <c r="J95" s="15" t="str">
        <f t="shared" si="6"/>
        <v>SSFLAT__20260319_00</v>
      </c>
      <c r="K95" s="15" t="str">
        <f t="shared" si="7"/>
        <v>SSFLAT__20260319_0800</v>
      </c>
    </row>
    <row r="96" spans="2:11" x14ac:dyDescent="0.25">
      <c r="B96" t="str">
        <f>IF('FILL ME'!$B$3 = "", "", 'FILL ME'!$B$3)</f>
        <v>WWS</v>
      </c>
      <c r="C96" t="str">
        <f>IF('FILL ME'!$B$4 = "", "", 'FILL ME'!$B$4)</f>
        <v>SSFLAT</v>
      </c>
      <c r="D96" s="11" t="str">
        <f>TEXT('FILL ME'!$B$7,"yyyymmdd")</f>
        <v>20260319</v>
      </c>
      <c r="E96" s="13">
        <f>'FILL ME'!$B$7 + 'FILL ME'!$B$11 + ('FILL ME'!$B$12 * (G96-'FILL ME'!$B$13))</f>
        <v>46100.333333333328</v>
      </c>
      <c r="F96" s="12" t="str">
        <f t="shared" si="4"/>
        <v>08:00</v>
      </c>
      <c r="G96" s="12"/>
      <c r="I96" s="14" t="str">
        <f t="shared" si="5"/>
        <v>_00</v>
      </c>
      <c r="J96" s="15" t="str">
        <f t="shared" si="6"/>
        <v>SSFLAT__20260319_00</v>
      </c>
      <c r="K96" s="15" t="str">
        <f t="shared" si="7"/>
        <v>SSFLAT__20260319_0800</v>
      </c>
    </row>
    <row r="97" spans="2:11" x14ac:dyDescent="0.25">
      <c r="B97" t="str">
        <f>IF('FILL ME'!$B$3 = "", "", 'FILL ME'!$B$3)</f>
        <v>WWS</v>
      </c>
      <c r="C97" t="str">
        <f>IF('FILL ME'!$B$4 = "", "", 'FILL ME'!$B$4)</f>
        <v>SSFLAT</v>
      </c>
      <c r="D97" s="11" t="str">
        <f>TEXT('FILL ME'!$B$7,"yyyymmdd")</f>
        <v>20260319</v>
      </c>
      <c r="E97" s="13">
        <f>'FILL ME'!$B$7 + 'FILL ME'!$B$11 + ('FILL ME'!$B$12 * (G97-'FILL ME'!$B$13))</f>
        <v>46100.333333333328</v>
      </c>
      <c r="F97" s="12" t="str">
        <f t="shared" si="4"/>
        <v>08:00</v>
      </c>
      <c r="G97" s="12"/>
      <c r="I97" s="14" t="str">
        <f t="shared" si="5"/>
        <v>_00</v>
      </c>
      <c r="J97" s="15" t="str">
        <f t="shared" si="6"/>
        <v>SSFLAT__20260319_00</v>
      </c>
      <c r="K97" s="15" t="str">
        <f t="shared" si="7"/>
        <v>SSFLAT__20260319_0800</v>
      </c>
    </row>
    <row r="98" spans="2:11" x14ac:dyDescent="0.25">
      <c r="B98" t="str">
        <f>IF('FILL ME'!$B$3 = "", "", 'FILL ME'!$B$3)</f>
        <v>WWS</v>
      </c>
      <c r="C98" t="str">
        <f>IF('FILL ME'!$B$4 = "", "", 'FILL ME'!$B$4)</f>
        <v>SSFLAT</v>
      </c>
      <c r="D98" s="11" t="str">
        <f>TEXT('FILL ME'!$B$7,"yyyymmdd")</f>
        <v>20260319</v>
      </c>
      <c r="E98" s="13">
        <f>'FILL ME'!$B$7 + 'FILL ME'!$B$11 + ('FILL ME'!$B$12 * (G98-'FILL ME'!$B$13))</f>
        <v>46100.333333333328</v>
      </c>
      <c r="F98" s="12" t="str">
        <f t="shared" si="4"/>
        <v>08:00</v>
      </c>
      <c r="G98" s="12"/>
      <c r="I98" s="14" t="str">
        <f t="shared" si="5"/>
        <v>_00</v>
      </c>
      <c r="J98" s="15" t="str">
        <f t="shared" si="6"/>
        <v>SSFLAT__20260319_00</v>
      </c>
      <c r="K98" s="15" t="str">
        <f t="shared" si="7"/>
        <v>SSFLAT__20260319_0800</v>
      </c>
    </row>
    <row r="99" spans="2:11" x14ac:dyDescent="0.25">
      <c r="B99" t="str">
        <f>IF('FILL ME'!$B$3 = "", "", 'FILL ME'!$B$3)</f>
        <v>WWS</v>
      </c>
      <c r="C99" t="str">
        <f>IF('FILL ME'!$B$4 = "", "", 'FILL ME'!$B$4)</f>
        <v>SSFLAT</v>
      </c>
      <c r="D99" s="11" t="str">
        <f>TEXT('FILL ME'!$B$7,"yyyymmdd")</f>
        <v>20260319</v>
      </c>
      <c r="E99" s="13">
        <f>'FILL ME'!$B$7 + 'FILL ME'!$B$11 + ('FILL ME'!$B$12 * (G99-'FILL ME'!$B$13))</f>
        <v>46100.333333333328</v>
      </c>
      <c r="F99" s="12" t="str">
        <f t="shared" si="4"/>
        <v>08:00</v>
      </c>
      <c r="G99" s="12"/>
      <c r="I99" s="14" t="str">
        <f t="shared" si="5"/>
        <v>_00</v>
      </c>
      <c r="J99" s="15" t="str">
        <f t="shared" si="6"/>
        <v>SSFLAT__20260319_00</v>
      </c>
      <c r="K99" s="15" t="str">
        <f t="shared" si="7"/>
        <v>SSFLAT__20260319_0800</v>
      </c>
    </row>
    <row r="100" spans="2:11" x14ac:dyDescent="0.25">
      <c r="B100" t="str">
        <f>IF('FILL ME'!$B$3 = "", "", 'FILL ME'!$B$3)</f>
        <v>WWS</v>
      </c>
      <c r="C100" t="str">
        <f>IF('FILL ME'!$B$4 = "", "", 'FILL ME'!$B$4)</f>
        <v>SSFLAT</v>
      </c>
      <c r="D100" s="11" t="str">
        <f>TEXT('FILL ME'!$B$7,"yyyymmdd")</f>
        <v>20260319</v>
      </c>
      <c r="E100" s="13">
        <f>'FILL ME'!$B$7 + 'FILL ME'!$B$11 + ('FILL ME'!$B$12 * (G100-'FILL ME'!$B$13))</f>
        <v>46100.333333333328</v>
      </c>
      <c r="F100" s="12" t="str">
        <f t="shared" si="4"/>
        <v>08:00</v>
      </c>
      <c r="G100" s="12"/>
      <c r="I100" s="14" t="str">
        <f t="shared" si="5"/>
        <v>_00</v>
      </c>
      <c r="J100" s="15" t="str">
        <f t="shared" si="6"/>
        <v>SSFLAT__20260319_00</v>
      </c>
      <c r="K100" s="15" t="str">
        <f t="shared" si="7"/>
        <v>SSFLAT__20260319_0800</v>
      </c>
    </row>
    <row r="101" spans="2:11" x14ac:dyDescent="0.25">
      <c r="B101" t="str">
        <f>IF('FILL ME'!$B$3 = "", "", 'FILL ME'!$B$3)</f>
        <v>WWS</v>
      </c>
      <c r="C101" t="str">
        <f>IF('FILL ME'!$B$4 = "", "", 'FILL ME'!$B$4)</f>
        <v>SSFLAT</v>
      </c>
      <c r="D101" s="11" t="str">
        <f>TEXT('FILL ME'!$B$7,"yyyymmdd")</f>
        <v>20260319</v>
      </c>
      <c r="E101" s="13">
        <f>'FILL ME'!$B$7 + 'FILL ME'!$B$11 + ('FILL ME'!$B$12 * (G101-'FILL ME'!$B$13))</f>
        <v>46100.333333333328</v>
      </c>
      <c r="F101" s="12" t="str">
        <f t="shared" si="4"/>
        <v>08:00</v>
      </c>
      <c r="G101" s="12"/>
      <c r="I101" s="14" t="str">
        <f t="shared" si="5"/>
        <v>_00</v>
      </c>
      <c r="J101" s="15" t="str">
        <f t="shared" si="6"/>
        <v>SSFLAT__20260319_00</v>
      </c>
      <c r="K101" s="15" t="str">
        <f t="shared" si="7"/>
        <v>SSFLAT__20260319_0800</v>
      </c>
    </row>
    <row r="102" spans="2:11" x14ac:dyDescent="0.25">
      <c r="B102" t="str">
        <f>IF('FILL ME'!$B$3 = "", "", 'FILL ME'!$B$3)</f>
        <v>WWS</v>
      </c>
      <c r="C102" t="str">
        <f>IF('FILL ME'!$B$4 = "", "", 'FILL ME'!$B$4)</f>
        <v>SSFLAT</v>
      </c>
      <c r="D102" s="11" t="str">
        <f>TEXT('FILL ME'!$B$7,"yyyymmdd")</f>
        <v>20260319</v>
      </c>
      <c r="E102" s="13">
        <f>'FILL ME'!$B$7 + 'FILL ME'!$B$11 + ('FILL ME'!$B$12 * (G102-'FILL ME'!$B$13))</f>
        <v>46100.333333333328</v>
      </c>
      <c r="F102" s="12" t="str">
        <f t="shared" si="4"/>
        <v>08:00</v>
      </c>
      <c r="G102" s="12"/>
      <c r="I102" s="14" t="str">
        <f t="shared" si="5"/>
        <v>_00</v>
      </c>
      <c r="J102" s="15" t="str">
        <f t="shared" si="6"/>
        <v>SSFLAT__20260319_00</v>
      </c>
      <c r="K102" s="15" t="str">
        <f t="shared" si="7"/>
        <v>SSFLAT__20260319_0800</v>
      </c>
    </row>
    <row r="103" spans="2:11" x14ac:dyDescent="0.25">
      <c r="B103" t="str">
        <f>IF('FILL ME'!$B$3 = "", "", 'FILL ME'!$B$3)</f>
        <v>WWS</v>
      </c>
      <c r="C103" t="str">
        <f>IF('FILL ME'!$B$4 = "", "", 'FILL ME'!$B$4)</f>
        <v>SSFLAT</v>
      </c>
      <c r="D103" s="11" t="str">
        <f>TEXT('FILL ME'!$B$7,"yyyymmdd")</f>
        <v>20260319</v>
      </c>
      <c r="E103" s="13">
        <f>'FILL ME'!$B$7 + 'FILL ME'!$B$11 + ('FILL ME'!$B$12 * (G103-'FILL ME'!$B$13))</f>
        <v>46100.333333333328</v>
      </c>
      <c r="F103" s="12" t="str">
        <f t="shared" si="4"/>
        <v>08:00</v>
      </c>
      <c r="G103" s="12"/>
      <c r="I103" s="14" t="str">
        <f t="shared" si="5"/>
        <v>_00</v>
      </c>
      <c r="J103" s="15" t="str">
        <f t="shared" si="6"/>
        <v>SSFLAT__20260319_00</v>
      </c>
      <c r="K103" s="15" t="str">
        <f t="shared" si="7"/>
        <v>SSFLAT__20260319_0800</v>
      </c>
    </row>
    <row r="104" spans="2:11" x14ac:dyDescent="0.25">
      <c r="B104" t="str">
        <f>IF('FILL ME'!$B$3 = "", "", 'FILL ME'!$B$3)</f>
        <v>WWS</v>
      </c>
      <c r="C104" t="str">
        <f>IF('FILL ME'!$B$4 = "", "", 'FILL ME'!$B$4)</f>
        <v>SSFLAT</v>
      </c>
      <c r="D104" s="11" t="str">
        <f>TEXT('FILL ME'!$B$7,"yyyymmdd")</f>
        <v>20260319</v>
      </c>
      <c r="E104" s="13">
        <f>'FILL ME'!$B$7 + 'FILL ME'!$B$11 + ('FILL ME'!$B$12 * (G104-'FILL ME'!$B$13))</f>
        <v>46100.333333333328</v>
      </c>
      <c r="F104" s="12" t="str">
        <f t="shared" si="4"/>
        <v>08:00</v>
      </c>
      <c r="G104" s="12"/>
      <c r="I104" s="14" t="str">
        <f t="shared" si="5"/>
        <v>_00</v>
      </c>
      <c r="J104" s="15" t="str">
        <f t="shared" si="6"/>
        <v>SSFLAT__20260319_00</v>
      </c>
      <c r="K104" s="15" t="str">
        <f t="shared" si="7"/>
        <v>SSFLAT__20260319_0800</v>
      </c>
    </row>
    <row r="105" spans="2:11" x14ac:dyDescent="0.25">
      <c r="B105" t="str">
        <f>IF('FILL ME'!$B$3 = "", "", 'FILL ME'!$B$3)</f>
        <v>WWS</v>
      </c>
      <c r="C105" t="str">
        <f>IF('FILL ME'!$B$4 = "", "", 'FILL ME'!$B$4)</f>
        <v>SSFLAT</v>
      </c>
      <c r="D105" s="11" t="str">
        <f>TEXT('FILL ME'!$B$7,"yyyymmdd")</f>
        <v>20260319</v>
      </c>
      <c r="E105" s="11"/>
      <c r="F105" s="12" t="str">
        <f t="shared" si="4"/>
        <v>00:00</v>
      </c>
      <c r="G105" s="12"/>
      <c r="I105" s="14" t="str">
        <f t="shared" si="5"/>
        <v>_00</v>
      </c>
      <c r="J105" s="15" t="str">
        <f t="shared" si="6"/>
        <v>SSFLAT__20260319_00</v>
      </c>
      <c r="K105" s="15" t="str">
        <f t="shared" si="7"/>
        <v>SSFLAT__19000100_0000</v>
      </c>
    </row>
    <row r="106" spans="2:11" x14ac:dyDescent="0.25">
      <c r="B106" t="str">
        <f>IF('FILL ME'!$B$3 = "", "", 'FILL ME'!$B$3)</f>
        <v>WWS</v>
      </c>
      <c r="C106" t="str">
        <f>IF('FILL ME'!$B$4 = "", "", 'FILL ME'!$B$4)</f>
        <v>SSFLAT</v>
      </c>
      <c r="D106" s="11" t="str">
        <f>TEXT('FILL ME'!$B$7,"yyyymmdd")</f>
        <v>20260319</v>
      </c>
      <c r="E106" s="11"/>
      <c r="F106" s="12" t="str">
        <f t="shared" si="4"/>
        <v>00:00</v>
      </c>
      <c r="G106" s="12"/>
      <c r="I106" s="14" t="str">
        <f t="shared" si="5"/>
        <v>_00</v>
      </c>
      <c r="J106" s="15" t="str">
        <f t="shared" si="6"/>
        <v>SSFLAT__20260319_00</v>
      </c>
      <c r="K106" s="15" t="str">
        <f t="shared" si="7"/>
        <v>SSFLAT__19000100_0000</v>
      </c>
    </row>
    <row r="107" spans="2:11" x14ac:dyDescent="0.25">
      <c r="B107" t="str">
        <f>IF('FILL ME'!$B$3 = "", "", 'FILL ME'!$B$3)</f>
        <v>WWS</v>
      </c>
      <c r="C107" t="str">
        <f>IF('FILL ME'!$B$4 = "", "", 'FILL ME'!$B$4)</f>
        <v>SSFLAT</v>
      </c>
      <c r="D107" s="11" t="str">
        <f>TEXT('FILL ME'!$B$7,"yyyymmdd")</f>
        <v>20260319</v>
      </c>
      <c r="E107" s="11"/>
      <c r="F107" s="12" t="str">
        <f t="shared" si="4"/>
        <v>00:00</v>
      </c>
      <c r="G107" s="12"/>
      <c r="I107" s="14" t="str">
        <f t="shared" si="5"/>
        <v>_00</v>
      </c>
      <c r="J107" s="15" t="str">
        <f t="shared" si="6"/>
        <v>SSFLAT__20260319_00</v>
      </c>
      <c r="K107" s="15" t="str">
        <f t="shared" si="7"/>
        <v>SSFLAT__19000100_0000</v>
      </c>
    </row>
    <row r="108" spans="2:11" x14ac:dyDescent="0.25">
      <c r="B108" t="str">
        <f>IF('FILL ME'!$B$3 = "", "", 'FILL ME'!$B$3)</f>
        <v>WWS</v>
      </c>
      <c r="C108" t="str">
        <f>IF('FILL ME'!$B$4 = "", "", 'FILL ME'!$B$4)</f>
        <v>SSFLAT</v>
      </c>
      <c r="D108" s="11" t="str">
        <f>TEXT('FILL ME'!$B$7,"yyyymmdd")</f>
        <v>20260319</v>
      </c>
      <c r="E108" s="11"/>
      <c r="F108" s="12" t="str">
        <f t="shared" si="4"/>
        <v>00:00</v>
      </c>
      <c r="G108" s="12"/>
      <c r="I108" s="14" t="str">
        <f t="shared" si="5"/>
        <v>_00</v>
      </c>
      <c r="J108" s="15" t="str">
        <f t="shared" si="6"/>
        <v>SSFLAT__20260319_00</v>
      </c>
      <c r="K108" s="15" t="str">
        <f t="shared" si="7"/>
        <v>SSFLAT__19000100_0000</v>
      </c>
    </row>
    <row r="109" spans="2:11" x14ac:dyDescent="0.25">
      <c r="B109" t="str">
        <f>IF('FILL ME'!$B$3 = "", "", 'FILL ME'!$B$3)</f>
        <v>WWS</v>
      </c>
      <c r="C109" t="str">
        <f>IF('FILL ME'!$B$4 = "", "", 'FILL ME'!$B$4)</f>
        <v>SSFLAT</v>
      </c>
      <c r="D109" s="11" t="str">
        <f>TEXT('FILL ME'!$B$7,"yyyymmdd")</f>
        <v>20260319</v>
      </c>
      <c r="E109" s="11"/>
      <c r="F109" s="12" t="str">
        <f t="shared" si="4"/>
        <v>00:00</v>
      </c>
      <c r="G109" s="12"/>
      <c r="I109" s="14" t="str">
        <f t="shared" si="5"/>
        <v>_00</v>
      </c>
      <c r="J109" s="15" t="str">
        <f t="shared" si="6"/>
        <v>SSFLAT__20260319_00</v>
      </c>
      <c r="K109" s="15" t="str">
        <f t="shared" si="7"/>
        <v>SSFLAT__19000100_0000</v>
      </c>
    </row>
    <row r="110" spans="2:11" x14ac:dyDescent="0.25">
      <c r="B110" t="str">
        <f>IF('FILL ME'!$B$3 = "", "", 'FILL ME'!$B$3)</f>
        <v>WWS</v>
      </c>
      <c r="C110" t="str">
        <f>IF('FILL ME'!$B$4 = "", "", 'FILL ME'!$B$4)</f>
        <v>SSFLAT</v>
      </c>
      <c r="D110" s="11" t="str">
        <f>TEXT('FILL ME'!$B$7,"yyyymmdd")</f>
        <v>20260319</v>
      </c>
      <c r="E110" s="11"/>
      <c r="F110" s="12" t="str">
        <f t="shared" si="4"/>
        <v>00:00</v>
      </c>
      <c r="G110" s="12"/>
      <c r="I110" s="14" t="str">
        <f t="shared" si="5"/>
        <v>_00</v>
      </c>
      <c r="J110" s="15" t="str">
        <f t="shared" si="6"/>
        <v>SSFLAT__20260319_00</v>
      </c>
      <c r="K110" s="15" t="str">
        <f t="shared" si="7"/>
        <v>SSFLAT__19000100_0000</v>
      </c>
    </row>
    <row r="111" spans="2:11" x14ac:dyDescent="0.25">
      <c r="B111" t="str">
        <f>IF('FILL ME'!$B$3 = "", "", 'FILL ME'!$B$3)</f>
        <v>WWS</v>
      </c>
      <c r="C111" t="str">
        <f>IF('FILL ME'!$B$4 = "", "", 'FILL ME'!$B$4)</f>
        <v>SSFLAT</v>
      </c>
      <c r="D111" s="11" t="str">
        <f>TEXT('FILL ME'!$B$7,"yyyymmdd")</f>
        <v>20260319</v>
      </c>
      <c r="E111" s="11"/>
      <c r="F111" s="12" t="str">
        <f t="shared" si="4"/>
        <v>00:00</v>
      </c>
      <c r="G111" s="12"/>
      <c r="I111" s="14" t="str">
        <f t="shared" si="5"/>
        <v>_00</v>
      </c>
      <c r="J111" s="15" t="str">
        <f t="shared" si="6"/>
        <v>SSFLAT__20260319_00</v>
      </c>
      <c r="K111" s="15" t="str">
        <f t="shared" si="7"/>
        <v>SSFLAT__19000100_0000</v>
      </c>
    </row>
    <row r="112" spans="2:11" x14ac:dyDescent="0.25">
      <c r="B112" t="str">
        <f>IF('FILL ME'!$B$3 = "", "", 'FILL ME'!$B$3)</f>
        <v>WWS</v>
      </c>
      <c r="C112" t="str">
        <f>IF('FILL ME'!$B$4 = "", "", 'FILL ME'!$B$4)</f>
        <v>SSFLAT</v>
      </c>
      <c r="D112" s="11" t="str">
        <f>TEXT('FILL ME'!$B$7,"yyyymmdd")</f>
        <v>20260319</v>
      </c>
      <c r="E112" s="11"/>
      <c r="F112" s="12" t="str">
        <f t="shared" si="4"/>
        <v>00:00</v>
      </c>
      <c r="G112" s="12"/>
      <c r="I112" s="14" t="str">
        <f t="shared" si="5"/>
        <v>_00</v>
      </c>
      <c r="J112" s="15" t="str">
        <f t="shared" si="6"/>
        <v>SSFLAT__20260319_00</v>
      </c>
      <c r="K112" s="15" t="str">
        <f t="shared" si="7"/>
        <v>SSFLAT__19000100_0000</v>
      </c>
    </row>
    <row r="113" spans="2:11" x14ac:dyDescent="0.25">
      <c r="B113" t="str">
        <f>IF('FILL ME'!$B$3 = "", "", 'FILL ME'!$B$3)</f>
        <v>WWS</v>
      </c>
      <c r="C113" t="str">
        <f>IF('FILL ME'!$B$4 = "", "", 'FILL ME'!$B$4)</f>
        <v>SSFLAT</v>
      </c>
      <c r="D113" s="11" t="str">
        <f>TEXT('FILL ME'!$B$7,"yyyymmdd")</f>
        <v>20260319</v>
      </c>
      <c r="E113" s="11"/>
      <c r="F113" s="12" t="str">
        <f t="shared" si="4"/>
        <v>00:00</v>
      </c>
      <c r="G113" s="12"/>
      <c r="I113" s="14" t="str">
        <f t="shared" si="5"/>
        <v>_00</v>
      </c>
      <c r="J113" s="15" t="str">
        <f t="shared" si="6"/>
        <v>SSFLAT__20260319_00</v>
      </c>
      <c r="K113" s="15" t="str">
        <f t="shared" si="7"/>
        <v>SSFLAT__19000100_0000</v>
      </c>
    </row>
    <row r="114" spans="2:11" x14ac:dyDescent="0.25">
      <c r="B114" t="str">
        <f>IF('FILL ME'!$B$3 = "", "", 'FILL ME'!$B$3)</f>
        <v>WWS</v>
      </c>
      <c r="C114" t="str">
        <f>IF('FILL ME'!$B$4 = "", "", 'FILL ME'!$B$4)</f>
        <v>SSFLAT</v>
      </c>
      <c r="D114" s="11" t="str">
        <f>TEXT('FILL ME'!$B$7,"yyyymmdd")</f>
        <v>20260319</v>
      </c>
      <c r="E114" s="11"/>
      <c r="F114" s="12" t="str">
        <f t="shared" si="4"/>
        <v>00:00</v>
      </c>
      <c r="G114" s="12"/>
      <c r="I114" s="14" t="str">
        <f t="shared" si="5"/>
        <v>_00</v>
      </c>
      <c r="J114" s="15" t="str">
        <f t="shared" si="6"/>
        <v>SSFLAT__20260319_00</v>
      </c>
      <c r="K114" s="15" t="str">
        <f t="shared" si="7"/>
        <v>SSFLAT__19000100_0000</v>
      </c>
    </row>
    <row r="115" spans="2:11" x14ac:dyDescent="0.25">
      <c r="B115" t="str">
        <f>IF('FILL ME'!$B$3 = "", "", 'FILL ME'!$B$3)</f>
        <v>WWS</v>
      </c>
      <c r="C115" t="str">
        <f>IF('FILL ME'!$B$4 = "", "", 'FILL ME'!$B$4)</f>
        <v>SSFLAT</v>
      </c>
      <c r="D115" s="11" t="str">
        <f>TEXT('FILL ME'!$B$7,"yyyymmdd")</f>
        <v>20260319</v>
      </c>
      <c r="E115" s="11"/>
      <c r="F115" s="12" t="str">
        <f t="shared" si="4"/>
        <v>00:00</v>
      </c>
      <c r="G115" s="12"/>
      <c r="I115" s="14" t="str">
        <f t="shared" si="5"/>
        <v>_00</v>
      </c>
      <c r="J115" s="15" t="str">
        <f t="shared" si="6"/>
        <v>SSFLAT__20260319_00</v>
      </c>
      <c r="K115" s="15" t="str">
        <f t="shared" si="7"/>
        <v>SSFLAT__19000100_0000</v>
      </c>
    </row>
    <row r="116" spans="2:11" x14ac:dyDescent="0.25">
      <c r="B116" t="str">
        <f>IF('FILL ME'!$B$3 = "", "", 'FILL ME'!$B$3)</f>
        <v>WWS</v>
      </c>
      <c r="C116" t="str">
        <f>IF('FILL ME'!$B$4 = "", "", 'FILL ME'!$B$4)</f>
        <v>SSFLAT</v>
      </c>
      <c r="D116" s="11" t="str">
        <f>TEXT('FILL ME'!$B$7,"yyyymmdd")</f>
        <v>20260319</v>
      </c>
      <c r="E116" s="11"/>
      <c r="F116" s="12" t="str">
        <f t="shared" si="4"/>
        <v>00:00</v>
      </c>
      <c r="G116" s="12"/>
      <c r="I116" s="14" t="str">
        <f t="shared" si="5"/>
        <v>_00</v>
      </c>
      <c r="J116" s="15" t="str">
        <f t="shared" si="6"/>
        <v>SSFLAT__20260319_00</v>
      </c>
      <c r="K116" s="15" t="str">
        <f t="shared" si="7"/>
        <v>SSFLAT__19000100_0000</v>
      </c>
    </row>
    <row r="117" spans="2:11" x14ac:dyDescent="0.25">
      <c r="B117" t="str">
        <f>IF('FILL ME'!$B$3 = "", "", 'FILL ME'!$B$3)</f>
        <v>WWS</v>
      </c>
      <c r="C117" t="str">
        <f>IF('FILL ME'!$B$4 = "", "", 'FILL ME'!$B$4)</f>
        <v>SSFLAT</v>
      </c>
      <c r="D117" s="11" t="str">
        <f>TEXT('FILL ME'!$B$7,"yyyymmdd")</f>
        <v>20260319</v>
      </c>
      <c r="E117" s="11"/>
      <c r="F117" s="12" t="str">
        <f t="shared" si="4"/>
        <v>00:00</v>
      </c>
      <c r="G117" s="12"/>
      <c r="I117" s="14" t="str">
        <f t="shared" si="5"/>
        <v>_00</v>
      </c>
      <c r="J117" s="15" t="str">
        <f t="shared" si="6"/>
        <v>SSFLAT__20260319_00</v>
      </c>
      <c r="K117" s="15" t="str">
        <f t="shared" si="7"/>
        <v>SSFLAT__19000100_0000</v>
      </c>
    </row>
    <row r="118" spans="2:11" x14ac:dyDescent="0.25">
      <c r="B118" t="str">
        <f>IF('FILL ME'!$B$3 = "", "", 'FILL ME'!$B$3)</f>
        <v>WWS</v>
      </c>
      <c r="C118" t="str">
        <f>IF('FILL ME'!$B$4 = "", "", 'FILL ME'!$B$4)</f>
        <v>SSFLAT</v>
      </c>
      <c r="D118" s="11" t="str">
        <f>TEXT('FILL ME'!$B$7,"yyyymmdd")</f>
        <v>20260319</v>
      </c>
      <c r="E118" s="11"/>
      <c r="F118" s="12" t="str">
        <f t="shared" si="4"/>
        <v>00:00</v>
      </c>
      <c r="G118" s="12"/>
      <c r="I118" s="14" t="str">
        <f t="shared" si="5"/>
        <v>_00</v>
      </c>
      <c r="J118" s="15" t="str">
        <f t="shared" si="6"/>
        <v>SSFLAT__20260319_00</v>
      </c>
      <c r="K118" s="15" t="str">
        <f t="shared" si="7"/>
        <v>SSFLAT__19000100_0000</v>
      </c>
    </row>
    <row r="119" spans="2:11" x14ac:dyDescent="0.25">
      <c r="B119" t="str">
        <f>IF('FILL ME'!$B$3 = "", "", 'FILL ME'!$B$3)</f>
        <v>WWS</v>
      </c>
      <c r="C119" t="str">
        <f>IF('FILL ME'!$B$4 = "", "", 'FILL ME'!$B$4)</f>
        <v>SSFLAT</v>
      </c>
      <c r="D119" s="11" t="str">
        <f>TEXT('FILL ME'!$B$7,"yyyymmdd")</f>
        <v>20260319</v>
      </c>
      <c r="E119" s="11"/>
      <c r="F119" s="12" t="str">
        <f t="shared" si="4"/>
        <v>00:00</v>
      </c>
      <c r="G119" s="12"/>
      <c r="I119" s="14" t="str">
        <f t="shared" si="5"/>
        <v>_00</v>
      </c>
      <c r="J119" s="15" t="str">
        <f t="shared" si="6"/>
        <v>SSFLAT__20260319_00</v>
      </c>
      <c r="K119" s="15" t="str">
        <f t="shared" si="7"/>
        <v>SSFLAT__19000100_0000</v>
      </c>
    </row>
    <row r="120" spans="2:11" x14ac:dyDescent="0.25">
      <c r="B120" t="str">
        <f>IF('FILL ME'!$B$3 = "", "", 'FILL ME'!$B$3)</f>
        <v>WWS</v>
      </c>
      <c r="C120" t="str">
        <f>IF('FILL ME'!$B$4 = "", "", 'FILL ME'!$B$4)</f>
        <v>SSFLAT</v>
      </c>
      <c r="D120" s="11" t="str">
        <f>TEXT('FILL ME'!$B$7,"yyyymmdd")</f>
        <v>20260319</v>
      </c>
      <c r="E120" s="11"/>
      <c r="F120" s="12" t="str">
        <f t="shared" si="4"/>
        <v>00:00</v>
      </c>
      <c r="G120" s="12"/>
      <c r="I120" s="14" t="str">
        <f t="shared" si="5"/>
        <v>_00</v>
      </c>
      <c r="J120" s="15" t="str">
        <f t="shared" si="6"/>
        <v>SSFLAT__20260319_00</v>
      </c>
      <c r="K120" s="15" t="str">
        <f t="shared" si="7"/>
        <v>SSFLAT__19000100_0000</v>
      </c>
    </row>
    <row r="121" spans="2:11" x14ac:dyDescent="0.25">
      <c r="B121" t="str">
        <f>IF('FILL ME'!$B$3 = "", "", 'FILL ME'!$B$3)</f>
        <v>WWS</v>
      </c>
      <c r="C121" t="str">
        <f>IF('FILL ME'!$B$4 = "", "", 'FILL ME'!$B$4)</f>
        <v>SSFLAT</v>
      </c>
      <c r="D121" s="11" t="str">
        <f>TEXT('FILL ME'!$B$7,"yyyymmdd")</f>
        <v>20260319</v>
      </c>
      <c r="E121" s="11"/>
      <c r="F121" s="12" t="str">
        <f t="shared" si="4"/>
        <v>00:00</v>
      </c>
      <c r="G121" s="12"/>
      <c r="I121" s="14" t="str">
        <f t="shared" si="5"/>
        <v>_00</v>
      </c>
      <c r="J121" s="15" t="str">
        <f t="shared" si="6"/>
        <v>SSFLAT__20260319_00</v>
      </c>
      <c r="K121" s="15" t="str">
        <f t="shared" si="7"/>
        <v>SSFLAT__19000100_0000</v>
      </c>
    </row>
    <row r="122" spans="2:11" x14ac:dyDescent="0.25">
      <c r="B122" t="str">
        <f>IF('FILL ME'!$B$3 = "", "", 'FILL ME'!$B$3)</f>
        <v>WWS</v>
      </c>
      <c r="C122" t="str">
        <f>IF('FILL ME'!$B$4 = "", "", 'FILL ME'!$B$4)</f>
        <v>SSFLAT</v>
      </c>
      <c r="D122" s="11" t="str">
        <f>TEXT('FILL ME'!$B$7,"yyyymmdd")</f>
        <v>20260319</v>
      </c>
      <c r="E122" s="11"/>
      <c r="F122" s="12" t="str">
        <f t="shared" si="4"/>
        <v>00:00</v>
      </c>
      <c r="G122" s="12"/>
      <c r="I122" s="14" t="str">
        <f t="shared" si="5"/>
        <v>_00</v>
      </c>
      <c r="J122" s="15" t="str">
        <f t="shared" si="6"/>
        <v>SSFLAT__20260319_00</v>
      </c>
      <c r="K122" s="15" t="str">
        <f t="shared" si="7"/>
        <v>SSFLAT__19000100_0000</v>
      </c>
    </row>
    <row r="123" spans="2:11" x14ac:dyDescent="0.25">
      <c r="B123" t="str">
        <f>IF('FILL ME'!$B$3 = "", "", 'FILL ME'!$B$3)</f>
        <v>WWS</v>
      </c>
      <c r="C123" t="str">
        <f>IF('FILL ME'!$B$4 = "", "", 'FILL ME'!$B$4)</f>
        <v>SSFLAT</v>
      </c>
      <c r="D123" s="11" t="str">
        <f>TEXT('FILL ME'!$B$7,"yyyymmdd")</f>
        <v>20260319</v>
      </c>
      <c r="E123" s="11"/>
      <c r="F123" s="12" t="str">
        <f t="shared" si="4"/>
        <v>00:00</v>
      </c>
      <c r="G123" s="12"/>
      <c r="I123" s="14" t="str">
        <f t="shared" si="5"/>
        <v>_00</v>
      </c>
      <c r="J123" s="15" t="str">
        <f t="shared" si="6"/>
        <v>SSFLAT__20260319_00</v>
      </c>
      <c r="K123" s="15" t="str">
        <f t="shared" si="7"/>
        <v>SSFLAT__19000100_0000</v>
      </c>
    </row>
    <row r="124" spans="2:11" x14ac:dyDescent="0.25">
      <c r="B124" t="str">
        <f>IF('FILL ME'!$B$3 = "", "", 'FILL ME'!$B$3)</f>
        <v>WWS</v>
      </c>
      <c r="C124" t="str">
        <f>IF('FILL ME'!$B$4 = "", "", 'FILL ME'!$B$4)</f>
        <v>SSFLAT</v>
      </c>
      <c r="D124" s="11" t="str">
        <f>TEXT('FILL ME'!$B$7,"yyyymmdd")</f>
        <v>20260319</v>
      </c>
      <c r="E124" s="11"/>
      <c r="F124" s="12" t="str">
        <f t="shared" si="4"/>
        <v>00:00</v>
      </c>
      <c r="G124" s="12"/>
      <c r="I124" s="14" t="str">
        <f t="shared" si="5"/>
        <v>_00</v>
      </c>
      <c r="J124" s="15" t="str">
        <f t="shared" si="6"/>
        <v>SSFLAT__20260319_00</v>
      </c>
      <c r="K124" s="15" t="str">
        <f t="shared" si="7"/>
        <v>SSFLAT__19000100_0000</v>
      </c>
    </row>
    <row r="125" spans="2:11" x14ac:dyDescent="0.25">
      <c r="B125" t="str">
        <f>IF('FILL ME'!$B$3 = "", "", 'FILL ME'!$B$3)</f>
        <v>WWS</v>
      </c>
      <c r="C125" t="str">
        <f>IF('FILL ME'!$B$4 = "", "", 'FILL ME'!$B$4)</f>
        <v>SSFLAT</v>
      </c>
      <c r="D125" s="11" t="str">
        <f>TEXT('FILL ME'!$B$7,"yyyymmdd")</f>
        <v>20260319</v>
      </c>
      <c r="E125" s="11"/>
      <c r="F125" s="12" t="str">
        <f t="shared" si="4"/>
        <v>00:00</v>
      </c>
      <c r="G125" s="12"/>
      <c r="I125" s="14" t="str">
        <f t="shared" si="5"/>
        <v>_00</v>
      </c>
      <c r="J125" s="15" t="str">
        <f t="shared" si="6"/>
        <v>SSFLAT__20260319_00</v>
      </c>
      <c r="K125" s="15" t="str">
        <f t="shared" si="7"/>
        <v>SSFLAT__19000100_0000</v>
      </c>
    </row>
    <row r="126" spans="2:11" x14ac:dyDescent="0.25">
      <c r="B126" t="str">
        <f>IF('FILL ME'!$B$3 = "", "", 'FILL ME'!$B$3)</f>
        <v>WWS</v>
      </c>
      <c r="C126" t="str">
        <f>IF('FILL ME'!$B$4 = "", "", 'FILL ME'!$B$4)</f>
        <v>SSFLAT</v>
      </c>
      <c r="D126" s="11" t="str">
        <f>TEXT('FILL ME'!$B$7,"yyyymmdd")</f>
        <v>20260319</v>
      </c>
      <c r="E126" s="11"/>
      <c r="F126" s="12" t="str">
        <f t="shared" si="4"/>
        <v>00:00</v>
      </c>
      <c r="G126" s="12"/>
      <c r="I126" s="14" t="str">
        <f t="shared" si="5"/>
        <v>_00</v>
      </c>
      <c r="J126" s="15" t="str">
        <f t="shared" si="6"/>
        <v>SSFLAT__20260319_00</v>
      </c>
      <c r="K126" s="15" t="str">
        <f t="shared" si="7"/>
        <v>SSFLAT__19000100_0000</v>
      </c>
    </row>
    <row r="127" spans="2:11" x14ac:dyDescent="0.25">
      <c r="B127" t="str">
        <f>IF('FILL ME'!$B$3 = "", "", 'FILL ME'!$B$3)</f>
        <v>WWS</v>
      </c>
      <c r="C127" t="str">
        <f>IF('FILL ME'!$B$4 = "", "", 'FILL ME'!$B$4)</f>
        <v>SSFLAT</v>
      </c>
      <c r="D127" s="11" t="str">
        <f>TEXT('FILL ME'!$B$7,"yyyymmdd")</f>
        <v>20260319</v>
      </c>
      <c r="E127" s="11"/>
      <c r="F127" s="12" t="str">
        <f t="shared" si="4"/>
        <v>00:00</v>
      </c>
      <c r="G127" s="12"/>
      <c r="I127" s="14" t="str">
        <f t="shared" si="5"/>
        <v>_00</v>
      </c>
      <c r="J127" s="15" t="str">
        <f t="shared" si="6"/>
        <v>SSFLAT__20260319_00</v>
      </c>
      <c r="K127" s="15" t="str">
        <f t="shared" si="7"/>
        <v>SSFLAT__19000100_0000</v>
      </c>
    </row>
    <row r="128" spans="2:11" x14ac:dyDescent="0.25">
      <c r="B128" t="str">
        <f>IF('FILL ME'!$B$3 = "", "", 'FILL ME'!$B$3)</f>
        <v>WWS</v>
      </c>
      <c r="C128" t="str">
        <f>IF('FILL ME'!$B$4 = "", "", 'FILL ME'!$B$4)</f>
        <v>SSFLAT</v>
      </c>
      <c r="D128" s="11" t="str">
        <f>TEXT('FILL ME'!$B$7,"yyyymmdd")</f>
        <v>20260319</v>
      </c>
      <c r="E128" s="11"/>
      <c r="F128" s="12" t="str">
        <f t="shared" si="4"/>
        <v>00:00</v>
      </c>
      <c r="G128" s="12"/>
      <c r="I128" s="14" t="str">
        <f t="shared" si="5"/>
        <v>_00</v>
      </c>
      <c r="J128" s="15" t="str">
        <f t="shared" si="6"/>
        <v>SSFLAT__20260319_00</v>
      </c>
      <c r="K128" s="15" t="str">
        <f t="shared" si="7"/>
        <v>SSFLAT__19000100_0000</v>
      </c>
    </row>
    <row r="129" spans="2:11" x14ac:dyDescent="0.25">
      <c r="B129" t="str">
        <f>IF('FILL ME'!$B$3 = "", "", 'FILL ME'!$B$3)</f>
        <v>WWS</v>
      </c>
      <c r="C129" t="str">
        <f>IF('FILL ME'!$B$4 = "", "", 'FILL ME'!$B$4)</f>
        <v>SSFLAT</v>
      </c>
      <c r="D129" s="11" t="str">
        <f>TEXT('FILL ME'!$B$7,"yyyymmdd")</f>
        <v>20260319</v>
      </c>
      <c r="E129" s="11"/>
      <c r="F129" s="12" t="str">
        <f t="shared" si="4"/>
        <v>00:00</v>
      </c>
      <c r="G129" s="12"/>
      <c r="I129" s="14" t="str">
        <f t="shared" si="5"/>
        <v>_00</v>
      </c>
      <c r="J129" s="15" t="str">
        <f t="shared" si="6"/>
        <v>SSFLAT__20260319_00</v>
      </c>
      <c r="K129" s="15" t="str">
        <f t="shared" si="7"/>
        <v>SSFLAT__19000100_0000</v>
      </c>
    </row>
    <row r="130" spans="2:11" x14ac:dyDescent="0.25">
      <c r="B130" t="str">
        <f>IF('FILL ME'!$B$3 = "", "", 'FILL ME'!$B$3)</f>
        <v>WWS</v>
      </c>
      <c r="C130" t="str">
        <f>IF('FILL ME'!$B$4 = "", "", 'FILL ME'!$B$4)</f>
        <v>SSFLAT</v>
      </c>
      <c r="D130" s="11" t="str">
        <f>TEXT('FILL ME'!$B$7,"yyyymmdd")</f>
        <v>20260319</v>
      </c>
      <c r="E130" s="11"/>
      <c r="F130" s="12" t="str">
        <f t="shared" si="4"/>
        <v>00:00</v>
      </c>
      <c r="G130" s="12"/>
      <c r="I130" s="14" t="str">
        <f t="shared" si="5"/>
        <v>_00</v>
      </c>
      <c r="J130" s="15" t="str">
        <f t="shared" si="6"/>
        <v>SSFLAT__20260319_00</v>
      </c>
      <c r="K130" s="15" t="str">
        <f t="shared" si="7"/>
        <v>SSFLAT__19000100_0000</v>
      </c>
    </row>
    <row r="131" spans="2:11" x14ac:dyDescent="0.25">
      <c r="B131" t="str">
        <f>IF('FILL ME'!$B$3 = "", "", 'FILL ME'!$B$3)</f>
        <v>WWS</v>
      </c>
      <c r="C131" t="str">
        <f>IF('FILL ME'!$B$4 = "", "", 'FILL ME'!$B$4)</f>
        <v>SSFLAT</v>
      </c>
      <c r="D131" s="11" t="str">
        <f>TEXT('FILL ME'!$B$7,"yyyymmdd")</f>
        <v>20260319</v>
      </c>
      <c r="E131" s="11"/>
      <c r="F131" s="12" t="str">
        <f t="shared" ref="F131:F194" si="8">IF(A131="Grab","",TEXT(E131,"hh:mm"))</f>
        <v>00:00</v>
      </c>
      <c r="G131" s="12"/>
      <c r="I131" s="14" t="str">
        <f t="shared" ref="I131:I194" si="9">CONCATENATE(H131,"_",TEXT(G131,"00"))</f>
        <v>_00</v>
      </c>
      <c r="J131" s="15" t="str">
        <f t="shared" ref="J131:J194" si="10">CONCATENATE(C131,"_", H131,"_",D131,"_",TEXT(G131,"00"))</f>
        <v>SSFLAT__20260319_00</v>
      </c>
      <c r="K131" s="15" t="str">
        <f t="shared" ref="K131:K194" si="11">CONCATENATE(C131,"_", H131,"_",TEXT(E131, "yyyymmdd"),"_",TEXT(F131, "hhmm"))</f>
        <v>SSFLAT__19000100_0000</v>
      </c>
    </row>
    <row r="132" spans="2:11" x14ac:dyDescent="0.25">
      <c r="B132" t="str">
        <f>IF('FILL ME'!$B$3 = "", "", 'FILL ME'!$B$3)</f>
        <v>WWS</v>
      </c>
      <c r="C132" t="str">
        <f>IF('FILL ME'!$B$4 = "", "", 'FILL ME'!$B$4)</f>
        <v>SSFLAT</v>
      </c>
      <c r="D132" s="11" t="str">
        <f>TEXT('FILL ME'!$B$7,"yyyymmdd")</f>
        <v>20260319</v>
      </c>
      <c r="E132" s="11"/>
      <c r="F132" s="12" t="str">
        <f t="shared" si="8"/>
        <v>00:00</v>
      </c>
      <c r="G132" s="12"/>
      <c r="I132" s="14" t="str">
        <f t="shared" si="9"/>
        <v>_00</v>
      </c>
      <c r="J132" s="15" t="str">
        <f t="shared" si="10"/>
        <v>SSFLAT__20260319_00</v>
      </c>
      <c r="K132" s="15" t="str">
        <f t="shared" si="11"/>
        <v>SSFLAT__19000100_0000</v>
      </c>
    </row>
    <row r="133" spans="2:11" x14ac:dyDescent="0.25">
      <c r="B133" t="str">
        <f>IF('FILL ME'!$B$3 = "", "", 'FILL ME'!$B$3)</f>
        <v>WWS</v>
      </c>
      <c r="C133" t="str">
        <f>IF('FILL ME'!$B$4 = "", "", 'FILL ME'!$B$4)</f>
        <v>SSFLAT</v>
      </c>
      <c r="D133" s="11" t="str">
        <f>TEXT('FILL ME'!$B$7,"yyyymmdd")</f>
        <v>20260319</v>
      </c>
      <c r="E133" s="11"/>
      <c r="F133" s="12" t="str">
        <f t="shared" si="8"/>
        <v>00:00</v>
      </c>
      <c r="G133" s="12"/>
      <c r="I133" s="14" t="str">
        <f t="shared" si="9"/>
        <v>_00</v>
      </c>
      <c r="J133" s="15" t="str">
        <f t="shared" si="10"/>
        <v>SSFLAT__20260319_00</v>
      </c>
      <c r="K133" s="15" t="str">
        <f t="shared" si="11"/>
        <v>SSFLAT__19000100_0000</v>
      </c>
    </row>
    <row r="134" spans="2:11" x14ac:dyDescent="0.25">
      <c r="B134" t="str">
        <f>IF('FILL ME'!$B$3 = "", "", 'FILL ME'!$B$3)</f>
        <v>WWS</v>
      </c>
      <c r="C134" t="str">
        <f>IF('FILL ME'!$B$4 = "", "", 'FILL ME'!$B$4)</f>
        <v>SSFLAT</v>
      </c>
      <c r="D134" s="11" t="str">
        <f>TEXT('FILL ME'!$B$7,"yyyymmdd")</f>
        <v>20260319</v>
      </c>
      <c r="E134" s="11"/>
      <c r="F134" s="12" t="str">
        <f t="shared" si="8"/>
        <v>00:00</v>
      </c>
      <c r="G134" s="12"/>
      <c r="I134" s="14" t="str">
        <f t="shared" si="9"/>
        <v>_00</v>
      </c>
      <c r="J134" s="15" t="str">
        <f t="shared" si="10"/>
        <v>SSFLAT__20260319_00</v>
      </c>
      <c r="K134" s="15" t="str">
        <f t="shared" si="11"/>
        <v>SSFLAT__19000100_0000</v>
      </c>
    </row>
    <row r="135" spans="2:11" x14ac:dyDescent="0.25">
      <c r="B135" t="str">
        <f>IF('FILL ME'!$B$3 = "", "", 'FILL ME'!$B$3)</f>
        <v>WWS</v>
      </c>
      <c r="C135" t="str">
        <f>IF('FILL ME'!$B$4 = "", "", 'FILL ME'!$B$4)</f>
        <v>SSFLAT</v>
      </c>
      <c r="D135" s="11" t="str">
        <f>TEXT('FILL ME'!$B$7,"yyyymmdd")</f>
        <v>20260319</v>
      </c>
      <c r="E135" s="11"/>
      <c r="F135" s="12" t="str">
        <f t="shared" si="8"/>
        <v>00:00</v>
      </c>
      <c r="G135" s="12"/>
      <c r="I135" s="14" t="str">
        <f t="shared" si="9"/>
        <v>_00</v>
      </c>
      <c r="J135" s="15" t="str">
        <f t="shared" si="10"/>
        <v>SSFLAT__20260319_00</v>
      </c>
      <c r="K135" s="15" t="str">
        <f t="shared" si="11"/>
        <v>SSFLAT__19000100_0000</v>
      </c>
    </row>
    <row r="136" spans="2:11" x14ac:dyDescent="0.25">
      <c r="B136" t="str">
        <f>IF('FILL ME'!$B$3 = "", "", 'FILL ME'!$B$3)</f>
        <v>WWS</v>
      </c>
      <c r="C136" t="str">
        <f>IF('FILL ME'!$B$4 = "", "", 'FILL ME'!$B$4)</f>
        <v>SSFLAT</v>
      </c>
      <c r="D136" s="11" t="str">
        <f>TEXT('FILL ME'!$B$7,"yyyymmdd")</f>
        <v>20260319</v>
      </c>
      <c r="E136" s="11"/>
      <c r="F136" s="12" t="str">
        <f t="shared" si="8"/>
        <v>00:00</v>
      </c>
      <c r="G136" s="12"/>
      <c r="I136" s="14" t="str">
        <f t="shared" si="9"/>
        <v>_00</v>
      </c>
      <c r="J136" s="15" t="str">
        <f t="shared" si="10"/>
        <v>SSFLAT__20260319_00</v>
      </c>
      <c r="K136" s="15" t="str">
        <f t="shared" si="11"/>
        <v>SSFLAT__19000100_0000</v>
      </c>
    </row>
    <row r="137" spans="2:11" x14ac:dyDescent="0.25">
      <c r="B137" t="str">
        <f>IF('FILL ME'!$B$3 = "", "", 'FILL ME'!$B$3)</f>
        <v>WWS</v>
      </c>
      <c r="C137" t="str">
        <f>IF('FILL ME'!$B$4 = "", "", 'FILL ME'!$B$4)</f>
        <v>SSFLAT</v>
      </c>
      <c r="D137" s="11" t="str">
        <f>TEXT('FILL ME'!$B$7,"yyyymmdd")</f>
        <v>20260319</v>
      </c>
      <c r="E137" s="11"/>
      <c r="F137" s="12" t="str">
        <f t="shared" si="8"/>
        <v>00:00</v>
      </c>
      <c r="G137" s="12"/>
      <c r="I137" s="14" t="str">
        <f t="shared" si="9"/>
        <v>_00</v>
      </c>
      <c r="J137" s="15" t="str">
        <f t="shared" si="10"/>
        <v>SSFLAT__20260319_00</v>
      </c>
      <c r="K137" s="15" t="str">
        <f t="shared" si="11"/>
        <v>SSFLAT__19000100_0000</v>
      </c>
    </row>
    <row r="138" spans="2:11" x14ac:dyDescent="0.25">
      <c r="B138" t="str">
        <f>IF('FILL ME'!$B$3 = "", "", 'FILL ME'!$B$3)</f>
        <v>WWS</v>
      </c>
      <c r="C138" t="str">
        <f>IF('FILL ME'!$B$4 = "", "", 'FILL ME'!$B$4)</f>
        <v>SSFLAT</v>
      </c>
      <c r="D138" s="11" t="str">
        <f>TEXT('FILL ME'!$B$7,"yyyymmdd")</f>
        <v>20260319</v>
      </c>
      <c r="E138" s="11"/>
      <c r="F138" s="12" t="str">
        <f t="shared" si="8"/>
        <v>00:00</v>
      </c>
      <c r="G138" s="12"/>
      <c r="I138" s="14" t="str">
        <f t="shared" si="9"/>
        <v>_00</v>
      </c>
      <c r="J138" s="15" t="str">
        <f t="shared" si="10"/>
        <v>SSFLAT__20260319_00</v>
      </c>
      <c r="K138" s="15" t="str">
        <f t="shared" si="11"/>
        <v>SSFLAT__19000100_0000</v>
      </c>
    </row>
    <row r="139" spans="2:11" x14ac:dyDescent="0.25">
      <c r="B139" t="str">
        <f>IF('FILL ME'!$B$3 = "", "", 'FILL ME'!$B$3)</f>
        <v>WWS</v>
      </c>
      <c r="C139" t="str">
        <f>IF('FILL ME'!$B$4 = "", "", 'FILL ME'!$B$4)</f>
        <v>SSFLAT</v>
      </c>
      <c r="D139" s="11" t="str">
        <f>TEXT('FILL ME'!$B$7,"yyyymmdd")</f>
        <v>20260319</v>
      </c>
      <c r="E139" s="11"/>
      <c r="F139" s="12" t="str">
        <f t="shared" si="8"/>
        <v>00:00</v>
      </c>
      <c r="G139" s="12"/>
      <c r="I139" s="14" t="str">
        <f t="shared" si="9"/>
        <v>_00</v>
      </c>
      <c r="J139" s="15" t="str">
        <f t="shared" si="10"/>
        <v>SSFLAT__20260319_00</v>
      </c>
      <c r="K139" s="15" t="str">
        <f t="shared" si="11"/>
        <v>SSFLAT__19000100_0000</v>
      </c>
    </row>
    <row r="140" spans="2:11" x14ac:dyDescent="0.25">
      <c r="B140" t="str">
        <f>IF('FILL ME'!$B$3 = "", "", 'FILL ME'!$B$3)</f>
        <v>WWS</v>
      </c>
      <c r="C140" t="str">
        <f>IF('FILL ME'!$B$4 = "", "", 'FILL ME'!$B$4)</f>
        <v>SSFLAT</v>
      </c>
      <c r="D140" s="11" t="str">
        <f>TEXT('FILL ME'!$B$7,"yyyymmdd")</f>
        <v>20260319</v>
      </c>
      <c r="E140" s="11"/>
      <c r="F140" s="12" t="str">
        <f t="shared" si="8"/>
        <v>00:00</v>
      </c>
      <c r="G140" s="12"/>
      <c r="I140" s="14" t="str">
        <f t="shared" si="9"/>
        <v>_00</v>
      </c>
      <c r="J140" s="15" t="str">
        <f t="shared" si="10"/>
        <v>SSFLAT__20260319_00</v>
      </c>
      <c r="K140" s="15" t="str">
        <f t="shared" si="11"/>
        <v>SSFLAT__19000100_0000</v>
      </c>
    </row>
    <row r="141" spans="2:11" x14ac:dyDescent="0.25">
      <c r="B141" t="str">
        <f>IF('FILL ME'!$B$3 = "", "", 'FILL ME'!$B$3)</f>
        <v>WWS</v>
      </c>
      <c r="C141" t="str">
        <f>IF('FILL ME'!$B$4 = "", "", 'FILL ME'!$B$4)</f>
        <v>SSFLAT</v>
      </c>
      <c r="D141" s="11" t="str">
        <f>TEXT('FILL ME'!$B$7,"yyyymmdd")</f>
        <v>20260319</v>
      </c>
      <c r="E141" s="11"/>
      <c r="F141" s="12" t="str">
        <f t="shared" si="8"/>
        <v>00:00</v>
      </c>
      <c r="G141" s="12"/>
      <c r="I141" s="14" t="str">
        <f t="shared" si="9"/>
        <v>_00</v>
      </c>
      <c r="J141" s="15" t="str">
        <f t="shared" si="10"/>
        <v>SSFLAT__20260319_00</v>
      </c>
      <c r="K141" s="15" t="str">
        <f t="shared" si="11"/>
        <v>SSFLAT__19000100_0000</v>
      </c>
    </row>
    <row r="142" spans="2:11" x14ac:dyDescent="0.25">
      <c r="B142" t="str">
        <f>IF('FILL ME'!$B$3 = "", "", 'FILL ME'!$B$3)</f>
        <v>WWS</v>
      </c>
      <c r="C142" t="str">
        <f>IF('FILL ME'!$B$4 = "", "", 'FILL ME'!$B$4)</f>
        <v>SSFLAT</v>
      </c>
      <c r="D142" s="11" t="str">
        <f>TEXT('FILL ME'!$B$7,"yyyymmdd")</f>
        <v>20260319</v>
      </c>
      <c r="E142" s="11"/>
      <c r="F142" s="12" t="str">
        <f t="shared" si="8"/>
        <v>00:00</v>
      </c>
      <c r="G142" s="12"/>
      <c r="I142" s="14" t="str">
        <f t="shared" si="9"/>
        <v>_00</v>
      </c>
      <c r="J142" s="15" t="str">
        <f t="shared" si="10"/>
        <v>SSFLAT__20260319_00</v>
      </c>
      <c r="K142" s="15" t="str">
        <f t="shared" si="11"/>
        <v>SSFLAT__19000100_0000</v>
      </c>
    </row>
    <row r="143" spans="2:11" x14ac:dyDescent="0.25">
      <c r="B143" t="str">
        <f>IF('FILL ME'!$B$3 = "", "", 'FILL ME'!$B$3)</f>
        <v>WWS</v>
      </c>
      <c r="C143" t="str">
        <f>IF('FILL ME'!$B$4 = "", "", 'FILL ME'!$B$4)</f>
        <v>SSFLAT</v>
      </c>
      <c r="D143" s="11" t="str">
        <f>TEXT('FILL ME'!$B$7,"yyyymmdd")</f>
        <v>20260319</v>
      </c>
      <c r="E143" s="11"/>
      <c r="F143" s="12" t="str">
        <f t="shared" si="8"/>
        <v>00:00</v>
      </c>
      <c r="G143" s="12"/>
      <c r="I143" s="14" t="str">
        <f t="shared" si="9"/>
        <v>_00</v>
      </c>
      <c r="J143" s="15" t="str">
        <f t="shared" si="10"/>
        <v>SSFLAT__20260319_00</v>
      </c>
      <c r="K143" s="15" t="str">
        <f t="shared" si="11"/>
        <v>SSFLAT__19000100_0000</v>
      </c>
    </row>
    <row r="144" spans="2:11" x14ac:dyDescent="0.25">
      <c r="B144" t="str">
        <f>IF('FILL ME'!$B$3 = "", "", 'FILL ME'!$B$3)</f>
        <v>WWS</v>
      </c>
      <c r="C144" t="str">
        <f>IF('FILL ME'!$B$4 = "", "", 'FILL ME'!$B$4)</f>
        <v>SSFLAT</v>
      </c>
      <c r="D144" s="11" t="str">
        <f>TEXT('FILL ME'!$B$7,"yyyymmdd")</f>
        <v>20260319</v>
      </c>
      <c r="E144" s="11"/>
      <c r="F144" s="12" t="str">
        <f t="shared" si="8"/>
        <v>00:00</v>
      </c>
      <c r="G144" s="12"/>
      <c r="I144" s="14" t="str">
        <f t="shared" si="9"/>
        <v>_00</v>
      </c>
      <c r="J144" s="15" t="str">
        <f t="shared" si="10"/>
        <v>SSFLAT__20260319_00</v>
      </c>
      <c r="K144" s="15" t="str">
        <f t="shared" si="11"/>
        <v>SSFLAT__19000100_0000</v>
      </c>
    </row>
    <row r="145" spans="2:11" x14ac:dyDescent="0.25">
      <c r="B145" t="str">
        <f>IF('FILL ME'!$B$3 = "", "", 'FILL ME'!$B$3)</f>
        <v>WWS</v>
      </c>
      <c r="C145" t="str">
        <f>IF('FILL ME'!$B$4 = "", "", 'FILL ME'!$B$4)</f>
        <v>SSFLAT</v>
      </c>
      <c r="D145" s="11" t="str">
        <f>TEXT('FILL ME'!$B$7,"yyyymmdd")</f>
        <v>20260319</v>
      </c>
      <c r="E145" s="11"/>
      <c r="F145" s="12" t="str">
        <f t="shared" si="8"/>
        <v>00:00</v>
      </c>
      <c r="G145" s="12"/>
      <c r="I145" s="14" t="str">
        <f t="shared" si="9"/>
        <v>_00</v>
      </c>
      <c r="J145" s="15" t="str">
        <f t="shared" si="10"/>
        <v>SSFLAT__20260319_00</v>
      </c>
      <c r="K145" s="15" t="str">
        <f t="shared" si="11"/>
        <v>SSFLAT__19000100_0000</v>
      </c>
    </row>
    <row r="146" spans="2:11" x14ac:dyDescent="0.25">
      <c r="B146" t="str">
        <f>IF('FILL ME'!$B$3 = "", "", 'FILL ME'!$B$3)</f>
        <v>WWS</v>
      </c>
      <c r="C146" t="str">
        <f>IF('FILL ME'!$B$4 = "", "", 'FILL ME'!$B$4)</f>
        <v>SSFLAT</v>
      </c>
      <c r="D146" s="11" t="str">
        <f>TEXT('FILL ME'!$B$7,"yyyymmdd")</f>
        <v>20260319</v>
      </c>
      <c r="E146" s="11"/>
      <c r="F146" s="12" t="str">
        <f t="shared" si="8"/>
        <v>00:00</v>
      </c>
      <c r="G146" s="12"/>
      <c r="I146" s="14" t="str">
        <f t="shared" si="9"/>
        <v>_00</v>
      </c>
      <c r="J146" s="15" t="str">
        <f t="shared" si="10"/>
        <v>SSFLAT__20260319_00</v>
      </c>
      <c r="K146" s="15" t="str">
        <f t="shared" si="11"/>
        <v>SSFLAT__19000100_0000</v>
      </c>
    </row>
    <row r="147" spans="2:11" x14ac:dyDescent="0.25">
      <c r="B147" t="str">
        <f>IF('FILL ME'!$B$3 = "", "", 'FILL ME'!$B$3)</f>
        <v>WWS</v>
      </c>
      <c r="C147" t="str">
        <f>IF('FILL ME'!$B$4 = "", "", 'FILL ME'!$B$4)</f>
        <v>SSFLAT</v>
      </c>
      <c r="D147" s="11" t="str">
        <f>TEXT('FILL ME'!$B$7,"yyyymmdd")</f>
        <v>20260319</v>
      </c>
      <c r="E147" s="11"/>
      <c r="F147" s="12" t="str">
        <f t="shared" si="8"/>
        <v>00:00</v>
      </c>
      <c r="G147" s="12"/>
      <c r="I147" s="14" t="str">
        <f t="shared" si="9"/>
        <v>_00</v>
      </c>
      <c r="J147" s="15" t="str">
        <f t="shared" si="10"/>
        <v>SSFLAT__20260319_00</v>
      </c>
      <c r="K147" s="15" t="str">
        <f t="shared" si="11"/>
        <v>SSFLAT__19000100_0000</v>
      </c>
    </row>
    <row r="148" spans="2:11" x14ac:dyDescent="0.25">
      <c r="B148" t="str">
        <f>IF('FILL ME'!$B$3 = "", "", 'FILL ME'!$B$3)</f>
        <v>WWS</v>
      </c>
      <c r="C148" t="str">
        <f>IF('FILL ME'!$B$4 = "", "", 'FILL ME'!$B$4)</f>
        <v>SSFLAT</v>
      </c>
      <c r="D148" s="11" t="str">
        <f>TEXT('FILL ME'!$B$7,"yyyymmdd")</f>
        <v>20260319</v>
      </c>
      <c r="E148" s="11"/>
      <c r="F148" s="12" t="str">
        <f t="shared" si="8"/>
        <v>00:00</v>
      </c>
      <c r="G148" s="12"/>
      <c r="I148" s="14" t="str">
        <f t="shared" si="9"/>
        <v>_00</v>
      </c>
      <c r="J148" s="15" t="str">
        <f t="shared" si="10"/>
        <v>SSFLAT__20260319_00</v>
      </c>
      <c r="K148" s="15" t="str">
        <f t="shared" si="11"/>
        <v>SSFLAT__19000100_0000</v>
      </c>
    </row>
    <row r="149" spans="2:11" x14ac:dyDescent="0.25">
      <c r="B149" t="str">
        <f>IF('FILL ME'!$B$3 = "", "", 'FILL ME'!$B$3)</f>
        <v>WWS</v>
      </c>
      <c r="C149" t="str">
        <f>IF('FILL ME'!$B$4 = "", "", 'FILL ME'!$B$4)</f>
        <v>SSFLAT</v>
      </c>
      <c r="D149" s="11" t="str">
        <f>TEXT('FILL ME'!$B$7,"yyyymmdd")</f>
        <v>20260319</v>
      </c>
      <c r="E149" s="11"/>
      <c r="F149" s="12" t="str">
        <f t="shared" si="8"/>
        <v>00:00</v>
      </c>
      <c r="G149" s="12"/>
      <c r="I149" s="14" t="str">
        <f t="shared" si="9"/>
        <v>_00</v>
      </c>
      <c r="J149" s="15" t="str">
        <f t="shared" si="10"/>
        <v>SSFLAT__20260319_00</v>
      </c>
      <c r="K149" s="15" t="str">
        <f t="shared" si="11"/>
        <v>SSFLAT__19000100_0000</v>
      </c>
    </row>
    <row r="150" spans="2:11" x14ac:dyDescent="0.25">
      <c r="B150" t="str">
        <f>IF('FILL ME'!$B$3 = "", "", 'FILL ME'!$B$3)</f>
        <v>WWS</v>
      </c>
      <c r="C150" t="str">
        <f>IF('FILL ME'!$B$4 = "", "", 'FILL ME'!$B$4)</f>
        <v>SSFLAT</v>
      </c>
      <c r="D150" s="11" t="str">
        <f>TEXT('FILL ME'!$B$7,"yyyymmdd")</f>
        <v>20260319</v>
      </c>
      <c r="E150" s="11"/>
      <c r="F150" s="12" t="str">
        <f t="shared" si="8"/>
        <v>00:00</v>
      </c>
      <c r="G150" s="12"/>
      <c r="I150" s="14" t="str">
        <f t="shared" si="9"/>
        <v>_00</v>
      </c>
      <c r="J150" s="15" t="str">
        <f t="shared" si="10"/>
        <v>SSFLAT__20260319_00</v>
      </c>
      <c r="K150" s="15" t="str">
        <f t="shared" si="11"/>
        <v>SSFLAT__19000100_0000</v>
      </c>
    </row>
    <row r="151" spans="2:11" x14ac:dyDescent="0.25">
      <c r="B151" t="str">
        <f>IF('FILL ME'!$B$3 = "", "", 'FILL ME'!$B$3)</f>
        <v>WWS</v>
      </c>
      <c r="C151" t="str">
        <f>IF('FILL ME'!$B$4 = "", "", 'FILL ME'!$B$4)</f>
        <v>SSFLAT</v>
      </c>
      <c r="D151" s="11" t="str">
        <f>TEXT('FILL ME'!$B$7,"yyyymmdd")</f>
        <v>20260319</v>
      </c>
      <c r="E151" s="11"/>
      <c r="F151" s="12" t="str">
        <f t="shared" si="8"/>
        <v>00:00</v>
      </c>
      <c r="G151" s="12"/>
      <c r="I151" s="14" t="str">
        <f t="shared" si="9"/>
        <v>_00</v>
      </c>
      <c r="J151" s="15" t="str">
        <f t="shared" si="10"/>
        <v>SSFLAT__20260319_00</v>
      </c>
      <c r="K151" s="15" t="str">
        <f t="shared" si="11"/>
        <v>SSFLAT__19000100_0000</v>
      </c>
    </row>
    <row r="152" spans="2:11" x14ac:dyDescent="0.25">
      <c r="B152" t="str">
        <f>IF('FILL ME'!$B$3 = "", "", 'FILL ME'!$B$3)</f>
        <v>WWS</v>
      </c>
      <c r="C152" t="str">
        <f>IF('FILL ME'!$B$4 = "", "", 'FILL ME'!$B$4)</f>
        <v>SSFLAT</v>
      </c>
      <c r="D152" s="11" t="str">
        <f>TEXT('FILL ME'!$B$7,"yyyymmdd")</f>
        <v>20260319</v>
      </c>
      <c r="E152" s="11"/>
      <c r="F152" s="12" t="str">
        <f t="shared" si="8"/>
        <v>00:00</v>
      </c>
      <c r="G152" s="12"/>
      <c r="I152" s="14" t="str">
        <f t="shared" si="9"/>
        <v>_00</v>
      </c>
      <c r="J152" s="15" t="str">
        <f t="shared" si="10"/>
        <v>SSFLAT__20260319_00</v>
      </c>
      <c r="K152" s="15" t="str">
        <f t="shared" si="11"/>
        <v>SSFLAT__19000100_0000</v>
      </c>
    </row>
    <row r="153" spans="2:11" x14ac:dyDescent="0.25">
      <c r="B153" t="str">
        <f>IF('FILL ME'!$B$3 = "", "", 'FILL ME'!$B$3)</f>
        <v>WWS</v>
      </c>
      <c r="C153" t="str">
        <f>IF('FILL ME'!$B$4 = "", "", 'FILL ME'!$B$4)</f>
        <v>SSFLAT</v>
      </c>
      <c r="D153" s="11" t="str">
        <f>TEXT('FILL ME'!$B$7,"yyyymmdd")</f>
        <v>20260319</v>
      </c>
      <c r="E153" s="11"/>
      <c r="F153" s="12" t="str">
        <f t="shared" si="8"/>
        <v>00:00</v>
      </c>
      <c r="G153" s="12"/>
      <c r="I153" s="14" t="str">
        <f t="shared" si="9"/>
        <v>_00</v>
      </c>
      <c r="J153" s="15" t="str">
        <f t="shared" si="10"/>
        <v>SSFLAT__20260319_00</v>
      </c>
      <c r="K153" s="15" t="str">
        <f t="shared" si="11"/>
        <v>SSFLAT__19000100_0000</v>
      </c>
    </row>
    <row r="154" spans="2:11" x14ac:dyDescent="0.25">
      <c r="B154" t="str">
        <f>IF('FILL ME'!$B$3 = "", "", 'FILL ME'!$B$3)</f>
        <v>WWS</v>
      </c>
      <c r="C154" t="str">
        <f>IF('FILL ME'!$B$4 = "", "", 'FILL ME'!$B$4)</f>
        <v>SSFLAT</v>
      </c>
      <c r="D154" s="11" t="str">
        <f>TEXT('FILL ME'!$B$7,"yyyymmdd")</f>
        <v>20260319</v>
      </c>
      <c r="E154" s="11"/>
      <c r="F154" s="12" t="str">
        <f t="shared" si="8"/>
        <v>00:00</v>
      </c>
      <c r="G154" s="12"/>
      <c r="I154" s="14" t="str">
        <f t="shared" si="9"/>
        <v>_00</v>
      </c>
      <c r="J154" s="15" t="str">
        <f t="shared" si="10"/>
        <v>SSFLAT__20260319_00</v>
      </c>
      <c r="K154" s="15" t="str">
        <f t="shared" si="11"/>
        <v>SSFLAT__19000100_0000</v>
      </c>
    </row>
    <row r="155" spans="2:11" x14ac:dyDescent="0.25">
      <c r="B155" t="str">
        <f>IF('FILL ME'!$B$3 = "", "", 'FILL ME'!$B$3)</f>
        <v>WWS</v>
      </c>
      <c r="C155" t="str">
        <f>IF('FILL ME'!$B$4 = "", "", 'FILL ME'!$B$4)</f>
        <v>SSFLAT</v>
      </c>
      <c r="D155" s="11" t="str">
        <f>TEXT('FILL ME'!$B$7,"yyyymmdd")</f>
        <v>20260319</v>
      </c>
      <c r="E155" s="11"/>
      <c r="F155" s="12" t="str">
        <f t="shared" si="8"/>
        <v>00:00</v>
      </c>
      <c r="G155" s="12"/>
      <c r="I155" s="14" t="str">
        <f t="shared" si="9"/>
        <v>_00</v>
      </c>
      <c r="J155" s="15" t="str">
        <f t="shared" si="10"/>
        <v>SSFLAT__20260319_00</v>
      </c>
      <c r="K155" s="15" t="str">
        <f t="shared" si="11"/>
        <v>SSFLAT__19000100_0000</v>
      </c>
    </row>
    <row r="156" spans="2:11" x14ac:dyDescent="0.25">
      <c r="B156" t="str">
        <f>IF('FILL ME'!$B$3 = "", "", 'FILL ME'!$B$3)</f>
        <v>WWS</v>
      </c>
      <c r="C156" t="str">
        <f>IF('FILL ME'!$B$4 = "", "", 'FILL ME'!$B$4)</f>
        <v>SSFLAT</v>
      </c>
      <c r="D156" s="11" t="str">
        <f>TEXT('FILL ME'!$B$7,"yyyymmdd")</f>
        <v>20260319</v>
      </c>
      <c r="E156" s="11"/>
      <c r="F156" s="12" t="str">
        <f t="shared" si="8"/>
        <v>00:00</v>
      </c>
      <c r="G156" s="12"/>
      <c r="I156" s="14" t="str">
        <f t="shared" si="9"/>
        <v>_00</v>
      </c>
      <c r="J156" s="15" t="str">
        <f t="shared" si="10"/>
        <v>SSFLAT__20260319_00</v>
      </c>
      <c r="K156" s="15" t="str">
        <f t="shared" si="11"/>
        <v>SSFLAT__19000100_0000</v>
      </c>
    </row>
    <row r="157" spans="2:11" x14ac:dyDescent="0.25">
      <c r="B157" t="str">
        <f>IF('FILL ME'!$B$3 = "", "", 'FILL ME'!$B$3)</f>
        <v>WWS</v>
      </c>
      <c r="C157" t="str">
        <f>IF('FILL ME'!$B$4 = "", "", 'FILL ME'!$B$4)</f>
        <v>SSFLAT</v>
      </c>
      <c r="D157" s="11" t="str">
        <f>TEXT('FILL ME'!$B$7,"yyyymmdd")</f>
        <v>20260319</v>
      </c>
      <c r="E157" s="11"/>
      <c r="F157" s="12" t="str">
        <f t="shared" si="8"/>
        <v>00:00</v>
      </c>
      <c r="G157" s="12"/>
      <c r="I157" s="14" t="str">
        <f t="shared" si="9"/>
        <v>_00</v>
      </c>
      <c r="J157" s="15" t="str">
        <f t="shared" si="10"/>
        <v>SSFLAT__20260319_00</v>
      </c>
      <c r="K157" s="15" t="str">
        <f t="shared" si="11"/>
        <v>SSFLAT__19000100_0000</v>
      </c>
    </row>
    <row r="158" spans="2:11" x14ac:dyDescent="0.25">
      <c r="B158" t="str">
        <f>IF('FILL ME'!$B$3 = "", "", 'FILL ME'!$B$3)</f>
        <v>WWS</v>
      </c>
      <c r="C158" t="str">
        <f>IF('FILL ME'!$B$4 = "", "", 'FILL ME'!$B$4)</f>
        <v>SSFLAT</v>
      </c>
      <c r="D158" s="11" t="str">
        <f>TEXT('FILL ME'!$B$7,"yyyymmdd")</f>
        <v>20260319</v>
      </c>
      <c r="E158" s="11"/>
      <c r="F158" s="12" t="str">
        <f t="shared" si="8"/>
        <v>00:00</v>
      </c>
      <c r="G158" s="12"/>
      <c r="I158" s="14" t="str">
        <f t="shared" si="9"/>
        <v>_00</v>
      </c>
      <c r="J158" s="15" t="str">
        <f t="shared" si="10"/>
        <v>SSFLAT__20260319_00</v>
      </c>
      <c r="K158" s="15" t="str">
        <f t="shared" si="11"/>
        <v>SSFLAT__19000100_0000</v>
      </c>
    </row>
    <row r="159" spans="2:11" x14ac:dyDescent="0.25">
      <c r="B159" t="str">
        <f>IF('FILL ME'!$B$3 = "", "", 'FILL ME'!$B$3)</f>
        <v>WWS</v>
      </c>
      <c r="C159" t="str">
        <f>IF('FILL ME'!$B$4 = "", "", 'FILL ME'!$B$4)</f>
        <v>SSFLAT</v>
      </c>
      <c r="D159" s="11" t="str">
        <f>TEXT('FILL ME'!$B$7,"yyyymmdd")</f>
        <v>20260319</v>
      </c>
      <c r="E159" s="11"/>
      <c r="F159" s="12" t="str">
        <f t="shared" si="8"/>
        <v>00:00</v>
      </c>
      <c r="G159" s="12"/>
      <c r="I159" s="14" t="str">
        <f t="shared" si="9"/>
        <v>_00</v>
      </c>
      <c r="J159" s="15" t="str">
        <f t="shared" si="10"/>
        <v>SSFLAT__20260319_00</v>
      </c>
      <c r="K159" s="15" t="str">
        <f t="shared" si="11"/>
        <v>SSFLAT__19000100_0000</v>
      </c>
    </row>
    <row r="160" spans="2:11" x14ac:dyDescent="0.25">
      <c r="B160" t="str">
        <f>IF('FILL ME'!$B$3 = "", "", 'FILL ME'!$B$3)</f>
        <v>WWS</v>
      </c>
      <c r="C160" t="str">
        <f>IF('FILL ME'!$B$4 = "", "", 'FILL ME'!$B$4)</f>
        <v>SSFLAT</v>
      </c>
      <c r="D160" s="11" t="str">
        <f>TEXT('FILL ME'!$B$7,"yyyymmdd")</f>
        <v>20260319</v>
      </c>
      <c r="E160" s="11"/>
      <c r="F160" s="12" t="str">
        <f t="shared" si="8"/>
        <v>00:00</v>
      </c>
      <c r="G160" s="12"/>
      <c r="I160" s="14" t="str">
        <f t="shared" si="9"/>
        <v>_00</v>
      </c>
      <c r="J160" s="15" t="str">
        <f t="shared" si="10"/>
        <v>SSFLAT__20260319_00</v>
      </c>
      <c r="K160" s="15" t="str">
        <f t="shared" si="11"/>
        <v>SSFLAT__19000100_0000</v>
      </c>
    </row>
    <row r="161" spans="2:11" x14ac:dyDescent="0.25">
      <c r="B161" t="str">
        <f>IF('FILL ME'!$B$3 = "", "", 'FILL ME'!$B$3)</f>
        <v>WWS</v>
      </c>
      <c r="C161" t="str">
        <f>IF('FILL ME'!$B$4 = "", "", 'FILL ME'!$B$4)</f>
        <v>SSFLAT</v>
      </c>
      <c r="D161" s="11" t="str">
        <f>TEXT('FILL ME'!$B$7,"yyyymmdd")</f>
        <v>20260319</v>
      </c>
      <c r="E161" s="11"/>
      <c r="F161" s="12" t="str">
        <f t="shared" si="8"/>
        <v>00:00</v>
      </c>
      <c r="G161" s="12"/>
      <c r="I161" s="14" t="str">
        <f t="shared" si="9"/>
        <v>_00</v>
      </c>
      <c r="J161" s="15" t="str">
        <f t="shared" si="10"/>
        <v>SSFLAT__20260319_00</v>
      </c>
      <c r="K161" s="15" t="str">
        <f t="shared" si="11"/>
        <v>SSFLAT__19000100_0000</v>
      </c>
    </row>
    <row r="162" spans="2:11" x14ac:dyDescent="0.25">
      <c r="B162" t="str">
        <f>IF('FILL ME'!$B$3 = "", "", 'FILL ME'!$B$3)</f>
        <v>WWS</v>
      </c>
      <c r="C162" t="str">
        <f>IF('FILL ME'!$B$4 = "", "", 'FILL ME'!$B$4)</f>
        <v>SSFLAT</v>
      </c>
      <c r="D162" s="11" t="str">
        <f>TEXT('FILL ME'!$B$7,"yyyymmdd")</f>
        <v>20260319</v>
      </c>
      <c r="E162" s="11"/>
      <c r="F162" s="12" t="str">
        <f t="shared" si="8"/>
        <v>00:00</v>
      </c>
      <c r="G162" s="12"/>
      <c r="I162" s="14" t="str">
        <f t="shared" si="9"/>
        <v>_00</v>
      </c>
      <c r="J162" s="15" t="str">
        <f t="shared" si="10"/>
        <v>SSFLAT__20260319_00</v>
      </c>
      <c r="K162" s="15" t="str">
        <f t="shared" si="11"/>
        <v>SSFLAT__19000100_0000</v>
      </c>
    </row>
    <row r="163" spans="2:11" x14ac:dyDescent="0.25">
      <c r="B163" t="str">
        <f>IF('FILL ME'!$B$3 = "", "", 'FILL ME'!$B$3)</f>
        <v>WWS</v>
      </c>
      <c r="C163" t="str">
        <f>IF('FILL ME'!$B$4 = "", "", 'FILL ME'!$B$4)</f>
        <v>SSFLAT</v>
      </c>
      <c r="D163" s="11" t="str">
        <f>TEXT('FILL ME'!$B$7,"yyyymmdd")</f>
        <v>20260319</v>
      </c>
      <c r="E163" s="11"/>
      <c r="F163" s="12" t="str">
        <f t="shared" si="8"/>
        <v>00:00</v>
      </c>
      <c r="G163" s="12"/>
      <c r="I163" s="14" t="str">
        <f t="shared" si="9"/>
        <v>_00</v>
      </c>
      <c r="J163" s="15" t="str">
        <f t="shared" si="10"/>
        <v>SSFLAT__20260319_00</v>
      </c>
      <c r="K163" s="15" t="str">
        <f t="shared" si="11"/>
        <v>SSFLAT__19000100_0000</v>
      </c>
    </row>
    <row r="164" spans="2:11" x14ac:dyDescent="0.25">
      <c r="B164" t="str">
        <f>IF('FILL ME'!$B$3 = "", "", 'FILL ME'!$B$3)</f>
        <v>WWS</v>
      </c>
      <c r="C164" t="str">
        <f>IF('FILL ME'!$B$4 = "", "", 'FILL ME'!$B$4)</f>
        <v>SSFLAT</v>
      </c>
      <c r="D164" s="11" t="str">
        <f>TEXT('FILL ME'!$B$7,"yyyymmdd")</f>
        <v>20260319</v>
      </c>
      <c r="E164" s="11"/>
      <c r="F164" s="12" t="str">
        <f t="shared" si="8"/>
        <v>00:00</v>
      </c>
      <c r="G164" s="12"/>
      <c r="I164" s="14" t="str">
        <f t="shared" si="9"/>
        <v>_00</v>
      </c>
      <c r="J164" s="15" t="str">
        <f t="shared" si="10"/>
        <v>SSFLAT__20260319_00</v>
      </c>
      <c r="K164" s="15" t="str">
        <f t="shared" si="11"/>
        <v>SSFLAT__19000100_0000</v>
      </c>
    </row>
    <row r="165" spans="2:11" x14ac:dyDescent="0.25">
      <c r="B165" t="str">
        <f>IF('FILL ME'!$B$3 = "", "", 'FILL ME'!$B$3)</f>
        <v>WWS</v>
      </c>
      <c r="C165" t="str">
        <f>IF('FILL ME'!$B$4 = "", "", 'FILL ME'!$B$4)</f>
        <v>SSFLAT</v>
      </c>
      <c r="D165" s="11" t="str">
        <f>TEXT('FILL ME'!$B$7,"yyyymmdd")</f>
        <v>20260319</v>
      </c>
      <c r="E165" s="11"/>
      <c r="F165" s="12" t="str">
        <f t="shared" si="8"/>
        <v>00:00</v>
      </c>
      <c r="G165" s="12"/>
      <c r="I165" s="14" t="str">
        <f t="shared" si="9"/>
        <v>_00</v>
      </c>
      <c r="J165" s="15" t="str">
        <f t="shared" si="10"/>
        <v>SSFLAT__20260319_00</v>
      </c>
      <c r="K165" s="15" t="str">
        <f t="shared" si="11"/>
        <v>SSFLAT__19000100_0000</v>
      </c>
    </row>
    <row r="166" spans="2:11" x14ac:dyDescent="0.25">
      <c r="B166" t="str">
        <f>IF('FILL ME'!$B$3 = "", "", 'FILL ME'!$B$3)</f>
        <v>WWS</v>
      </c>
      <c r="C166" t="str">
        <f>IF('FILL ME'!$B$4 = "", "", 'FILL ME'!$B$4)</f>
        <v>SSFLAT</v>
      </c>
      <c r="D166" s="11" t="str">
        <f>TEXT('FILL ME'!$B$7,"yyyymmdd")</f>
        <v>20260319</v>
      </c>
      <c r="E166" s="11"/>
      <c r="F166" s="12" t="str">
        <f t="shared" si="8"/>
        <v>00:00</v>
      </c>
      <c r="G166" s="12"/>
      <c r="I166" s="14" t="str">
        <f t="shared" si="9"/>
        <v>_00</v>
      </c>
      <c r="J166" s="15" t="str">
        <f t="shared" si="10"/>
        <v>SSFLAT__20260319_00</v>
      </c>
      <c r="K166" s="15" t="str">
        <f t="shared" si="11"/>
        <v>SSFLAT__19000100_0000</v>
      </c>
    </row>
    <row r="167" spans="2:11" x14ac:dyDescent="0.25">
      <c r="B167" t="str">
        <f>IF('FILL ME'!$B$3 = "", "", 'FILL ME'!$B$3)</f>
        <v>WWS</v>
      </c>
      <c r="C167" t="str">
        <f>IF('FILL ME'!$B$4 = "", "", 'FILL ME'!$B$4)</f>
        <v>SSFLAT</v>
      </c>
      <c r="D167" s="11" t="str">
        <f>TEXT('FILL ME'!$B$7,"yyyymmdd")</f>
        <v>20260319</v>
      </c>
      <c r="E167" s="11"/>
      <c r="F167" s="12" t="str">
        <f t="shared" si="8"/>
        <v>00:00</v>
      </c>
      <c r="G167" s="12"/>
      <c r="I167" s="14" t="str">
        <f t="shared" si="9"/>
        <v>_00</v>
      </c>
      <c r="J167" s="15" t="str">
        <f t="shared" si="10"/>
        <v>SSFLAT__20260319_00</v>
      </c>
      <c r="K167" s="15" t="str">
        <f t="shared" si="11"/>
        <v>SSFLAT__19000100_0000</v>
      </c>
    </row>
    <row r="168" spans="2:11" x14ac:dyDescent="0.25">
      <c r="B168" t="str">
        <f>IF('FILL ME'!$B$3 = "", "", 'FILL ME'!$B$3)</f>
        <v>WWS</v>
      </c>
      <c r="C168" t="str">
        <f>IF('FILL ME'!$B$4 = "", "", 'FILL ME'!$B$4)</f>
        <v>SSFLAT</v>
      </c>
      <c r="D168" s="11" t="str">
        <f>TEXT('FILL ME'!$B$7,"yyyymmdd")</f>
        <v>20260319</v>
      </c>
      <c r="E168" s="11"/>
      <c r="F168" s="12" t="str">
        <f t="shared" si="8"/>
        <v>00:00</v>
      </c>
      <c r="G168" s="12"/>
      <c r="I168" s="14" t="str">
        <f t="shared" si="9"/>
        <v>_00</v>
      </c>
      <c r="J168" s="15" t="str">
        <f t="shared" si="10"/>
        <v>SSFLAT__20260319_00</v>
      </c>
      <c r="K168" s="15" t="str">
        <f t="shared" si="11"/>
        <v>SSFLAT__19000100_0000</v>
      </c>
    </row>
    <row r="169" spans="2:11" x14ac:dyDescent="0.25">
      <c r="B169" t="str">
        <f>IF('FILL ME'!$B$3 = "", "", 'FILL ME'!$B$3)</f>
        <v>WWS</v>
      </c>
      <c r="C169" t="str">
        <f>IF('FILL ME'!$B$4 = "", "", 'FILL ME'!$B$4)</f>
        <v>SSFLAT</v>
      </c>
      <c r="D169" s="11" t="str">
        <f>TEXT('FILL ME'!$B$7,"yyyymmdd")</f>
        <v>20260319</v>
      </c>
      <c r="E169" s="11"/>
      <c r="F169" s="12" t="str">
        <f t="shared" si="8"/>
        <v>00:00</v>
      </c>
      <c r="G169" s="12"/>
      <c r="I169" s="14" t="str">
        <f t="shared" si="9"/>
        <v>_00</v>
      </c>
      <c r="J169" s="15" t="str">
        <f t="shared" si="10"/>
        <v>SSFLAT__20260319_00</v>
      </c>
      <c r="K169" s="15" t="str">
        <f t="shared" si="11"/>
        <v>SSFLAT__19000100_0000</v>
      </c>
    </row>
    <row r="170" spans="2:11" x14ac:dyDescent="0.25">
      <c r="B170" t="str">
        <f>IF('FILL ME'!$B$3 = "", "", 'FILL ME'!$B$3)</f>
        <v>WWS</v>
      </c>
      <c r="C170" t="str">
        <f>IF('FILL ME'!$B$4 = "", "", 'FILL ME'!$B$4)</f>
        <v>SSFLAT</v>
      </c>
      <c r="D170" s="11" t="str">
        <f>TEXT('FILL ME'!$B$7,"yyyymmdd")</f>
        <v>20260319</v>
      </c>
      <c r="E170" s="11"/>
      <c r="F170" s="12" t="str">
        <f t="shared" si="8"/>
        <v>00:00</v>
      </c>
      <c r="G170" s="12"/>
      <c r="I170" s="14" t="str">
        <f t="shared" si="9"/>
        <v>_00</v>
      </c>
      <c r="J170" s="15" t="str">
        <f t="shared" si="10"/>
        <v>SSFLAT__20260319_00</v>
      </c>
      <c r="K170" s="15" t="str">
        <f t="shared" si="11"/>
        <v>SSFLAT__19000100_0000</v>
      </c>
    </row>
    <row r="171" spans="2:11" x14ac:dyDescent="0.25">
      <c r="B171" t="str">
        <f>IF('FILL ME'!$B$3 = "", "", 'FILL ME'!$B$3)</f>
        <v>WWS</v>
      </c>
      <c r="C171" t="str">
        <f>IF('FILL ME'!$B$4 = "", "", 'FILL ME'!$B$4)</f>
        <v>SSFLAT</v>
      </c>
      <c r="D171" s="11" t="str">
        <f>TEXT('FILL ME'!$B$7,"yyyymmdd")</f>
        <v>20260319</v>
      </c>
      <c r="E171" s="11"/>
      <c r="F171" s="12" t="str">
        <f t="shared" si="8"/>
        <v>00:00</v>
      </c>
      <c r="G171" s="12"/>
      <c r="I171" s="14" t="str">
        <f t="shared" si="9"/>
        <v>_00</v>
      </c>
      <c r="J171" s="15" t="str">
        <f t="shared" si="10"/>
        <v>SSFLAT__20260319_00</v>
      </c>
      <c r="K171" s="15" t="str">
        <f t="shared" si="11"/>
        <v>SSFLAT__19000100_0000</v>
      </c>
    </row>
    <row r="172" spans="2:11" x14ac:dyDescent="0.25">
      <c r="B172" t="str">
        <f>IF('FILL ME'!$B$3 = "", "", 'FILL ME'!$B$3)</f>
        <v>WWS</v>
      </c>
      <c r="C172" t="str">
        <f>IF('FILL ME'!$B$4 = "", "", 'FILL ME'!$B$4)</f>
        <v>SSFLAT</v>
      </c>
      <c r="D172" s="11" t="str">
        <f>TEXT('FILL ME'!$B$7,"yyyymmdd")</f>
        <v>20260319</v>
      </c>
      <c r="E172" s="11"/>
      <c r="F172" s="12" t="str">
        <f t="shared" si="8"/>
        <v>00:00</v>
      </c>
      <c r="G172" s="12"/>
      <c r="I172" s="14" t="str">
        <f t="shared" si="9"/>
        <v>_00</v>
      </c>
      <c r="J172" s="15" t="str">
        <f t="shared" si="10"/>
        <v>SSFLAT__20260319_00</v>
      </c>
      <c r="K172" s="15" t="str">
        <f t="shared" si="11"/>
        <v>SSFLAT__19000100_0000</v>
      </c>
    </row>
    <row r="173" spans="2:11" x14ac:dyDescent="0.25">
      <c r="B173" t="str">
        <f>IF('FILL ME'!$B$3 = "", "", 'FILL ME'!$B$3)</f>
        <v>WWS</v>
      </c>
      <c r="C173" t="str">
        <f>IF('FILL ME'!$B$4 = "", "", 'FILL ME'!$B$4)</f>
        <v>SSFLAT</v>
      </c>
      <c r="D173" s="11" t="str">
        <f>TEXT('FILL ME'!$B$7,"yyyymmdd")</f>
        <v>20260319</v>
      </c>
      <c r="E173" s="11"/>
      <c r="F173" s="12" t="str">
        <f t="shared" si="8"/>
        <v>00:00</v>
      </c>
      <c r="G173" s="12"/>
      <c r="I173" s="14" t="str">
        <f t="shared" si="9"/>
        <v>_00</v>
      </c>
      <c r="J173" s="15" t="str">
        <f t="shared" si="10"/>
        <v>SSFLAT__20260319_00</v>
      </c>
      <c r="K173" s="15" t="str">
        <f t="shared" si="11"/>
        <v>SSFLAT__19000100_0000</v>
      </c>
    </row>
    <row r="174" spans="2:11" x14ac:dyDescent="0.25">
      <c r="B174" t="str">
        <f>IF('FILL ME'!$B$3 = "", "", 'FILL ME'!$B$3)</f>
        <v>WWS</v>
      </c>
      <c r="C174" t="str">
        <f>IF('FILL ME'!$B$4 = "", "", 'FILL ME'!$B$4)</f>
        <v>SSFLAT</v>
      </c>
      <c r="D174" s="11" t="str">
        <f>TEXT('FILL ME'!$B$7,"yyyymmdd")</f>
        <v>20260319</v>
      </c>
      <c r="E174" s="11"/>
      <c r="F174" s="12" t="str">
        <f t="shared" si="8"/>
        <v>00:00</v>
      </c>
      <c r="G174" s="12"/>
      <c r="I174" s="14" t="str">
        <f t="shared" si="9"/>
        <v>_00</v>
      </c>
      <c r="J174" s="15" t="str">
        <f t="shared" si="10"/>
        <v>SSFLAT__20260319_00</v>
      </c>
      <c r="K174" s="15" t="str">
        <f t="shared" si="11"/>
        <v>SSFLAT__19000100_0000</v>
      </c>
    </row>
    <row r="175" spans="2:11" x14ac:dyDescent="0.25">
      <c r="B175" t="str">
        <f>IF('FILL ME'!$B$3 = "", "", 'FILL ME'!$B$3)</f>
        <v>WWS</v>
      </c>
      <c r="C175" t="str">
        <f>IF('FILL ME'!$B$4 = "", "", 'FILL ME'!$B$4)</f>
        <v>SSFLAT</v>
      </c>
      <c r="D175" s="11" t="str">
        <f>TEXT('FILL ME'!$B$7,"yyyymmdd")</f>
        <v>20260319</v>
      </c>
      <c r="E175" s="11"/>
      <c r="F175" s="12" t="str">
        <f t="shared" si="8"/>
        <v>00:00</v>
      </c>
      <c r="G175" s="12"/>
      <c r="I175" s="14" t="str">
        <f t="shared" si="9"/>
        <v>_00</v>
      </c>
      <c r="J175" s="15" t="str">
        <f t="shared" si="10"/>
        <v>SSFLAT__20260319_00</v>
      </c>
      <c r="K175" s="15" t="str">
        <f t="shared" si="11"/>
        <v>SSFLAT__19000100_0000</v>
      </c>
    </row>
    <row r="176" spans="2:11" x14ac:dyDescent="0.25">
      <c r="B176" t="str">
        <f>IF('FILL ME'!$B$3 = "", "", 'FILL ME'!$B$3)</f>
        <v>WWS</v>
      </c>
      <c r="C176" t="str">
        <f>IF('FILL ME'!$B$4 = "", "", 'FILL ME'!$B$4)</f>
        <v>SSFLAT</v>
      </c>
      <c r="D176" s="11" t="str">
        <f>TEXT('FILL ME'!$B$7,"yyyymmdd")</f>
        <v>20260319</v>
      </c>
      <c r="E176" s="11"/>
      <c r="F176" s="12" t="str">
        <f t="shared" si="8"/>
        <v>00:00</v>
      </c>
      <c r="G176" s="12"/>
      <c r="I176" s="14" t="str">
        <f t="shared" si="9"/>
        <v>_00</v>
      </c>
      <c r="J176" s="15" t="str">
        <f t="shared" si="10"/>
        <v>SSFLAT__20260319_00</v>
      </c>
      <c r="K176" s="15" t="str">
        <f t="shared" si="11"/>
        <v>SSFLAT__19000100_0000</v>
      </c>
    </row>
    <row r="177" spans="2:11" x14ac:dyDescent="0.25">
      <c r="B177" t="str">
        <f>IF('FILL ME'!$B$3 = "", "", 'FILL ME'!$B$3)</f>
        <v>WWS</v>
      </c>
      <c r="C177" t="str">
        <f>IF('FILL ME'!$B$4 = "", "", 'FILL ME'!$B$4)</f>
        <v>SSFLAT</v>
      </c>
      <c r="D177" s="11" t="str">
        <f>TEXT('FILL ME'!$B$7,"yyyymmdd")</f>
        <v>20260319</v>
      </c>
      <c r="E177" s="11"/>
      <c r="F177" s="12" t="str">
        <f t="shared" si="8"/>
        <v>00:00</v>
      </c>
      <c r="G177" s="12"/>
      <c r="I177" s="14" t="str">
        <f t="shared" si="9"/>
        <v>_00</v>
      </c>
      <c r="J177" s="15" t="str">
        <f t="shared" si="10"/>
        <v>SSFLAT__20260319_00</v>
      </c>
      <c r="K177" s="15" t="str">
        <f t="shared" si="11"/>
        <v>SSFLAT__19000100_0000</v>
      </c>
    </row>
    <row r="178" spans="2:11" x14ac:dyDescent="0.25">
      <c r="B178" t="str">
        <f>IF('FILL ME'!$B$3 = "", "", 'FILL ME'!$B$3)</f>
        <v>WWS</v>
      </c>
      <c r="C178" t="str">
        <f>IF('FILL ME'!$B$4 = "", "", 'FILL ME'!$B$4)</f>
        <v>SSFLAT</v>
      </c>
      <c r="D178" s="11" t="str">
        <f>TEXT('FILL ME'!$B$7,"yyyymmdd")</f>
        <v>20260319</v>
      </c>
      <c r="E178" s="11"/>
      <c r="F178" s="12" t="str">
        <f t="shared" si="8"/>
        <v>00:00</v>
      </c>
      <c r="G178" s="12"/>
      <c r="I178" s="14" t="str">
        <f t="shared" si="9"/>
        <v>_00</v>
      </c>
      <c r="J178" s="15" t="str">
        <f t="shared" si="10"/>
        <v>SSFLAT__20260319_00</v>
      </c>
      <c r="K178" s="15" t="str">
        <f t="shared" si="11"/>
        <v>SSFLAT__19000100_0000</v>
      </c>
    </row>
    <row r="179" spans="2:11" x14ac:dyDescent="0.25">
      <c r="B179" t="str">
        <f>IF('FILL ME'!$B$3 = "", "", 'FILL ME'!$B$3)</f>
        <v>WWS</v>
      </c>
      <c r="C179" t="str">
        <f>IF('FILL ME'!$B$4 = "", "", 'FILL ME'!$B$4)</f>
        <v>SSFLAT</v>
      </c>
      <c r="D179" s="11" t="str">
        <f>TEXT('FILL ME'!$B$7,"yyyymmdd")</f>
        <v>20260319</v>
      </c>
      <c r="E179" s="11"/>
      <c r="F179" s="12" t="str">
        <f t="shared" si="8"/>
        <v>00:00</v>
      </c>
      <c r="G179" s="12"/>
      <c r="I179" s="14" t="str">
        <f t="shared" si="9"/>
        <v>_00</v>
      </c>
      <c r="J179" s="15" t="str">
        <f t="shared" si="10"/>
        <v>SSFLAT__20260319_00</v>
      </c>
      <c r="K179" s="15" t="str">
        <f t="shared" si="11"/>
        <v>SSFLAT__19000100_0000</v>
      </c>
    </row>
    <row r="180" spans="2:11" x14ac:dyDescent="0.25">
      <c r="B180" t="str">
        <f>IF('FILL ME'!$B$3 = "", "", 'FILL ME'!$B$3)</f>
        <v>WWS</v>
      </c>
      <c r="C180" t="str">
        <f>IF('FILL ME'!$B$4 = "", "", 'FILL ME'!$B$4)</f>
        <v>SSFLAT</v>
      </c>
      <c r="D180" s="11" t="str">
        <f>TEXT('FILL ME'!$B$7,"yyyymmdd")</f>
        <v>20260319</v>
      </c>
      <c r="E180" s="11"/>
      <c r="F180" s="12" t="str">
        <f t="shared" si="8"/>
        <v>00:00</v>
      </c>
      <c r="G180" s="12"/>
      <c r="I180" s="14" t="str">
        <f t="shared" si="9"/>
        <v>_00</v>
      </c>
      <c r="J180" s="15" t="str">
        <f t="shared" si="10"/>
        <v>SSFLAT__20260319_00</v>
      </c>
      <c r="K180" s="15" t="str">
        <f t="shared" si="11"/>
        <v>SSFLAT__19000100_0000</v>
      </c>
    </row>
    <row r="181" spans="2:11" x14ac:dyDescent="0.25">
      <c r="B181" t="str">
        <f>IF('FILL ME'!$B$3 = "", "", 'FILL ME'!$B$3)</f>
        <v>WWS</v>
      </c>
      <c r="C181" t="str">
        <f>IF('FILL ME'!$B$4 = "", "", 'FILL ME'!$B$4)</f>
        <v>SSFLAT</v>
      </c>
      <c r="D181" s="11" t="str">
        <f>TEXT('FILL ME'!$B$7,"yyyymmdd")</f>
        <v>20260319</v>
      </c>
      <c r="E181" s="11"/>
      <c r="F181" s="12" t="str">
        <f t="shared" si="8"/>
        <v>00:00</v>
      </c>
      <c r="G181" s="12"/>
      <c r="I181" s="14" t="str">
        <f t="shared" si="9"/>
        <v>_00</v>
      </c>
      <c r="J181" s="15" t="str">
        <f t="shared" si="10"/>
        <v>SSFLAT__20260319_00</v>
      </c>
      <c r="K181" s="15" t="str">
        <f t="shared" si="11"/>
        <v>SSFLAT__19000100_0000</v>
      </c>
    </row>
    <row r="182" spans="2:11" x14ac:dyDescent="0.25">
      <c r="B182" t="str">
        <f>IF('FILL ME'!$B$3 = "", "", 'FILL ME'!$B$3)</f>
        <v>WWS</v>
      </c>
      <c r="C182" t="str">
        <f>IF('FILL ME'!$B$4 = "", "", 'FILL ME'!$B$4)</f>
        <v>SSFLAT</v>
      </c>
      <c r="D182" s="11" t="str">
        <f>TEXT('FILL ME'!$B$7,"yyyymmdd")</f>
        <v>20260319</v>
      </c>
      <c r="E182" s="11"/>
      <c r="F182" s="12" t="str">
        <f t="shared" si="8"/>
        <v>00:00</v>
      </c>
      <c r="G182" s="12"/>
      <c r="I182" s="14" t="str">
        <f t="shared" si="9"/>
        <v>_00</v>
      </c>
      <c r="J182" s="15" t="str">
        <f t="shared" si="10"/>
        <v>SSFLAT__20260319_00</v>
      </c>
      <c r="K182" s="15" t="str">
        <f t="shared" si="11"/>
        <v>SSFLAT__19000100_0000</v>
      </c>
    </row>
    <row r="183" spans="2:11" x14ac:dyDescent="0.25">
      <c r="B183" t="str">
        <f>IF('FILL ME'!$B$3 = "", "", 'FILL ME'!$B$3)</f>
        <v>WWS</v>
      </c>
      <c r="C183" t="str">
        <f>IF('FILL ME'!$B$4 = "", "", 'FILL ME'!$B$4)</f>
        <v>SSFLAT</v>
      </c>
      <c r="D183" s="11" t="str">
        <f>TEXT('FILL ME'!$B$7,"yyyymmdd")</f>
        <v>20260319</v>
      </c>
      <c r="E183" s="11"/>
      <c r="F183" s="12" t="str">
        <f t="shared" si="8"/>
        <v>00:00</v>
      </c>
      <c r="G183" s="12"/>
      <c r="I183" s="14" t="str">
        <f t="shared" si="9"/>
        <v>_00</v>
      </c>
      <c r="J183" s="15" t="str">
        <f t="shared" si="10"/>
        <v>SSFLAT__20260319_00</v>
      </c>
      <c r="K183" s="15" t="str">
        <f t="shared" si="11"/>
        <v>SSFLAT__19000100_0000</v>
      </c>
    </row>
    <row r="184" spans="2:11" x14ac:dyDescent="0.25">
      <c r="B184" t="str">
        <f>IF('FILL ME'!$B$3 = "", "", 'FILL ME'!$B$3)</f>
        <v>WWS</v>
      </c>
      <c r="C184" t="str">
        <f>IF('FILL ME'!$B$4 = "", "", 'FILL ME'!$B$4)</f>
        <v>SSFLAT</v>
      </c>
      <c r="D184" s="11" t="str">
        <f>TEXT('FILL ME'!$B$7,"yyyymmdd")</f>
        <v>20260319</v>
      </c>
      <c r="E184" s="11"/>
      <c r="F184" s="12" t="str">
        <f t="shared" si="8"/>
        <v>00:00</v>
      </c>
      <c r="G184" s="12"/>
      <c r="I184" s="14" t="str">
        <f t="shared" si="9"/>
        <v>_00</v>
      </c>
      <c r="J184" s="15" t="str">
        <f t="shared" si="10"/>
        <v>SSFLAT__20260319_00</v>
      </c>
      <c r="K184" s="15" t="str">
        <f t="shared" si="11"/>
        <v>SSFLAT__19000100_0000</v>
      </c>
    </row>
    <row r="185" spans="2:11" x14ac:dyDescent="0.25">
      <c r="B185" t="str">
        <f>IF('FILL ME'!$B$3 = "", "", 'FILL ME'!$B$3)</f>
        <v>WWS</v>
      </c>
      <c r="C185" t="str">
        <f>IF('FILL ME'!$B$4 = "", "", 'FILL ME'!$B$4)</f>
        <v>SSFLAT</v>
      </c>
      <c r="D185" s="11" t="str">
        <f>TEXT('FILL ME'!$B$7,"yyyymmdd")</f>
        <v>20260319</v>
      </c>
      <c r="E185" s="11"/>
      <c r="F185" s="12" t="str">
        <f t="shared" si="8"/>
        <v>00:00</v>
      </c>
      <c r="G185" s="12"/>
      <c r="I185" s="14" t="str">
        <f t="shared" si="9"/>
        <v>_00</v>
      </c>
      <c r="J185" s="15" t="str">
        <f t="shared" si="10"/>
        <v>SSFLAT__20260319_00</v>
      </c>
      <c r="K185" s="15" t="str">
        <f t="shared" si="11"/>
        <v>SSFLAT__19000100_0000</v>
      </c>
    </row>
    <row r="186" spans="2:11" x14ac:dyDescent="0.25">
      <c r="B186" t="str">
        <f>IF('FILL ME'!$B$3 = "", "", 'FILL ME'!$B$3)</f>
        <v>WWS</v>
      </c>
      <c r="C186" t="str">
        <f>IF('FILL ME'!$B$4 = "", "", 'FILL ME'!$B$4)</f>
        <v>SSFLAT</v>
      </c>
      <c r="D186" s="11" t="str">
        <f>TEXT('FILL ME'!$B$7,"yyyymmdd")</f>
        <v>20260319</v>
      </c>
      <c r="E186" s="11"/>
      <c r="F186" s="12" t="str">
        <f t="shared" si="8"/>
        <v>00:00</v>
      </c>
      <c r="G186" s="12"/>
      <c r="I186" s="14" t="str">
        <f t="shared" si="9"/>
        <v>_00</v>
      </c>
      <c r="J186" s="15" t="str">
        <f t="shared" si="10"/>
        <v>SSFLAT__20260319_00</v>
      </c>
      <c r="K186" s="15" t="str">
        <f t="shared" si="11"/>
        <v>SSFLAT__19000100_0000</v>
      </c>
    </row>
    <row r="187" spans="2:11" x14ac:dyDescent="0.25">
      <c r="B187" t="str">
        <f>IF('FILL ME'!$B$3 = "", "", 'FILL ME'!$B$3)</f>
        <v>WWS</v>
      </c>
      <c r="C187" t="str">
        <f>IF('FILL ME'!$B$4 = "", "", 'FILL ME'!$B$4)</f>
        <v>SSFLAT</v>
      </c>
      <c r="D187" s="11" t="str">
        <f>TEXT('FILL ME'!$B$7,"yyyymmdd")</f>
        <v>20260319</v>
      </c>
      <c r="E187" s="11"/>
      <c r="F187" s="12" t="str">
        <f t="shared" si="8"/>
        <v>00:00</v>
      </c>
      <c r="G187" s="12"/>
      <c r="I187" s="14" t="str">
        <f t="shared" si="9"/>
        <v>_00</v>
      </c>
      <c r="J187" s="15" t="str">
        <f t="shared" si="10"/>
        <v>SSFLAT__20260319_00</v>
      </c>
      <c r="K187" s="15" t="str">
        <f t="shared" si="11"/>
        <v>SSFLAT__19000100_0000</v>
      </c>
    </row>
    <row r="188" spans="2:11" x14ac:dyDescent="0.25">
      <c r="B188" t="str">
        <f>IF('FILL ME'!$B$3 = "", "", 'FILL ME'!$B$3)</f>
        <v>WWS</v>
      </c>
      <c r="C188" t="str">
        <f>IF('FILL ME'!$B$4 = "", "", 'FILL ME'!$B$4)</f>
        <v>SSFLAT</v>
      </c>
      <c r="D188" s="11" t="str">
        <f>TEXT('FILL ME'!$B$7,"yyyymmdd")</f>
        <v>20260319</v>
      </c>
      <c r="E188" s="11"/>
      <c r="F188" s="12" t="str">
        <f t="shared" si="8"/>
        <v>00:00</v>
      </c>
      <c r="G188" s="12"/>
      <c r="I188" s="14" t="str">
        <f t="shared" si="9"/>
        <v>_00</v>
      </c>
      <c r="J188" s="15" t="str">
        <f t="shared" si="10"/>
        <v>SSFLAT__20260319_00</v>
      </c>
      <c r="K188" s="15" t="str">
        <f t="shared" si="11"/>
        <v>SSFLAT__19000100_0000</v>
      </c>
    </row>
    <row r="189" spans="2:11" x14ac:dyDescent="0.25">
      <c r="B189" t="str">
        <f>IF('FILL ME'!$B$3 = "", "", 'FILL ME'!$B$3)</f>
        <v>WWS</v>
      </c>
      <c r="C189" t="str">
        <f>IF('FILL ME'!$B$4 = "", "", 'FILL ME'!$B$4)</f>
        <v>SSFLAT</v>
      </c>
      <c r="D189" s="11" t="str">
        <f>TEXT('FILL ME'!$B$7,"yyyymmdd")</f>
        <v>20260319</v>
      </c>
      <c r="E189" s="11"/>
      <c r="F189" s="12" t="str">
        <f t="shared" si="8"/>
        <v>00:00</v>
      </c>
      <c r="G189" s="12"/>
      <c r="I189" s="14" t="str">
        <f t="shared" si="9"/>
        <v>_00</v>
      </c>
      <c r="J189" s="15" t="str">
        <f t="shared" si="10"/>
        <v>SSFLAT__20260319_00</v>
      </c>
      <c r="K189" s="15" t="str">
        <f t="shared" si="11"/>
        <v>SSFLAT__19000100_0000</v>
      </c>
    </row>
    <row r="190" spans="2:11" x14ac:dyDescent="0.25">
      <c r="B190" t="str">
        <f>IF('FILL ME'!$B$3 = "", "", 'FILL ME'!$B$3)</f>
        <v>WWS</v>
      </c>
      <c r="C190" t="str">
        <f>IF('FILL ME'!$B$4 = "", "", 'FILL ME'!$B$4)</f>
        <v>SSFLAT</v>
      </c>
      <c r="D190" s="11" t="str">
        <f>TEXT('FILL ME'!$B$7,"yyyymmdd")</f>
        <v>20260319</v>
      </c>
      <c r="E190" s="11"/>
      <c r="F190" s="12" t="str">
        <f t="shared" si="8"/>
        <v>00:00</v>
      </c>
      <c r="G190" s="12"/>
      <c r="I190" s="14" t="str">
        <f t="shared" si="9"/>
        <v>_00</v>
      </c>
      <c r="J190" s="15" t="str">
        <f t="shared" si="10"/>
        <v>SSFLAT__20260319_00</v>
      </c>
      <c r="K190" s="15" t="str">
        <f t="shared" si="11"/>
        <v>SSFLAT__19000100_0000</v>
      </c>
    </row>
    <row r="191" spans="2:11" x14ac:dyDescent="0.25">
      <c r="B191" t="str">
        <f>IF('FILL ME'!$B$3 = "", "", 'FILL ME'!$B$3)</f>
        <v>WWS</v>
      </c>
      <c r="C191" t="str">
        <f>IF('FILL ME'!$B$4 = "", "", 'FILL ME'!$B$4)</f>
        <v>SSFLAT</v>
      </c>
      <c r="D191" s="11" t="str">
        <f>TEXT('FILL ME'!$B$7,"yyyymmdd")</f>
        <v>20260319</v>
      </c>
      <c r="E191" s="11"/>
      <c r="F191" s="12" t="str">
        <f t="shared" si="8"/>
        <v>00:00</v>
      </c>
      <c r="G191" s="12"/>
      <c r="I191" s="14" t="str">
        <f t="shared" si="9"/>
        <v>_00</v>
      </c>
      <c r="J191" s="15" t="str">
        <f t="shared" si="10"/>
        <v>SSFLAT__20260319_00</v>
      </c>
      <c r="K191" s="15" t="str">
        <f t="shared" si="11"/>
        <v>SSFLAT__19000100_0000</v>
      </c>
    </row>
    <row r="192" spans="2:11" x14ac:dyDescent="0.25">
      <c r="B192" t="str">
        <f>IF('FILL ME'!$B$3 = "", "", 'FILL ME'!$B$3)</f>
        <v>WWS</v>
      </c>
      <c r="C192" t="str">
        <f>IF('FILL ME'!$B$4 = "", "", 'FILL ME'!$B$4)</f>
        <v>SSFLAT</v>
      </c>
      <c r="D192" s="11" t="str">
        <f>TEXT('FILL ME'!$B$7,"yyyymmdd")</f>
        <v>20260319</v>
      </c>
      <c r="E192" s="11"/>
      <c r="F192" s="12" t="str">
        <f t="shared" si="8"/>
        <v>00:00</v>
      </c>
      <c r="G192" s="12"/>
      <c r="I192" s="14" t="str">
        <f t="shared" si="9"/>
        <v>_00</v>
      </c>
      <c r="J192" s="15" t="str">
        <f t="shared" si="10"/>
        <v>SSFLAT__20260319_00</v>
      </c>
      <c r="K192" s="15" t="str">
        <f t="shared" si="11"/>
        <v>SSFLAT__19000100_0000</v>
      </c>
    </row>
    <row r="193" spans="2:11" x14ac:dyDescent="0.25">
      <c r="B193" t="str">
        <f>IF('FILL ME'!$B$3 = "", "", 'FILL ME'!$B$3)</f>
        <v>WWS</v>
      </c>
      <c r="C193" t="str">
        <f>IF('FILL ME'!$B$4 = "", "", 'FILL ME'!$B$4)</f>
        <v>SSFLAT</v>
      </c>
      <c r="D193" s="11" t="str">
        <f>TEXT('FILL ME'!$B$7,"yyyymmdd")</f>
        <v>20260319</v>
      </c>
      <c r="E193" s="11"/>
      <c r="F193" s="12" t="str">
        <f t="shared" si="8"/>
        <v>00:00</v>
      </c>
      <c r="G193" s="12"/>
      <c r="I193" s="14" t="str">
        <f t="shared" si="9"/>
        <v>_00</v>
      </c>
      <c r="J193" s="15" t="str">
        <f t="shared" si="10"/>
        <v>SSFLAT__20260319_00</v>
      </c>
      <c r="K193" s="15" t="str">
        <f t="shared" si="11"/>
        <v>SSFLAT__19000100_0000</v>
      </c>
    </row>
    <row r="194" spans="2:11" x14ac:dyDescent="0.25">
      <c r="B194" t="str">
        <f>IF('FILL ME'!$B$3 = "", "", 'FILL ME'!$B$3)</f>
        <v>WWS</v>
      </c>
      <c r="C194" t="str">
        <f>IF('FILL ME'!$B$4 = "", "", 'FILL ME'!$B$4)</f>
        <v>SSFLAT</v>
      </c>
      <c r="D194" s="11" t="str">
        <f>TEXT('FILL ME'!$B$7,"yyyymmdd")</f>
        <v>20260319</v>
      </c>
      <c r="E194" s="11"/>
      <c r="F194" s="12" t="str">
        <f t="shared" si="8"/>
        <v>00:00</v>
      </c>
      <c r="G194" s="12"/>
      <c r="I194" s="14" t="str">
        <f t="shared" si="9"/>
        <v>_00</v>
      </c>
      <c r="J194" s="15" t="str">
        <f t="shared" si="10"/>
        <v>SSFLAT__20260319_00</v>
      </c>
      <c r="K194" s="15" t="str">
        <f t="shared" si="11"/>
        <v>SSFLAT__19000100_0000</v>
      </c>
    </row>
    <row r="195" spans="2:11" x14ac:dyDescent="0.25">
      <c r="B195" t="str">
        <f>IF('FILL ME'!$B$3 = "", "", 'FILL ME'!$B$3)</f>
        <v>WWS</v>
      </c>
      <c r="C195" t="str">
        <f>IF('FILL ME'!$B$4 = "", "", 'FILL ME'!$B$4)</f>
        <v>SSFLAT</v>
      </c>
      <c r="D195" s="11" t="str">
        <f>TEXT('FILL ME'!$B$7,"yyyymmdd")</f>
        <v>20260319</v>
      </c>
      <c r="E195" s="11"/>
      <c r="F195" s="12" t="str">
        <f t="shared" ref="F195:F258" si="12">IF(A195="Grab","",TEXT(E195,"hh:mm"))</f>
        <v>00:00</v>
      </c>
      <c r="G195" s="12"/>
      <c r="I195" s="14" t="str">
        <f t="shared" ref="I195:I258" si="13">CONCATENATE(H195,"_",TEXT(G195,"00"))</f>
        <v>_00</v>
      </c>
      <c r="J195" s="15" t="str">
        <f t="shared" ref="J195:J258" si="14">CONCATENATE(C195,"_", H195,"_",D195,"_",TEXT(G195,"00"))</f>
        <v>SSFLAT__20260319_00</v>
      </c>
      <c r="K195" s="15" t="str">
        <f t="shared" ref="K195:K258" si="15">CONCATENATE(C195,"_", H195,"_",TEXT(E195, "yyyymmdd"),"_",TEXT(F195, "hhmm"))</f>
        <v>SSFLAT__19000100_0000</v>
      </c>
    </row>
    <row r="196" spans="2:11" x14ac:dyDescent="0.25">
      <c r="B196" t="str">
        <f>IF('FILL ME'!$B$3 = "", "", 'FILL ME'!$B$3)</f>
        <v>WWS</v>
      </c>
      <c r="C196" t="str">
        <f>IF('FILL ME'!$B$4 = "", "", 'FILL ME'!$B$4)</f>
        <v>SSFLAT</v>
      </c>
      <c r="D196" s="11" t="str">
        <f>TEXT('FILL ME'!$B$7,"yyyymmdd")</f>
        <v>20260319</v>
      </c>
      <c r="E196" s="11"/>
      <c r="F196" s="12" t="str">
        <f t="shared" si="12"/>
        <v>00:00</v>
      </c>
      <c r="G196" s="12"/>
      <c r="I196" s="14" t="str">
        <f t="shared" si="13"/>
        <v>_00</v>
      </c>
      <c r="J196" s="15" t="str">
        <f t="shared" si="14"/>
        <v>SSFLAT__20260319_00</v>
      </c>
      <c r="K196" s="15" t="str">
        <f t="shared" si="15"/>
        <v>SSFLAT__19000100_0000</v>
      </c>
    </row>
    <row r="197" spans="2:11" x14ac:dyDescent="0.25">
      <c r="B197" t="str">
        <f>IF('FILL ME'!$B$3 = "", "", 'FILL ME'!$B$3)</f>
        <v>WWS</v>
      </c>
      <c r="C197" t="str">
        <f>IF('FILL ME'!$B$4 = "", "", 'FILL ME'!$B$4)</f>
        <v>SSFLAT</v>
      </c>
      <c r="D197" s="11" t="str">
        <f>TEXT('FILL ME'!$B$7,"yyyymmdd")</f>
        <v>20260319</v>
      </c>
      <c r="E197" s="11"/>
      <c r="F197" s="12" t="str">
        <f t="shared" si="12"/>
        <v>00:00</v>
      </c>
      <c r="G197" s="12"/>
      <c r="I197" s="14" t="str">
        <f t="shared" si="13"/>
        <v>_00</v>
      </c>
      <c r="J197" s="15" t="str">
        <f t="shared" si="14"/>
        <v>SSFLAT__20260319_00</v>
      </c>
      <c r="K197" s="15" t="str">
        <f t="shared" si="15"/>
        <v>SSFLAT__19000100_0000</v>
      </c>
    </row>
    <row r="198" spans="2:11" x14ac:dyDescent="0.25">
      <c r="B198" t="str">
        <f>IF('FILL ME'!$B$3 = "", "", 'FILL ME'!$B$3)</f>
        <v>WWS</v>
      </c>
      <c r="C198" t="str">
        <f>IF('FILL ME'!$B$4 = "", "", 'FILL ME'!$B$4)</f>
        <v>SSFLAT</v>
      </c>
      <c r="D198" s="11" t="str">
        <f>TEXT('FILL ME'!$B$7,"yyyymmdd")</f>
        <v>20260319</v>
      </c>
      <c r="E198" s="11"/>
      <c r="F198" s="12" t="str">
        <f t="shared" si="12"/>
        <v>00:00</v>
      </c>
      <c r="G198" s="12"/>
      <c r="I198" s="14" t="str">
        <f t="shared" si="13"/>
        <v>_00</v>
      </c>
      <c r="J198" s="15" t="str">
        <f t="shared" si="14"/>
        <v>SSFLAT__20260319_00</v>
      </c>
      <c r="K198" s="15" t="str">
        <f t="shared" si="15"/>
        <v>SSFLAT__19000100_0000</v>
      </c>
    </row>
    <row r="199" spans="2:11" x14ac:dyDescent="0.25">
      <c r="B199" t="str">
        <f>IF('FILL ME'!$B$3 = "", "", 'FILL ME'!$B$3)</f>
        <v>WWS</v>
      </c>
      <c r="C199" t="str">
        <f>IF('FILL ME'!$B$4 = "", "", 'FILL ME'!$B$4)</f>
        <v>SSFLAT</v>
      </c>
      <c r="D199" s="11" t="str">
        <f>TEXT('FILL ME'!$B$7,"yyyymmdd")</f>
        <v>20260319</v>
      </c>
      <c r="E199" s="11"/>
      <c r="F199" s="12" t="str">
        <f t="shared" si="12"/>
        <v>00:00</v>
      </c>
      <c r="G199" s="12"/>
      <c r="I199" s="14" t="str">
        <f t="shared" si="13"/>
        <v>_00</v>
      </c>
      <c r="J199" s="15" t="str">
        <f t="shared" si="14"/>
        <v>SSFLAT__20260319_00</v>
      </c>
      <c r="K199" s="15" t="str">
        <f t="shared" si="15"/>
        <v>SSFLAT__19000100_0000</v>
      </c>
    </row>
    <row r="200" spans="2:11" x14ac:dyDescent="0.25">
      <c r="B200" t="str">
        <f>IF('FILL ME'!$B$3 = "", "", 'FILL ME'!$B$3)</f>
        <v>WWS</v>
      </c>
      <c r="C200" t="str">
        <f>IF('FILL ME'!$B$4 = "", "", 'FILL ME'!$B$4)</f>
        <v>SSFLAT</v>
      </c>
      <c r="D200" s="11" t="str">
        <f>TEXT('FILL ME'!$B$7,"yyyymmdd")</f>
        <v>20260319</v>
      </c>
      <c r="E200" s="11"/>
      <c r="F200" s="12" t="str">
        <f t="shared" si="12"/>
        <v>00:00</v>
      </c>
      <c r="G200" s="12"/>
      <c r="I200" s="14" t="str">
        <f t="shared" si="13"/>
        <v>_00</v>
      </c>
      <c r="J200" s="15" t="str">
        <f t="shared" si="14"/>
        <v>SSFLAT__20260319_00</v>
      </c>
      <c r="K200" s="15" t="str">
        <f t="shared" si="15"/>
        <v>SSFLAT__19000100_0000</v>
      </c>
    </row>
    <row r="201" spans="2:11" x14ac:dyDescent="0.25">
      <c r="B201" t="str">
        <f>IF('FILL ME'!$B$3 = "", "", 'FILL ME'!$B$3)</f>
        <v>WWS</v>
      </c>
      <c r="C201" t="str">
        <f>IF('FILL ME'!$B$4 = "", "", 'FILL ME'!$B$4)</f>
        <v>SSFLAT</v>
      </c>
      <c r="D201" s="11" t="str">
        <f>TEXT('FILL ME'!$B$7,"yyyymmdd")</f>
        <v>20260319</v>
      </c>
      <c r="E201" s="11"/>
      <c r="F201" s="12" t="str">
        <f t="shared" si="12"/>
        <v>00:00</v>
      </c>
      <c r="G201" s="12"/>
      <c r="I201" s="14" t="str">
        <f t="shared" si="13"/>
        <v>_00</v>
      </c>
      <c r="J201" s="15" t="str">
        <f t="shared" si="14"/>
        <v>SSFLAT__20260319_00</v>
      </c>
      <c r="K201" s="15" t="str">
        <f t="shared" si="15"/>
        <v>SSFLAT__19000100_0000</v>
      </c>
    </row>
    <row r="202" spans="2:11" x14ac:dyDescent="0.25">
      <c r="B202" t="str">
        <f>IF('FILL ME'!$B$3 = "", "", 'FILL ME'!$B$3)</f>
        <v>WWS</v>
      </c>
      <c r="C202" t="str">
        <f>IF('FILL ME'!$B$4 = "", "", 'FILL ME'!$B$4)</f>
        <v>SSFLAT</v>
      </c>
      <c r="D202" s="11" t="str">
        <f>TEXT('FILL ME'!$B$7,"yyyymmdd")</f>
        <v>20260319</v>
      </c>
      <c r="E202" s="11"/>
      <c r="F202" s="12" t="str">
        <f t="shared" si="12"/>
        <v>00:00</v>
      </c>
      <c r="G202" s="12"/>
      <c r="I202" s="14" t="str">
        <f t="shared" si="13"/>
        <v>_00</v>
      </c>
      <c r="J202" s="15" t="str">
        <f t="shared" si="14"/>
        <v>SSFLAT__20260319_00</v>
      </c>
      <c r="K202" s="15" t="str">
        <f t="shared" si="15"/>
        <v>SSFLAT__19000100_0000</v>
      </c>
    </row>
    <row r="203" spans="2:11" x14ac:dyDescent="0.25">
      <c r="B203" t="str">
        <f>IF('FILL ME'!$B$3 = "", "", 'FILL ME'!$B$3)</f>
        <v>WWS</v>
      </c>
      <c r="C203" t="str">
        <f>IF('FILL ME'!$B$4 = "", "", 'FILL ME'!$B$4)</f>
        <v>SSFLAT</v>
      </c>
      <c r="D203" s="11" t="str">
        <f>TEXT('FILL ME'!$B$7,"yyyymmdd")</f>
        <v>20260319</v>
      </c>
      <c r="E203" s="11"/>
      <c r="F203" s="12" t="str">
        <f t="shared" si="12"/>
        <v>00:00</v>
      </c>
      <c r="G203" s="12"/>
      <c r="I203" s="14" t="str">
        <f t="shared" si="13"/>
        <v>_00</v>
      </c>
      <c r="J203" s="15" t="str">
        <f t="shared" si="14"/>
        <v>SSFLAT__20260319_00</v>
      </c>
      <c r="K203" s="15" t="str">
        <f t="shared" si="15"/>
        <v>SSFLAT__19000100_0000</v>
      </c>
    </row>
    <row r="204" spans="2:11" x14ac:dyDescent="0.25">
      <c r="B204" t="str">
        <f>IF('FILL ME'!$B$3 = "", "", 'FILL ME'!$B$3)</f>
        <v>WWS</v>
      </c>
      <c r="C204" t="str">
        <f>IF('FILL ME'!$B$4 = "", "", 'FILL ME'!$B$4)</f>
        <v>SSFLAT</v>
      </c>
      <c r="D204" s="11" t="str">
        <f>TEXT('FILL ME'!$B$7,"yyyymmdd")</f>
        <v>20260319</v>
      </c>
      <c r="E204" s="11"/>
      <c r="F204" s="12" t="str">
        <f t="shared" si="12"/>
        <v>00:00</v>
      </c>
      <c r="G204" s="12"/>
      <c r="I204" s="14" t="str">
        <f t="shared" si="13"/>
        <v>_00</v>
      </c>
      <c r="J204" s="15" t="str">
        <f t="shared" si="14"/>
        <v>SSFLAT__20260319_00</v>
      </c>
      <c r="K204" s="15" t="str">
        <f t="shared" si="15"/>
        <v>SSFLAT__19000100_0000</v>
      </c>
    </row>
    <row r="205" spans="2:11" x14ac:dyDescent="0.25">
      <c r="B205" t="str">
        <f>IF('FILL ME'!$B$3 = "", "", 'FILL ME'!$B$3)</f>
        <v>WWS</v>
      </c>
      <c r="C205" t="str">
        <f>IF('FILL ME'!$B$4 = "", "", 'FILL ME'!$B$4)</f>
        <v>SSFLAT</v>
      </c>
      <c r="D205" s="11" t="str">
        <f>TEXT('FILL ME'!$B$7,"yyyymmdd")</f>
        <v>20260319</v>
      </c>
      <c r="E205" s="11"/>
      <c r="F205" s="12" t="str">
        <f t="shared" si="12"/>
        <v>00:00</v>
      </c>
      <c r="G205" s="12"/>
      <c r="I205" s="14" t="str">
        <f t="shared" si="13"/>
        <v>_00</v>
      </c>
      <c r="J205" s="15" t="str">
        <f t="shared" si="14"/>
        <v>SSFLAT__20260319_00</v>
      </c>
      <c r="K205" s="15" t="str">
        <f t="shared" si="15"/>
        <v>SSFLAT__19000100_0000</v>
      </c>
    </row>
    <row r="206" spans="2:11" x14ac:dyDescent="0.25">
      <c r="B206" t="str">
        <f>IF('FILL ME'!$B$3 = "", "", 'FILL ME'!$B$3)</f>
        <v>WWS</v>
      </c>
      <c r="C206" t="str">
        <f>IF('FILL ME'!$B$4 = "", "", 'FILL ME'!$B$4)</f>
        <v>SSFLAT</v>
      </c>
      <c r="D206" s="11" t="str">
        <f>TEXT('FILL ME'!$B$7,"yyyymmdd")</f>
        <v>20260319</v>
      </c>
      <c r="E206" s="11"/>
      <c r="F206" s="12" t="str">
        <f t="shared" si="12"/>
        <v>00:00</v>
      </c>
      <c r="G206" s="12"/>
      <c r="I206" s="14" t="str">
        <f t="shared" si="13"/>
        <v>_00</v>
      </c>
      <c r="J206" s="15" t="str">
        <f t="shared" si="14"/>
        <v>SSFLAT__20260319_00</v>
      </c>
      <c r="K206" s="15" t="str">
        <f t="shared" si="15"/>
        <v>SSFLAT__19000100_0000</v>
      </c>
    </row>
    <row r="207" spans="2:11" x14ac:dyDescent="0.25">
      <c r="B207" t="str">
        <f>IF('FILL ME'!$B$3 = "", "", 'FILL ME'!$B$3)</f>
        <v>WWS</v>
      </c>
      <c r="C207" t="str">
        <f>IF('FILL ME'!$B$4 = "", "", 'FILL ME'!$B$4)</f>
        <v>SSFLAT</v>
      </c>
      <c r="D207" s="11" t="str">
        <f>TEXT('FILL ME'!$B$7,"yyyymmdd")</f>
        <v>20260319</v>
      </c>
      <c r="E207" s="11"/>
      <c r="F207" s="12" t="str">
        <f t="shared" si="12"/>
        <v>00:00</v>
      </c>
      <c r="G207" s="12"/>
      <c r="I207" s="14" t="str">
        <f t="shared" si="13"/>
        <v>_00</v>
      </c>
      <c r="J207" s="15" t="str">
        <f t="shared" si="14"/>
        <v>SSFLAT__20260319_00</v>
      </c>
      <c r="K207" s="15" t="str">
        <f t="shared" si="15"/>
        <v>SSFLAT__19000100_0000</v>
      </c>
    </row>
    <row r="208" spans="2:11" x14ac:dyDescent="0.25">
      <c r="B208" t="str">
        <f>IF('FILL ME'!$B$3 = "", "", 'FILL ME'!$B$3)</f>
        <v>WWS</v>
      </c>
      <c r="C208" t="str">
        <f>IF('FILL ME'!$B$4 = "", "", 'FILL ME'!$B$4)</f>
        <v>SSFLAT</v>
      </c>
      <c r="D208" s="11" t="str">
        <f>TEXT('FILL ME'!$B$7,"yyyymmdd")</f>
        <v>20260319</v>
      </c>
      <c r="E208" s="11"/>
      <c r="F208" s="12" t="str">
        <f t="shared" si="12"/>
        <v>00:00</v>
      </c>
      <c r="G208" s="12"/>
      <c r="I208" s="14" t="str">
        <f t="shared" si="13"/>
        <v>_00</v>
      </c>
      <c r="J208" s="15" t="str">
        <f t="shared" si="14"/>
        <v>SSFLAT__20260319_00</v>
      </c>
      <c r="K208" s="15" t="str">
        <f t="shared" si="15"/>
        <v>SSFLAT__19000100_0000</v>
      </c>
    </row>
    <row r="209" spans="2:11" x14ac:dyDescent="0.25">
      <c r="B209" t="str">
        <f>IF('FILL ME'!$B$3 = "", "", 'FILL ME'!$B$3)</f>
        <v>WWS</v>
      </c>
      <c r="C209" t="str">
        <f>IF('FILL ME'!$B$4 = "", "", 'FILL ME'!$B$4)</f>
        <v>SSFLAT</v>
      </c>
      <c r="D209" s="11" t="str">
        <f>TEXT('FILL ME'!$B$7,"yyyymmdd")</f>
        <v>20260319</v>
      </c>
      <c r="E209" s="11"/>
      <c r="F209" s="12" t="str">
        <f t="shared" si="12"/>
        <v>00:00</v>
      </c>
      <c r="G209" s="12"/>
      <c r="I209" s="14" t="str">
        <f t="shared" si="13"/>
        <v>_00</v>
      </c>
      <c r="J209" s="15" t="str">
        <f t="shared" si="14"/>
        <v>SSFLAT__20260319_00</v>
      </c>
      <c r="K209" s="15" t="str">
        <f t="shared" si="15"/>
        <v>SSFLAT__19000100_0000</v>
      </c>
    </row>
    <row r="210" spans="2:11" x14ac:dyDescent="0.25">
      <c r="B210" t="str">
        <f>IF('FILL ME'!$B$3 = "", "", 'FILL ME'!$B$3)</f>
        <v>WWS</v>
      </c>
      <c r="C210" t="str">
        <f>IF('FILL ME'!$B$4 = "", "", 'FILL ME'!$B$4)</f>
        <v>SSFLAT</v>
      </c>
      <c r="D210" s="11" t="str">
        <f>TEXT('FILL ME'!$B$7,"yyyymmdd")</f>
        <v>20260319</v>
      </c>
      <c r="E210" s="11"/>
      <c r="F210" s="12" t="str">
        <f t="shared" si="12"/>
        <v>00:00</v>
      </c>
      <c r="G210" s="12"/>
      <c r="I210" s="14" t="str">
        <f t="shared" si="13"/>
        <v>_00</v>
      </c>
      <c r="J210" s="15" t="str">
        <f t="shared" si="14"/>
        <v>SSFLAT__20260319_00</v>
      </c>
      <c r="K210" s="15" t="str">
        <f t="shared" si="15"/>
        <v>SSFLAT__19000100_0000</v>
      </c>
    </row>
    <row r="211" spans="2:11" x14ac:dyDescent="0.25">
      <c r="B211" t="str">
        <f>IF('FILL ME'!$B$3 = "", "", 'FILL ME'!$B$3)</f>
        <v>WWS</v>
      </c>
      <c r="C211" t="str">
        <f>IF('FILL ME'!$B$4 = "", "", 'FILL ME'!$B$4)</f>
        <v>SSFLAT</v>
      </c>
      <c r="D211" s="11" t="str">
        <f>TEXT('FILL ME'!$B$7,"yyyymmdd")</f>
        <v>20260319</v>
      </c>
      <c r="E211" s="11"/>
      <c r="F211" s="12" t="str">
        <f t="shared" si="12"/>
        <v>00:00</v>
      </c>
      <c r="G211" s="12"/>
      <c r="I211" s="14" t="str">
        <f t="shared" si="13"/>
        <v>_00</v>
      </c>
      <c r="J211" s="15" t="str">
        <f t="shared" si="14"/>
        <v>SSFLAT__20260319_00</v>
      </c>
      <c r="K211" s="15" t="str">
        <f t="shared" si="15"/>
        <v>SSFLAT__19000100_0000</v>
      </c>
    </row>
    <row r="212" spans="2:11" x14ac:dyDescent="0.25">
      <c r="B212" t="str">
        <f>IF('FILL ME'!$B$3 = "", "", 'FILL ME'!$B$3)</f>
        <v>WWS</v>
      </c>
      <c r="C212" t="str">
        <f>IF('FILL ME'!$B$4 = "", "", 'FILL ME'!$B$4)</f>
        <v>SSFLAT</v>
      </c>
      <c r="D212" s="11" t="str">
        <f>TEXT('FILL ME'!$B$7,"yyyymmdd")</f>
        <v>20260319</v>
      </c>
      <c r="E212" s="11"/>
      <c r="F212" s="12" t="str">
        <f t="shared" si="12"/>
        <v>00:00</v>
      </c>
      <c r="G212" s="12"/>
      <c r="I212" s="14" t="str">
        <f t="shared" si="13"/>
        <v>_00</v>
      </c>
      <c r="J212" s="15" t="str">
        <f t="shared" si="14"/>
        <v>SSFLAT__20260319_00</v>
      </c>
      <c r="K212" s="15" t="str">
        <f t="shared" si="15"/>
        <v>SSFLAT__19000100_0000</v>
      </c>
    </row>
    <row r="213" spans="2:11" x14ac:dyDescent="0.25">
      <c r="B213" t="str">
        <f>IF('FILL ME'!$B$3 = "", "", 'FILL ME'!$B$3)</f>
        <v>WWS</v>
      </c>
      <c r="C213" t="str">
        <f>IF('FILL ME'!$B$4 = "", "", 'FILL ME'!$B$4)</f>
        <v>SSFLAT</v>
      </c>
      <c r="D213" s="11" t="str">
        <f>TEXT('FILL ME'!$B$7,"yyyymmdd")</f>
        <v>20260319</v>
      </c>
      <c r="E213" s="11"/>
      <c r="F213" s="12" t="str">
        <f t="shared" si="12"/>
        <v>00:00</v>
      </c>
      <c r="G213" s="12"/>
      <c r="I213" s="14" t="str">
        <f t="shared" si="13"/>
        <v>_00</v>
      </c>
      <c r="J213" s="15" t="str">
        <f t="shared" si="14"/>
        <v>SSFLAT__20260319_00</v>
      </c>
      <c r="K213" s="15" t="str">
        <f t="shared" si="15"/>
        <v>SSFLAT__19000100_0000</v>
      </c>
    </row>
    <row r="214" spans="2:11" x14ac:dyDescent="0.25">
      <c r="B214" t="str">
        <f>IF('FILL ME'!$B$3 = "", "", 'FILL ME'!$B$3)</f>
        <v>WWS</v>
      </c>
      <c r="C214" t="str">
        <f>IF('FILL ME'!$B$4 = "", "", 'FILL ME'!$B$4)</f>
        <v>SSFLAT</v>
      </c>
      <c r="D214" s="11" t="str">
        <f>TEXT('FILL ME'!$B$7,"yyyymmdd")</f>
        <v>20260319</v>
      </c>
      <c r="E214" s="11"/>
      <c r="F214" s="12" t="str">
        <f t="shared" si="12"/>
        <v>00:00</v>
      </c>
      <c r="G214" s="12"/>
      <c r="I214" s="14" t="str">
        <f t="shared" si="13"/>
        <v>_00</v>
      </c>
      <c r="J214" s="15" t="str">
        <f t="shared" si="14"/>
        <v>SSFLAT__20260319_00</v>
      </c>
      <c r="K214" s="15" t="str">
        <f t="shared" si="15"/>
        <v>SSFLAT__19000100_0000</v>
      </c>
    </row>
    <row r="215" spans="2:11" x14ac:dyDescent="0.25">
      <c r="B215" t="str">
        <f>IF('FILL ME'!$B$3 = "", "", 'FILL ME'!$B$3)</f>
        <v>WWS</v>
      </c>
      <c r="C215" t="str">
        <f>IF('FILL ME'!$B$4 = "", "", 'FILL ME'!$B$4)</f>
        <v>SSFLAT</v>
      </c>
      <c r="D215" s="11" t="str">
        <f>TEXT('FILL ME'!$B$7,"yyyymmdd")</f>
        <v>20260319</v>
      </c>
      <c r="E215" s="11"/>
      <c r="F215" s="12" t="str">
        <f t="shared" si="12"/>
        <v>00:00</v>
      </c>
      <c r="G215" s="12"/>
      <c r="I215" s="14" t="str">
        <f t="shared" si="13"/>
        <v>_00</v>
      </c>
      <c r="J215" s="15" t="str">
        <f t="shared" si="14"/>
        <v>SSFLAT__20260319_00</v>
      </c>
      <c r="K215" s="15" t="str">
        <f t="shared" si="15"/>
        <v>SSFLAT__19000100_0000</v>
      </c>
    </row>
    <row r="216" spans="2:11" x14ac:dyDescent="0.25">
      <c r="B216" t="str">
        <f>IF('FILL ME'!$B$3 = "", "", 'FILL ME'!$B$3)</f>
        <v>WWS</v>
      </c>
      <c r="C216" t="str">
        <f>IF('FILL ME'!$B$4 = "", "", 'FILL ME'!$B$4)</f>
        <v>SSFLAT</v>
      </c>
      <c r="D216" s="11" t="str">
        <f>TEXT('FILL ME'!$B$7,"yyyymmdd")</f>
        <v>20260319</v>
      </c>
      <c r="E216" s="11"/>
      <c r="F216" s="12" t="str">
        <f t="shared" si="12"/>
        <v>00:00</v>
      </c>
      <c r="G216" s="12"/>
      <c r="I216" s="14" t="str">
        <f t="shared" si="13"/>
        <v>_00</v>
      </c>
      <c r="J216" s="15" t="str">
        <f t="shared" si="14"/>
        <v>SSFLAT__20260319_00</v>
      </c>
      <c r="K216" s="15" t="str">
        <f t="shared" si="15"/>
        <v>SSFLAT__19000100_0000</v>
      </c>
    </row>
    <row r="217" spans="2:11" x14ac:dyDescent="0.25">
      <c r="B217" t="str">
        <f>IF('FILL ME'!$B$3 = "", "", 'FILL ME'!$B$3)</f>
        <v>WWS</v>
      </c>
      <c r="C217" t="str">
        <f>IF('FILL ME'!$B$4 = "", "", 'FILL ME'!$B$4)</f>
        <v>SSFLAT</v>
      </c>
      <c r="D217" s="11" t="str">
        <f>TEXT('FILL ME'!$B$7,"yyyymmdd")</f>
        <v>20260319</v>
      </c>
      <c r="E217" s="11"/>
      <c r="F217" s="12" t="str">
        <f t="shared" si="12"/>
        <v>00:00</v>
      </c>
      <c r="G217" s="12"/>
      <c r="I217" s="14" t="str">
        <f t="shared" si="13"/>
        <v>_00</v>
      </c>
      <c r="J217" s="15" t="str">
        <f t="shared" si="14"/>
        <v>SSFLAT__20260319_00</v>
      </c>
      <c r="K217" s="15" t="str">
        <f t="shared" si="15"/>
        <v>SSFLAT__19000100_0000</v>
      </c>
    </row>
    <row r="218" spans="2:11" x14ac:dyDescent="0.25">
      <c r="B218" t="str">
        <f>IF('FILL ME'!$B$3 = "", "", 'FILL ME'!$B$3)</f>
        <v>WWS</v>
      </c>
      <c r="C218" t="str">
        <f>IF('FILL ME'!$B$4 = "", "", 'FILL ME'!$B$4)</f>
        <v>SSFLAT</v>
      </c>
      <c r="D218" s="11" t="str">
        <f>TEXT('FILL ME'!$B$7,"yyyymmdd")</f>
        <v>20260319</v>
      </c>
      <c r="E218" s="11"/>
      <c r="F218" s="12" t="str">
        <f t="shared" si="12"/>
        <v>00:00</v>
      </c>
      <c r="G218" s="12"/>
      <c r="I218" s="14" t="str">
        <f t="shared" si="13"/>
        <v>_00</v>
      </c>
      <c r="J218" s="15" t="str">
        <f t="shared" si="14"/>
        <v>SSFLAT__20260319_00</v>
      </c>
      <c r="K218" s="15" t="str">
        <f t="shared" si="15"/>
        <v>SSFLAT__19000100_0000</v>
      </c>
    </row>
    <row r="219" spans="2:11" x14ac:dyDescent="0.25">
      <c r="B219" t="str">
        <f>IF('FILL ME'!$B$3 = "", "", 'FILL ME'!$B$3)</f>
        <v>WWS</v>
      </c>
      <c r="C219" t="str">
        <f>IF('FILL ME'!$B$4 = "", "", 'FILL ME'!$B$4)</f>
        <v>SSFLAT</v>
      </c>
      <c r="D219" s="11" t="str">
        <f>TEXT('FILL ME'!$B$7,"yyyymmdd")</f>
        <v>20260319</v>
      </c>
      <c r="E219" s="11"/>
      <c r="F219" s="12" t="str">
        <f t="shared" si="12"/>
        <v>00:00</v>
      </c>
      <c r="G219" s="12"/>
      <c r="I219" s="14" t="str">
        <f t="shared" si="13"/>
        <v>_00</v>
      </c>
      <c r="J219" s="15" t="str">
        <f t="shared" si="14"/>
        <v>SSFLAT__20260319_00</v>
      </c>
      <c r="K219" s="15" t="str">
        <f t="shared" si="15"/>
        <v>SSFLAT__19000100_0000</v>
      </c>
    </row>
    <row r="220" spans="2:11" x14ac:dyDescent="0.25">
      <c r="B220" t="str">
        <f>IF('FILL ME'!$B$3 = "", "", 'FILL ME'!$B$3)</f>
        <v>WWS</v>
      </c>
      <c r="C220" t="str">
        <f>IF('FILL ME'!$B$4 = "", "", 'FILL ME'!$B$4)</f>
        <v>SSFLAT</v>
      </c>
      <c r="D220" s="11" t="str">
        <f>TEXT('FILL ME'!$B$7,"yyyymmdd")</f>
        <v>20260319</v>
      </c>
      <c r="E220" s="11"/>
      <c r="F220" s="12" t="str">
        <f t="shared" si="12"/>
        <v>00:00</v>
      </c>
      <c r="G220" s="12"/>
      <c r="I220" s="14" t="str">
        <f t="shared" si="13"/>
        <v>_00</v>
      </c>
      <c r="J220" s="15" t="str">
        <f t="shared" si="14"/>
        <v>SSFLAT__20260319_00</v>
      </c>
      <c r="K220" s="15" t="str">
        <f t="shared" si="15"/>
        <v>SSFLAT__19000100_0000</v>
      </c>
    </row>
    <row r="221" spans="2:11" x14ac:dyDescent="0.25">
      <c r="B221" t="str">
        <f>IF('FILL ME'!$B$3 = "", "", 'FILL ME'!$B$3)</f>
        <v>WWS</v>
      </c>
      <c r="C221" t="str">
        <f>IF('FILL ME'!$B$4 = "", "", 'FILL ME'!$B$4)</f>
        <v>SSFLAT</v>
      </c>
      <c r="D221" s="11" t="str">
        <f>TEXT('FILL ME'!$B$7,"yyyymmdd")</f>
        <v>20260319</v>
      </c>
      <c r="E221" s="11"/>
      <c r="F221" s="12" t="str">
        <f t="shared" si="12"/>
        <v>00:00</v>
      </c>
      <c r="G221" s="12"/>
      <c r="I221" s="14" t="str">
        <f t="shared" si="13"/>
        <v>_00</v>
      </c>
      <c r="J221" s="15" t="str">
        <f t="shared" si="14"/>
        <v>SSFLAT__20260319_00</v>
      </c>
      <c r="K221" s="15" t="str">
        <f t="shared" si="15"/>
        <v>SSFLAT__19000100_0000</v>
      </c>
    </row>
    <row r="222" spans="2:11" x14ac:dyDescent="0.25">
      <c r="B222" t="str">
        <f>IF('FILL ME'!$B$3 = "", "", 'FILL ME'!$B$3)</f>
        <v>WWS</v>
      </c>
      <c r="C222" t="str">
        <f>IF('FILL ME'!$B$4 = "", "", 'FILL ME'!$B$4)</f>
        <v>SSFLAT</v>
      </c>
      <c r="D222" s="11" t="str">
        <f>TEXT('FILL ME'!$B$7,"yyyymmdd")</f>
        <v>20260319</v>
      </c>
      <c r="E222" s="11"/>
      <c r="F222" s="12" t="str">
        <f t="shared" si="12"/>
        <v>00:00</v>
      </c>
      <c r="G222" s="12"/>
      <c r="I222" s="14" t="str">
        <f t="shared" si="13"/>
        <v>_00</v>
      </c>
      <c r="J222" s="15" t="str">
        <f t="shared" si="14"/>
        <v>SSFLAT__20260319_00</v>
      </c>
      <c r="K222" s="15" t="str">
        <f t="shared" si="15"/>
        <v>SSFLAT__19000100_0000</v>
      </c>
    </row>
    <row r="223" spans="2:11" x14ac:dyDescent="0.25">
      <c r="B223" t="str">
        <f>IF('FILL ME'!$B$3 = "", "", 'FILL ME'!$B$3)</f>
        <v>WWS</v>
      </c>
      <c r="C223" t="str">
        <f>IF('FILL ME'!$B$4 = "", "", 'FILL ME'!$B$4)</f>
        <v>SSFLAT</v>
      </c>
      <c r="D223" s="11" t="str">
        <f>TEXT('FILL ME'!$B$7,"yyyymmdd")</f>
        <v>20260319</v>
      </c>
      <c r="E223" s="11"/>
      <c r="F223" s="12" t="str">
        <f t="shared" si="12"/>
        <v>00:00</v>
      </c>
      <c r="G223" s="12"/>
      <c r="I223" s="14" t="str">
        <f t="shared" si="13"/>
        <v>_00</v>
      </c>
      <c r="J223" s="15" t="str">
        <f t="shared" si="14"/>
        <v>SSFLAT__20260319_00</v>
      </c>
      <c r="K223" s="15" t="str">
        <f t="shared" si="15"/>
        <v>SSFLAT__19000100_0000</v>
      </c>
    </row>
    <row r="224" spans="2:11" x14ac:dyDescent="0.25">
      <c r="B224" t="str">
        <f>IF('FILL ME'!$B$3 = "", "", 'FILL ME'!$B$3)</f>
        <v>WWS</v>
      </c>
      <c r="C224" t="str">
        <f>IF('FILL ME'!$B$4 = "", "", 'FILL ME'!$B$4)</f>
        <v>SSFLAT</v>
      </c>
      <c r="D224" s="11" t="str">
        <f>TEXT('FILL ME'!$B$7,"yyyymmdd")</f>
        <v>20260319</v>
      </c>
      <c r="E224" s="11"/>
      <c r="F224" s="12" t="str">
        <f t="shared" si="12"/>
        <v>00:00</v>
      </c>
      <c r="G224" s="12"/>
      <c r="I224" s="14" t="str">
        <f t="shared" si="13"/>
        <v>_00</v>
      </c>
      <c r="J224" s="15" t="str">
        <f t="shared" si="14"/>
        <v>SSFLAT__20260319_00</v>
      </c>
      <c r="K224" s="15" t="str">
        <f t="shared" si="15"/>
        <v>SSFLAT__19000100_0000</v>
      </c>
    </row>
    <row r="225" spans="2:11" x14ac:dyDescent="0.25">
      <c r="B225" t="str">
        <f>IF('FILL ME'!$B$3 = "", "", 'FILL ME'!$B$3)</f>
        <v>WWS</v>
      </c>
      <c r="C225" t="str">
        <f>IF('FILL ME'!$B$4 = "", "", 'FILL ME'!$B$4)</f>
        <v>SSFLAT</v>
      </c>
      <c r="D225" s="11" t="str">
        <f>TEXT('FILL ME'!$B$7,"yyyymmdd")</f>
        <v>20260319</v>
      </c>
      <c r="E225" s="11"/>
      <c r="F225" s="12" t="str">
        <f t="shared" si="12"/>
        <v>00:00</v>
      </c>
      <c r="G225" s="12"/>
      <c r="I225" s="14" t="str">
        <f t="shared" si="13"/>
        <v>_00</v>
      </c>
      <c r="J225" s="15" t="str">
        <f t="shared" si="14"/>
        <v>SSFLAT__20260319_00</v>
      </c>
      <c r="K225" s="15" t="str">
        <f t="shared" si="15"/>
        <v>SSFLAT__19000100_0000</v>
      </c>
    </row>
    <row r="226" spans="2:11" x14ac:dyDescent="0.25">
      <c r="B226" t="str">
        <f>IF('FILL ME'!$B$3 = "", "", 'FILL ME'!$B$3)</f>
        <v>WWS</v>
      </c>
      <c r="C226" t="str">
        <f>IF('FILL ME'!$B$4 = "", "", 'FILL ME'!$B$4)</f>
        <v>SSFLAT</v>
      </c>
      <c r="D226" s="11" t="str">
        <f>TEXT('FILL ME'!$B$7,"yyyymmdd")</f>
        <v>20260319</v>
      </c>
      <c r="E226" s="11"/>
      <c r="F226" s="12" t="str">
        <f t="shared" si="12"/>
        <v>00:00</v>
      </c>
      <c r="G226" s="12"/>
      <c r="I226" s="14" t="str">
        <f t="shared" si="13"/>
        <v>_00</v>
      </c>
      <c r="J226" s="15" t="str">
        <f t="shared" si="14"/>
        <v>SSFLAT__20260319_00</v>
      </c>
      <c r="K226" s="15" t="str">
        <f t="shared" si="15"/>
        <v>SSFLAT__19000100_0000</v>
      </c>
    </row>
    <row r="227" spans="2:11" x14ac:dyDescent="0.25">
      <c r="B227" t="str">
        <f>IF('FILL ME'!$B$3 = "", "", 'FILL ME'!$B$3)</f>
        <v>WWS</v>
      </c>
      <c r="C227" t="str">
        <f>IF('FILL ME'!$B$4 = "", "", 'FILL ME'!$B$4)</f>
        <v>SSFLAT</v>
      </c>
      <c r="D227" s="11" t="str">
        <f>TEXT('FILL ME'!$B$7,"yyyymmdd")</f>
        <v>20260319</v>
      </c>
      <c r="E227" s="11"/>
      <c r="F227" s="12" t="str">
        <f t="shared" si="12"/>
        <v>00:00</v>
      </c>
      <c r="G227" s="12"/>
      <c r="I227" s="14" t="str">
        <f t="shared" si="13"/>
        <v>_00</v>
      </c>
      <c r="J227" s="15" t="str">
        <f t="shared" si="14"/>
        <v>SSFLAT__20260319_00</v>
      </c>
      <c r="K227" s="15" t="str">
        <f t="shared" si="15"/>
        <v>SSFLAT__19000100_0000</v>
      </c>
    </row>
    <row r="228" spans="2:11" x14ac:dyDescent="0.25">
      <c r="B228" t="str">
        <f>IF('FILL ME'!$B$3 = "", "", 'FILL ME'!$B$3)</f>
        <v>WWS</v>
      </c>
      <c r="C228" t="str">
        <f>IF('FILL ME'!$B$4 = "", "", 'FILL ME'!$B$4)</f>
        <v>SSFLAT</v>
      </c>
      <c r="D228" s="11" t="str">
        <f>TEXT('FILL ME'!$B$7,"yyyymmdd")</f>
        <v>20260319</v>
      </c>
      <c r="E228" s="11"/>
      <c r="F228" s="12" t="str">
        <f t="shared" si="12"/>
        <v>00:00</v>
      </c>
      <c r="G228" s="12"/>
      <c r="I228" s="14" t="str">
        <f t="shared" si="13"/>
        <v>_00</v>
      </c>
      <c r="J228" s="15" t="str">
        <f t="shared" si="14"/>
        <v>SSFLAT__20260319_00</v>
      </c>
      <c r="K228" s="15" t="str">
        <f t="shared" si="15"/>
        <v>SSFLAT__19000100_0000</v>
      </c>
    </row>
    <row r="229" spans="2:11" x14ac:dyDescent="0.25">
      <c r="B229" t="str">
        <f>IF('FILL ME'!$B$3 = "", "", 'FILL ME'!$B$3)</f>
        <v>WWS</v>
      </c>
      <c r="C229" t="str">
        <f>IF('FILL ME'!$B$4 = "", "", 'FILL ME'!$B$4)</f>
        <v>SSFLAT</v>
      </c>
      <c r="D229" s="11" t="str">
        <f>TEXT('FILL ME'!$B$7,"yyyymmdd")</f>
        <v>20260319</v>
      </c>
      <c r="E229" s="11"/>
      <c r="F229" s="12" t="str">
        <f t="shared" si="12"/>
        <v>00:00</v>
      </c>
      <c r="G229" s="12"/>
      <c r="I229" s="14" t="str">
        <f t="shared" si="13"/>
        <v>_00</v>
      </c>
      <c r="J229" s="15" t="str">
        <f t="shared" si="14"/>
        <v>SSFLAT__20260319_00</v>
      </c>
      <c r="K229" s="15" t="str">
        <f t="shared" si="15"/>
        <v>SSFLAT__19000100_0000</v>
      </c>
    </row>
    <row r="230" spans="2:11" x14ac:dyDescent="0.25">
      <c r="B230" t="str">
        <f>IF('FILL ME'!$B$3 = "", "", 'FILL ME'!$B$3)</f>
        <v>WWS</v>
      </c>
      <c r="C230" t="str">
        <f>IF('FILL ME'!$B$4 = "", "", 'FILL ME'!$B$4)</f>
        <v>SSFLAT</v>
      </c>
      <c r="D230" s="11" t="str">
        <f>TEXT('FILL ME'!$B$7,"yyyymmdd")</f>
        <v>20260319</v>
      </c>
      <c r="E230" s="11"/>
      <c r="F230" s="12" t="str">
        <f t="shared" si="12"/>
        <v>00:00</v>
      </c>
      <c r="G230" s="12"/>
      <c r="I230" s="14" t="str">
        <f t="shared" si="13"/>
        <v>_00</v>
      </c>
      <c r="J230" s="15" t="str">
        <f t="shared" si="14"/>
        <v>SSFLAT__20260319_00</v>
      </c>
      <c r="K230" s="15" t="str">
        <f t="shared" si="15"/>
        <v>SSFLAT__19000100_0000</v>
      </c>
    </row>
    <row r="231" spans="2:11" x14ac:dyDescent="0.25">
      <c r="B231" t="str">
        <f>IF('FILL ME'!$B$3 = "", "", 'FILL ME'!$B$3)</f>
        <v>WWS</v>
      </c>
      <c r="C231" t="str">
        <f>IF('FILL ME'!$B$4 = "", "", 'FILL ME'!$B$4)</f>
        <v>SSFLAT</v>
      </c>
      <c r="D231" s="11" t="str">
        <f>TEXT('FILL ME'!$B$7,"yyyymmdd")</f>
        <v>20260319</v>
      </c>
      <c r="E231" s="11"/>
      <c r="F231" s="12" t="str">
        <f t="shared" si="12"/>
        <v>00:00</v>
      </c>
      <c r="G231" s="12"/>
      <c r="I231" s="14" t="str">
        <f t="shared" si="13"/>
        <v>_00</v>
      </c>
      <c r="J231" s="15" t="str">
        <f t="shared" si="14"/>
        <v>SSFLAT__20260319_00</v>
      </c>
      <c r="K231" s="15" t="str">
        <f t="shared" si="15"/>
        <v>SSFLAT__19000100_0000</v>
      </c>
    </row>
    <row r="232" spans="2:11" x14ac:dyDescent="0.25">
      <c r="B232" t="str">
        <f>IF('FILL ME'!$B$3 = "", "", 'FILL ME'!$B$3)</f>
        <v>WWS</v>
      </c>
      <c r="C232" t="str">
        <f>IF('FILL ME'!$B$4 = "", "", 'FILL ME'!$B$4)</f>
        <v>SSFLAT</v>
      </c>
      <c r="D232" s="11" t="str">
        <f>TEXT('FILL ME'!$B$7,"yyyymmdd")</f>
        <v>20260319</v>
      </c>
      <c r="E232" s="11"/>
      <c r="F232" s="12" t="str">
        <f t="shared" si="12"/>
        <v>00:00</v>
      </c>
      <c r="G232" s="12"/>
      <c r="I232" s="14" t="str">
        <f t="shared" si="13"/>
        <v>_00</v>
      </c>
      <c r="J232" s="15" t="str">
        <f t="shared" si="14"/>
        <v>SSFLAT__20260319_00</v>
      </c>
      <c r="K232" s="15" t="str">
        <f t="shared" si="15"/>
        <v>SSFLAT__19000100_0000</v>
      </c>
    </row>
    <row r="233" spans="2:11" x14ac:dyDescent="0.25">
      <c r="B233" t="str">
        <f>IF('FILL ME'!$B$3 = "", "", 'FILL ME'!$B$3)</f>
        <v>WWS</v>
      </c>
      <c r="C233" t="str">
        <f>IF('FILL ME'!$B$4 = "", "", 'FILL ME'!$B$4)</f>
        <v>SSFLAT</v>
      </c>
      <c r="D233" s="11" t="str">
        <f>TEXT('FILL ME'!$B$7,"yyyymmdd")</f>
        <v>20260319</v>
      </c>
      <c r="E233" s="11"/>
      <c r="F233" s="12" t="str">
        <f t="shared" si="12"/>
        <v>00:00</v>
      </c>
      <c r="G233" s="12"/>
      <c r="I233" s="14" t="str">
        <f t="shared" si="13"/>
        <v>_00</v>
      </c>
      <c r="J233" s="15" t="str">
        <f t="shared" si="14"/>
        <v>SSFLAT__20260319_00</v>
      </c>
      <c r="K233" s="15" t="str">
        <f t="shared" si="15"/>
        <v>SSFLAT__19000100_0000</v>
      </c>
    </row>
    <row r="234" spans="2:11" x14ac:dyDescent="0.25">
      <c r="B234" t="str">
        <f>IF('FILL ME'!$B$3 = "", "", 'FILL ME'!$B$3)</f>
        <v>WWS</v>
      </c>
      <c r="C234" t="str">
        <f>IF('FILL ME'!$B$4 = "", "", 'FILL ME'!$B$4)</f>
        <v>SSFLAT</v>
      </c>
      <c r="D234" s="11" t="str">
        <f>TEXT('FILL ME'!$B$7,"yyyymmdd")</f>
        <v>20260319</v>
      </c>
      <c r="E234" s="11"/>
      <c r="F234" s="12" t="str">
        <f t="shared" si="12"/>
        <v>00:00</v>
      </c>
      <c r="G234" s="12"/>
      <c r="I234" s="14" t="str">
        <f t="shared" si="13"/>
        <v>_00</v>
      </c>
      <c r="J234" s="15" t="str">
        <f t="shared" si="14"/>
        <v>SSFLAT__20260319_00</v>
      </c>
      <c r="K234" s="15" t="str">
        <f t="shared" si="15"/>
        <v>SSFLAT__19000100_0000</v>
      </c>
    </row>
    <row r="235" spans="2:11" x14ac:dyDescent="0.25">
      <c r="B235" t="str">
        <f>IF('FILL ME'!$B$3 = "", "", 'FILL ME'!$B$3)</f>
        <v>WWS</v>
      </c>
      <c r="C235" t="str">
        <f>IF('FILL ME'!$B$4 = "", "", 'FILL ME'!$B$4)</f>
        <v>SSFLAT</v>
      </c>
      <c r="D235" s="11" t="str">
        <f>TEXT('FILL ME'!$B$7,"yyyymmdd")</f>
        <v>20260319</v>
      </c>
      <c r="E235" s="11"/>
      <c r="F235" s="12" t="str">
        <f t="shared" si="12"/>
        <v>00:00</v>
      </c>
      <c r="G235" s="12"/>
      <c r="I235" s="14" t="str">
        <f t="shared" si="13"/>
        <v>_00</v>
      </c>
      <c r="J235" s="15" t="str">
        <f t="shared" si="14"/>
        <v>SSFLAT__20260319_00</v>
      </c>
      <c r="K235" s="15" t="str">
        <f t="shared" si="15"/>
        <v>SSFLAT__19000100_0000</v>
      </c>
    </row>
    <row r="236" spans="2:11" x14ac:dyDescent="0.25">
      <c r="B236" t="str">
        <f>IF('FILL ME'!$B$3 = "", "", 'FILL ME'!$B$3)</f>
        <v>WWS</v>
      </c>
      <c r="C236" t="str">
        <f>IF('FILL ME'!$B$4 = "", "", 'FILL ME'!$B$4)</f>
        <v>SSFLAT</v>
      </c>
      <c r="D236" s="11" t="str">
        <f>TEXT('FILL ME'!$B$7,"yyyymmdd")</f>
        <v>20260319</v>
      </c>
      <c r="E236" s="11"/>
      <c r="F236" s="12" t="str">
        <f t="shared" si="12"/>
        <v>00:00</v>
      </c>
      <c r="G236" s="12"/>
      <c r="I236" s="14" t="str">
        <f t="shared" si="13"/>
        <v>_00</v>
      </c>
      <c r="J236" s="15" t="str">
        <f t="shared" si="14"/>
        <v>SSFLAT__20260319_00</v>
      </c>
      <c r="K236" s="15" t="str">
        <f t="shared" si="15"/>
        <v>SSFLAT__19000100_0000</v>
      </c>
    </row>
    <row r="237" spans="2:11" x14ac:dyDescent="0.25">
      <c r="B237" t="str">
        <f>IF('FILL ME'!$B$3 = "", "", 'FILL ME'!$B$3)</f>
        <v>WWS</v>
      </c>
      <c r="C237" t="str">
        <f>IF('FILL ME'!$B$4 = "", "", 'FILL ME'!$B$4)</f>
        <v>SSFLAT</v>
      </c>
      <c r="D237" s="11" t="str">
        <f>TEXT('FILL ME'!$B$7,"yyyymmdd")</f>
        <v>20260319</v>
      </c>
      <c r="E237" s="11"/>
      <c r="F237" s="12" t="str">
        <f t="shared" si="12"/>
        <v>00:00</v>
      </c>
      <c r="G237" s="12"/>
      <c r="I237" s="14" t="str">
        <f t="shared" si="13"/>
        <v>_00</v>
      </c>
      <c r="J237" s="15" t="str">
        <f t="shared" si="14"/>
        <v>SSFLAT__20260319_00</v>
      </c>
      <c r="K237" s="15" t="str">
        <f t="shared" si="15"/>
        <v>SSFLAT__19000100_0000</v>
      </c>
    </row>
    <row r="238" spans="2:11" x14ac:dyDescent="0.25">
      <c r="B238" t="str">
        <f>IF('FILL ME'!$B$3 = "", "", 'FILL ME'!$B$3)</f>
        <v>WWS</v>
      </c>
      <c r="C238" t="str">
        <f>IF('FILL ME'!$B$4 = "", "", 'FILL ME'!$B$4)</f>
        <v>SSFLAT</v>
      </c>
      <c r="D238" s="11" t="str">
        <f>TEXT('FILL ME'!$B$7,"yyyymmdd")</f>
        <v>20260319</v>
      </c>
      <c r="E238" s="11"/>
      <c r="F238" s="12" t="str">
        <f t="shared" si="12"/>
        <v>00:00</v>
      </c>
      <c r="G238" s="12"/>
      <c r="I238" s="14" t="str">
        <f t="shared" si="13"/>
        <v>_00</v>
      </c>
      <c r="J238" s="15" t="str">
        <f t="shared" si="14"/>
        <v>SSFLAT__20260319_00</v>
      </c>
      <c r="K238" s="15" t="str">
        <f t="shared" si="15"/>
        <v>SSFLAT__19000100_0000</v>
      </c>
    </row>
    <row r="239" spans="2:11" x14ac:dyDescent="0.25">
      <c r="B239" t="str">
        <f>IF('FILL ME'!$B$3 = "", "", 'FILL ME'!$B$3)</f>
        <v>WWS</v>
      </c>
      <c r="C239" t="str">
        <f>IF('FILL ME'!$B$4 = "", "", 'FILL ME'!$B$4)</f>
        <v>SSFLAT</v>
      </c>
      <c r="D239" s="11" t="str">
        <f>TEXT('FILL ME'!$B$7,"yyyymmdd")</f>
        <v>20260319</v>
      </c>
      <c r="E239" s="11"/>
      <c r="F239" s="12" t="str">
        <f t="shared" si="12"/>
        <v>00:00</v>
      </c>
      <c r="G239" s="12"/>
      <c r="I239" s="14" t="str">
        <f t="shared" si="13"/>
        <v>_00</v>
      </c>
      <c r="J239" s="15" t="str">
        <f t="shared" si="14"/>
        <v>SSFLAT__20260319_00</v>
      </c>
      <c r="K239" s="15" t="str">
        <f t="shared" si="15"/>
        <v>SSFLAT__19000100_0000</v>
      </c>
    </row>
    <row r="240" spans="2:11" x14ac:dyDescent="0.25">
      <c r="B240" t="str">
        <f>IF('FILL ME'!$B$3 = "", "", 'FILL ME'!$B$3)</f>
        <v>WWS</v>
      </c>
      <c r="C240" t="str">
        <f>IF('FILL ME'!$B$4 = "", "", 'FILL ME'!$B$4)</f>
        <v>SSFLAT</v>
      </c>
      <c r="D240" s="11" t="str">
        <f>TEXT('FILL ME'!$B$7,"yyyymmdd")</f>
        <v>20260319</v>
      </c>
      <c r="E240" s="11"/>
      <c r="F240" s="12" t="str">
        <f t="shared" si="12"/>
        <v>00:00</v>
      </c>
      <c r="G240" s="12"/>
      <c r="I240" s="14" t="str">
        <f t="shared" si="13"/>
        <v>_00</v>
      </c>
      <c r="J240" s="15" t="str">
        <f t="shared" si="14"/>
        <v>SSFLAT__20260319_00</v>
      </c>
      <c r="K240" s="15" t="str">
        <f t="shared" si="15"/>
        <v>SSFLAT__19000100_0000</v>
      </c>
    </row>
    <row r="241" spans="2:11" x14ac:dyDescent="0.25">
      <c r="B241" t="str">
        <f>IF('FILL ME'!$B$3 = "", "", 'FILL ME'!$B$3)</f>
        <v>WWS</v>
      </c>
      <c r="C241" t="str">
        <f>IF('FILL ME'!$B$4 = "", "", 'FILL ME'!$B$4)</f>
        <v>SSFLAT</v>
      </c>
      <c r="D241" s="11" t="str">
        <f>TEXT('FILL ME'!$B$7,"yyyymmdd")</f>
        <v>20260319</v>
      </c>
      <c r="E241" s="11"/>
      <c r="F241" s="12" t="str">
        <f t="shared" si="12"/>
        <v>00:00</v>
      </c>
      <c r="G241" s="12"/>
      <c r="I241" s="14" t="str">
        <f t="shared" si="13"/>
        <v>_00</v>
      </c>
      <c r="J241" s="15" t="str">
        <f t="shared" si="14"/>
        <v>SSFLAT__20260319_00</v>
      </c>
      <c r="K241" s="15" t="str">
        <f t="shared" si="15"/>
        <v>SSFLAT__19000100_0000</v>
      </c>
    </row>
    <row r="242" spans="2:11" x14ac:dyDescent="0.25">
      <c r="B242" t="str">
        <f>IF('FILL ME'!$B$3 = "", "", 'FILL ME'!$B$3)</f>
        <v>WWS</v>
      </c>
      <c r="C242" t="str">
        <f>IF('FILL ME'!$B$4 = "", "", 'FILL ME'!$B$4)</f>
        <v>SSFLAT</v>
      </c>
      <c r="D242" s="11" t="str">
        <f>TEXT('FILL ME'!$B$7,"yyyymmdd")</f>
        <v>20260319</v>
      </c>
      <c r="E242" s="11"/>
      <c r="F242" s="12" t="str">
        <f t="shared" si="12"/>
        <v>00:00</v>
      </c>
      <c r="G242" s="12"/>
      <c r="I242" s="14" t="str">
        <f t="shared" si="13"/>
        <v>_00</v>
      </c>
      <c r="J242" s="15" t="str">
        <f t="shared" si="14"/>
        <v>SSFLAT__20260319_00</v>
      </c>
      <c r="K242" s="15" t="str">
        <f t="shared" si="15"/>
        <v>SSFLAT__19000100_0000</v>
      </c>
    </row>
    <row r="243" spans="2:11" x14ac:dyDescent="0.25">
      <c r="B243" t="str">
        <f>IF('FILL ME'!$B$3 = "", "", 'FILL ME'!$B$3)</f>
        <v>WWS</v>
      </c>
      <c r="C243" t="str">
        <f>IF('FILL ME'!$B$4 = "", "", 'FILL ME'!$B$4)</f>
        <v>SSFLAT</v>
      </c>
      <c r="D243" s="11" t="str">
        <f>TEXT('FILL ME'!$B$7,"yyyymmdd")</f>
        <v>20260319</v>
      </c>
      <c r="E243" s="11"/>
      <c r="F243" s="12" t="str">
        <f t="shared" si="12"/>
        <v>00:00</v>
      </c>
      <c r="G243" s="12"/>
      <c r="I243" s="14" t="str">
        <f t="shared" si="13"/>
        <v>_00</v>
      </c>
      <c r="J243" s="15" t="str">
        <f t="shared" si="14"/>
        <v>SSFLAT__20260319_00</v>
      </c>
      <c r="K243" s="15" t="str">
        <f t="shared" si="15"/>
        <v>SSFLAT__19000100_0000</v>
      </c>
    </row>
    <row r="244" spans="2:11" x14ac:dyDescent="0.25">
      <c r="B244" t="str">
        <f>IF('FILL ME'!$B$3 = "", "", 'FILL ME'!$B$3)</f>
        <v>WWS</v>
      </c>
      <c r="C244" t="str">
        <f>IF('FILL ME'!$B$4 = "", "", 'FILL ME'!$B$4)</f>
        <v>SSFLAT</v>
      </c>
      <c r="D244" s="11" t="str">
        <f>TEXT('FILL ME'!$B$7,"yyyymmdd")</f>
        <v>20260319</v>
      </c>
      <c r="E244" s="11"/>
      <c r="F244" s="12" t="str">
        <f t="shared" si="12"/>
        <v>00:00</v>
      </c>
      <c r="G244" s="12"/>
      <c r="I244" s="14" t="str">
        <f t="shared" si="13"/>
        <v>_00</v>
      </c>
      <c r="J244" s="15" t="str">
        <f t="shared" si="14"/>
        <v>SSFLAT__20260319_00</v>
      </c>
      <c r="K244" s="15" t="str">
        <f t="shared" si="15"/>
        <v>SSFLAT__19000100_0000</v>
      </c>
    </row>
    <row r="245" spans="2:11" x14ac:dyDescent="0.25">
      <c r="B245" t="str">
        <f>IF('FILL ME'!$B$3 = "", "", 'FILL ME'!$B$3)</f>
        <v>WWS</v>
      </c>
      <c r="C245" t="str">
        <f>IF('FILL ME'!$B$4 = "", "", 'FILL ME'!$B$4)</f>
        <v>SSFLAT</v>
      </c>
      <c r="D245" s="11" t="str">
        <f>TEXT('FILL ME'!$B$7,"yyyymmdd")</f>
        <v>20260319</v>
      </c>
      <c r="E245" s="11"/>
      <c r="F245" s="12" t="str">
        <f t="shared" si="12"/>
        <v>00:00</v>
      </c>
      <c r="G245" s="12"/>
      <c r="I245" s="14" t="str">
        <f t="shared" si="13"/>
        <v>_00</v>
      </c>
      <c r="J245" s="15" t="str">
        <f t="shared" si="14"/>
        <v>SSFLAT__20260319_00</v>
      </c>
      <c r="K245" s="15" t="str">
        <f t="shared" si="15"/>
        <v>SSFLAT__19000100_0000</v>
      </c>
    </row>
    <row r="246" spans="2:11" x14ac:dyDescent="0.25">
      <c r="B246" t="str">
        <f>IF('FILL ME'!$B$3 = "", "", 'FILL ME'!$B$3)</f>
        <v>WWS</v>
      </c>
      <c r="C246" t="str">
        <f>IF('FILL ME'!$B$4 = "", "", 'FILL ME'!$B$4)</f>
        <v>SSFLAT</v>
      </c>
      <c r="D246" s="11" t="str">
        <f>TEXT('FILL ME'!$B$7,"yyyymmdd")</f>
        <v>20260319</v>
      </c>
      <c r="E246" s="11"/>
      <c r="F246" s="12" t="str">
        <f t="shared" si="12"/>
        <v>00:00</v>
      </c>
      <c r="G246" s="12"/>
      <c r="I246" s="14" t="str">
        <f t="shared" si="13"/>
        <v>_00</v>
      </c>
      <c r="J246" s="15" t="str">
        <f t="shared" si="14"/>
        <v>SSFLAT__20260319_00</v>
      </c>
      <c r="K246" s="15" t="str">
        <f t="shared" si="15"/>
        <v>SSFLAT__19000100_0000</v>
      </c>
    </row>
    <row r="247" spans="2:11" x14ac:dyDescent="0.25">
      <c r="B247" t="str">
        <f>IF('FILL ME'!$B$3 = "", "", 'FILL ME'!$B$3)</f>
        <v>WWS</v>
      </c>
      <c r="C247" t="str">
        <f>IF('FILL ME'!$B$4 = "", "", 'FILL ME'!$B$4)</f>
        <v>SSFLAT</v>
      </c>
      <c r="D247" s="11" t="str">
        <f>TEXT('FILL ME'!$B$7,"yyyymmdd")</f>
        <v>20260319</v>
      </c>
      <c r="E247" s="11"/>
      <c r="F247" s="12" t="str">
        <f t="shared" si="12"/>
        <v>00:00</v>
      </c>
      <c r="G247" s="12"/>
      <c r="I247" s="14" t="str">
        <f t="shared" si="13"/>
        <v>_00</v>
      </c>
      <c r="J247" s="15" t="str">
        <f t="shared" si="14"/>
        <v>SSFLAT__20260319_00</v>
      </c>
      <c r="K247" s="15" t="str">
        <f t="shared" si="15"/>
        <v>SSFLAT__19000100_0000</v>
      </c>
    </row>
    <row r="248" spans="2:11" x14ac:dyDescent="0.25">
      <c r="B248" t="str">
        <f>IF('FILL ME'!$B$3 = "", "", 'FILL ME'!$B$3)</f>
        <v>WWS</v>
      </c>
      <c r="C248" t="str">
        <f>IF('FILL ME'!$B$4 = "", "", 'FILL ME'!$B$4)</f>
        <v>SSFLAT</v>
      </c>
      <c r="D248" s="11" t="str">
        <f>TEXT('FILL ME'!$B$7,"yyyymmdd")</f>
        <v>20260319</v>
      </c>
      <c r="E248" s="11"/>
      <c r="F248" s="12" t="str">
        <f t="shared" si="12"/>
        <v>00:00</v>
      </c>
      <c r="G248" s="12"/>
      <c r="I248" s="14" t="str">
        <f t="shared" si="13"/>
        <v>_00</v>
      </c>
      <c r="J248" s="15" t="str">
        <f t="shared" si="14"/>
        <v>SSFLAT__20260319_00</v>
      </c>
      <c r="K248" s="15" t="str">
        <f t="shared" si="15"/>
        <v>SSFLAT__19000100_0000</v>
      </c>
    </row>
    <row r="249" spans="2:11" x14ac:dyDescent="0.25">
      <c r="B249" t="str">
        <f>IF('FILL ME'!$B$3 = "", "", 'FILL ME'!$B$3)</f>
        <v>WWS</v>
      </c>
      <c r="C249" t="str">
        <f>IF('FILL ME'!$B$4 = "", "", 'FILL ME'!$B$4)</f>
        <v>SSFLAT</v>
      </c>
      <c r="D249" s="11" t="str">
        <f>TEXT('FILL ME'!$B$7,"yyyymmdd")</f>
        <v>20260319</v>
      </c>
      <c r="E249" s="11"/>
      <c r="F249" s="12" t="str">
        <f t="shared" si="12"/>
        <v>00:00</v>
      </c>
      <c r="G249" s="12"/>
      <c r="I249" s="14" t="str">
        <f t="shared" si="13"/>
        <v>_00</v>
      </c>
      <c r="J249" s="15" t="str">
        <f t="shared" si="14"/>
        <v>SSFLAT__20260319_00</v>
      </c>
      <c r="K249" s="15" t="str">
        <f t="shared" si="15"/>
        <v>SSFLAT__19000100_0000</v>
      </c>
    </row>
    <row r="250" spans="2:11" x14ac:dyDescent="0.25">
      <c r="B250" t="str">
        <f>IF('FILL ME'!$B$3 = "", "", 'FILL ME'!$B$3)</f>
        <v>WWS</v>
      </c>
      <c r="C250" t="str">
        <f>IF('FILL ME'!$B$4 = "", "", 'FILL ME'!$B$4)</f>
        <v>SSFLAT</v>
      </c>
      <c r="D250" s="11" t="str">
        <f>TEXT('FILL ME'!$B$7,"yyyymmdd")</f>
        <v>20260319</v>
      </c>
      <c r="E250" s="11"/>
      <c r="F250" s="12" t="str">
        <f t="shared" si="12"/>
        <v>00:00</v>
      </c>
      <c r="G250" s="12"/>
      <c r="I250" s="14" t="str">
        <f t="shared" si="13"/>
        <v>_00</v>
      </c>
      <c r="J250" s="15" t="str">
        <f t="shared" si="14"/>
        <v>SSFLAT__20260319_00</v>
      </c>
      <c r="K250" s="15" t="str">
        <f t="shared" si="15"/>
        <v>SSFLAT__19000100_0000</v>
      </c>
    </row>
    <row r="251" spans="2:11" x14ac:dyDescent="0.25">
      <c r="B251" t="str">
        <f>IF('FILL ME'!$B$3 = "", "", 'FILL ME'!$B$3)</f>
        <v>WWS</v>
      </c>
      <c r="C251" t="str">
        <f>IF('FILL ME'!$B$4 = "", "", 'FILL ME'!$B$4)</f>
        <v>SSFLAT</v>
      </c>
      <c r="D251" s="11" t="str">
        <f>TEXT('FILL ME'!$B$7,"yyyymmdd")</f>
        <v>20260319</v>
      </c>
      <c r="E251" s="11"/>
      <c r="F251" s="12" t="str">
        <f t="shared" si="12"/>
        <v>00:00</v>
      </c>
      <c r="G251" s="12"/>
      <c r="I251" s="14" t="str">
        <f t="shared" si="13"/>
        <v>_00</v>
      </c>
      <c r="J251" s="15" t="str">
        <f t="shared" si="14"/>
        <v>SSFLAT__20260319_00</v>
      </c>
      <c r="K251" s="15" t="str">
        <f t="shared" si="15"/>
        <v>SSFLAT__19000100_0000</v>
      </c>
    </row>
    <row r="252" spans="2:11" x14ac:dyDescent="0.25">
      <c r="B252" t="str">
        <f>IF('FILL ME'!$B$3 = "", "", 'FILL ME'!$B$3)</f>
        <v>WWS</v>
      </c>
      <c r="C252" t="str">
        <f>IF('FILL ME'!$B$4 = "", "", 'FILL ME'!$B$4)</f>
        <v>SSFLAT</v>
      </c>
      <c r="D252" s="11" t="str">
        <f>TEXT('FILL ME'!$B$7,"yyyymmdd")</f>
        <v>20260319</v>
      </c>
      <c r="E252" s="11"/>
      <c r="F252" s="12" t="str">
        <f t="shared" si="12"/>
        <v>00:00</v>
      </c>
      <c r="G252" s="12"/>
      <c r="I252" s="14" t="str">
        <f t="shared" si="13"/>
        <v>_00</v>
      </c>
      <c r="J252" s="15" t="str">
        <f t="shared" si="14"/>
        <v>SSFLAT__20260319_00</v>
      </c>
      <c r="K252" s="15" t="str">
        <f t="shared" si="15"/>
        <v>SSFLAT__19000100_0000</v>
      </c>
    </row>
    <row r="253" spans="2:11" x14ac:dyDescent="0.25">
      <c r="B253" t="str">
        <f>IF('FILL ME'!$B$3 = "", "", 'FILL ME'!$B$3)</f>
        <v>WWS</v>
      </c>
      <c r="C253" t="str">
        <f>IF('FILL ME'!$B$4 = "", "", 'FILL ME'!$B$4)</f>
        <v>SSFLAT</v>
      </c>
      <c r="D253" s="11" t="str">
        <f>TEXT('FILL ME'!$B$7,"yyyymmdd")</f>
        <v>20260319</v>
      </c>
      <c r="E253" s="11"/>
      <c r="F253" s="12" t="str">
        <f t="shared" si="12"/>
        <v>00:00</v>
      </c>
      <c r="G253" s="12"/>
      <c r="I253" s="14" t="str">
        <f t="shared" si="13"/>
        <v>_00</v>
      </c>
      <c r="J253" s="15" t="str">
        <f t="shared" si="14"/>
        <v>SSFLAT__20260319_00</v>
      </c>
      <c r="K253" s="15" t="str">
        <f t="shared" si="15"/>
        <v>SSFLAT__19000100_0000</v>
      </c>
    </row>
    <row r="254" spans="2:11" x14ac:dyDescent="0.25">
      <c r="B254" t="str">
        <f>IF('FILL ME'!$B$3 = "", "", 'FILL ME'!$B$3)</f>
        <v>WWS</v>
      </c>
      <c r="C254" t="str">
        <f>IF('FILL ME'!$B$4 = "", "", 'FILL ME'!$B$4)</f>
        <v>SSFLAT</v>
      </c>
      <c r="D254" s="11" t="str">
        <f>TEXT('FILL ME'!$B$7,"yyyymmdd")</f>
        <v>20260319</v>
      </c>
      <c r="E254" s="11"/>
      <c r="F254" s="12" t="str">
        <f t="shared" si="12"/>
        <v>00:00</v>
      </c>
      <c r="G254" s="12"/>
      <c r="I254" s="14" t="str">
        <f t="shared" si="13"/>
        <v>_00</v>
      </c>
      <c r="J254" s="15" t="str">
        <f t="shared" si="14"/>
        <v>SSFLAT__20260319_00</v>
      </c>
      <c r="K254" s="15" t="str">
        <f t="shared" si="15"/>
        <v>SSFLAT__19000100_0000</v>
      </c>
    </row>
    <row r="255" spans="2:11" x14ac:dyDescent="0.25">
      <c r="B255" t="str">
        <f>IF('FILL ME'!$B$3 = "", "", 'FILL ME'!$B$3)</f>
        <v>WWS</v>
      </c>
      <c r="C255" t="str">
        <f>IF('FILL ME'!$B$4 = "", "", 'FILL ME'!$B$4)</f>
        <v>SSFLAT</v>
      </c>
      <c r="D255" s="11" t="str">
        <f>TEXT('FILL ME'!$B$7,"yyyymmdd")</f>
        <v>20260319</v>
      </c>
      <c r="E255" s="11"/>
      <c r="F255" s="12" t="str">
        <f t="shared" si="12"/>
        <v>00:00</v>
      </c>
      <c r="G255" s="12"/>
      <c r="I255" s="14" t="str">
        <f t="shared" si="13"/>
        <v>_00</v>
      </c>
      <c r="J255" s="15" t="str">
        <f t="shared" si="14"/>
        <v>SSFLAT__20260319_00</v>
      </c>
      <c r="K255" s="15" t="str">
        <f t="shared" si="15"/>
        <v>SSFLAT__19000100_0000</v>
      </c>
    </row>
    <row r="256" spans="2:11" x14ac:dyDescent="0.25">
      <c r="B256" t="str">
        <f>IF('FILL ME'!$B$3 = "", "", 'FILL ME'!$B$3)</f>
        <v>WWS</v>
      </c>
      <c r="C256" t="str">
        <f>IF('FILL ME'!$B$4 = "", "", 'FILL ME'!$B$4)</f>
        <v>SSFLAT</v>
      </c>
      <c r="D256" s="11" t="str">
        <f>TEXT('FILL ME'!$B$7,"yyyymmdd")</f>
        <v>20260319</v>
      </c>
      <c r="E256" s="11"/>
      <c r="F256" s="12" t="str">
        <f t="shared" si="12"/>
        <v>00:00</v>
      </c>
      <c r="G256" s="12"/>
      <c r="I256" s="14" t="str">
        <f t="shared" si="13"/>
        <v>_00</v>
      </c>
      <c r="J256" s="15" t="str">
        <f t="shared" si="14"/>
        <v>SSFLAT__20260319_00</v>
      </c>
      <c r="K256" s="15" t="str">
        <f t="shared" si="15"/>
        <v>SSFLAT__19000100_0000</v>
      </c>
    </row>
    <row r="257" spans="2:11" x14ac:dyDescent="0.25">
      <c r="B257" t="str">
        <f>IF('FILL ME'!$B$3 = "", "", 'FILL ME'!$B$3)</f>
        <v>WWS</v>
      </c>
      <c r="C257" t="str">
        <f>IF('FILL ME'!$B$4 = "", "", 'FILL ME'!$B$4)</f>
        <v>SSFLAT</v>
      </c>
      <c r="D257" s="11" t="str">
        <f>TEXT('FILL ME'!$B$7,"yyyymmdd")</f>
        <v>20260319</v>
      </c>
      <c r="E257" s="11"/>
      <c r="F257" s="12" t="str">
        <f t="shared" si="12"/>
        <v>00:00</v>
      </c>
      <c r="G257" s="12"/>
      <c r="I257" s="14" t="str">
        <f t="shared" si="13"/>
        <v>_00</v>
      </c>
      <c r="J257" s="15" t="str">
        <f t="shared" si="14"/>
        <v>SSFLAT__20260319_00</v>
      </c>
      <c r="K257" s="15" t="str">
        <f t="shared" si="15"/>
        <v>SSFLAT__19000100_0000</v>
      </c>
    </row>
    <row r="258" spans="2:11" x14ac:dyDescent="0.25">
      <c r="B258" t="str">
        <f>IF('FILL ME'!$B$3 = "", "", 'FILL ME'!$B$3)</f>
        <v>WWS</v>
      </c>
      <c r="C258" t="str">
        <f>IF('FILL ME'!$B$4 = "", "", 'FILL ME'!$B$4)</f>
        <v>SSFLAT</v>
      </c>
      <c r="D258" s="11" t="str">
        <f>TEXT('FILL ME'!$B$7,"yyyymmdd")</f>
        <v>20260319</v>
      </c>
      <c r="E258" s="11"/>
      <c r="F258" s="12" t="str">
        <f t="shared" si="12"/>
        <v>00:00</v>
      </c>
      <c r="G258" s="12"/>
      <c r="I258" s="14" t="str">
        <f t="shared" si="13"/>
        <v>_00</v>
      </c>
      <c r="J258" s="15" t="str">
        <f t="shared" si="14"/>
        <v>SSFLAT__20260319_00</v>
      </c>
      <c r="K258" s="15" t="str">
        <f t="shared" si="15"/>
        <v>SSFLAT__19000100_0000</v>
      </c>
    </row>
    <row r="259" spans="2:11" x14ac:dyDescent="0.25">
      <c r="B259" t="str">
        <f>IF('FILL ME'!$B$3 = "", "", 'FILL ME'!$B$3)</f>
        <v>WWS</v>
      </c>
      <c r="C259" t="str">
        <f>IF('FILL ME'!$B$4 = "", "", 'FILL ME'!$B$4)</f>
        <v>SSFLAT</v>
      </c>
      <c r="D259" s="11" t="str">
        <f>TEXT('FILL ME'!$B$7,"yyyymmdd")</f>
        <v>20260319</v>
      </c>
      <c r="E259" s="11"/>
      <c r="F259" s="12" t="str">
        <f t="shared" ref="F259:F321" si="16">IF(A259="Grab","",TEXT(E259,"hh:mm"))</f>
        <v>00:00</v>
      </c>
      <c r="G259" s="12"/>
      <c r="I259" s="14" t="str">
        <f t="shared" ref="I259:I321" si="17">CONCATENATE(H259,"_",TEXT(G259,"00"))</f>
        <v>_00</v>
      </c>
      <c r="J259" s="15" t="str">
        <f t="shared" ref="J259:J321" si="18">CONCATENATE(C259,"_", H259,"_",D259,"_",TEXT(G259,"00"))</f>
        <v>SSFLAT__20260319_00</v>
      </c>
      <c r="K259" s="15" t="str">
        <f t="shared" ref="K259:K321" si="19">CONCATENATE(C259,"_", H259,"_",TEXT(E259, "yyyymmdd"),"_",TEXT(F259, "hhmm"))</f>
        <v>SSFLAT__19000100_0000</v>
      </c>
    </row>
    <row r="260" spans="2:11" x14ac:dyDescent="0.25">
      <c r="B260" t="str">
        <f>IF('FILL ME'!$B$3 = "", "", 'FILL ME'!$B$3)</f>
        <v>WWS</v>
      </c>
      <c r="C260" t="str">
        <f>IF('FILL ME'!$B$4 = "", "", 'FILL ME'!$B$4)</f>
        <v>SSFLAT</v>
      </c>
      <c r="D260" s="11" t="str">
        <f>TEXT('FILL ME'!$B$7,"yyyymmdd")</f>
        <v>20260319</v>
      </c>
      <c r="E260" s="11"/>
      <c r="F260" s="12" t="str">
        <f t="shared" si="16"/>
        <v>00:00</v>
      </c>
      <c r="G260" s="12"/>
      <c r="I260" s="14" t="str">
        <f t="shared" si="17"/>
        <v>_00</v>
      </c>
      <c r="J260" s="15" t="str">
        <f t="shared" si="18"/>
        <v>SSFLAT__20260319_00</v>
      </c>
      <c r="K260" s="15" t="str">
        <f t="shared" si="19"/>
        <v>SSFLAT__19000100_0000</v>
      </c>
    </row>
    <row r="261" spans="2:11" x14ac:dyDescent="0.25">
      <c r="B261" t="str">
        <f>IF('FILL ME'!$B$3 = "", "", 'FILL ME'!$B$3)</f>
        <v>WWS</v>
      </c>
      <c r="C261" t="str">
        <f>IF('FILL ME'!$B$4 = "", "", 'FILL ME'!$B$4)</f>
        <v>SSFLAT</v>
      </c>
      <c r="D261" s="11" t="str">
        <f>TEXT('FILL ME'!$B$7,"yyyymmdd")</f>
        <v>20260319</v>
      </c>
      <c r="E261" s="11"/>
      <c r="F261" s="12" t="str">
        <f t="shared" si="16"/>
        <v>00:00</v>
      </c>
      <c r="G261" s="12"/>
      <c r="I261" s="14" t="str">
        <f t="shared" si="17"/>
        <v>_00</v>
      </c>
      <c r="J261" s="15" t="str">
        <f t="shared" si="18"/>
        <v>SSFLAT__20260319_00</v>
      </c>
      <c r="K261" s="15" t="str">
        <f t="shared" si="19"/>
        <v>SSFLAT__19000100_0000</v>
      </c>
    </row>
    <row r="262" spans="2:11" x14ac:dyDescent="0.25">
      <c r="B262" t="str">
        <f>IF('FILL ME'!$B$3 = "", "", 'FILL ME'!$B$3)</f>
        <v>WWS</v>
      </c>
      <c r="C262" t="str">
        <f>IF('FILL ME'!$B$4 = "", "", 'FILL ME'!$B$4)</f>
        <v>SSFLAT</v>
      </c>
      <c r="D262" s="11" t="str">
        <f>TEXT('FILL ME'!$B$7,"yyyymmdd")</f>
        <v>20260319</v>
      </c>
      <c r="E262" s="11"/>
      <c r="F262" s="12" t="str">
        <f t="shared" si="16"/>
        <v>00:00</v>
      </c>
      <c r="G262" s="12"/>
      <c r="I262" s="14" t="str">
        <f t="shared" si="17"/>
        <v>_00</v>
      </c>
      <c r="J262" s="15" t="str">
        <f t="shared" si="18"/>
        <v>SSFLAT__20260319_00</v>
      </c>
      <c r="K262" s="15" t="str">
        <f t="shared" si="19"/>
        <v>SSFLAT__19000100_0000</v>
      </c>
    </row>
    <row r="263" spans="2:11" x14ac:dyDescent="0.25">
      <c r="B263" t="str">
        <f>IF('FILL ME'!$B$3 = "", "", 'FILL ME'!$B$3)</f>
        <v>WWS</v>
      </c>
      <c r="C263" t="str">
        <f>IF('FILL ME'!$B$4 = "", "", 'FILL ME'!$B$4)</f>
        <v>SSFLAT</v>
      </c>
      <c r="D263" s="11" t="str">
        <f>TEXT('FILL ME'!$B$7,"yyyymmdd")</f>
        <v>20260319</v>
      </c>
      <c r="E263" s="11"/>
      <c r="F263" s="12" t="str">
        <f t="shared" si="16"/>
        <v>00:00</v>
      </c>
      <c r="G263" s="12"/>
      <c r="I263" s="14" t="str">
        <f t="shared" si="17"/>
        <v>_00</v>
      </c>
      <c r="J263" s="15" t="str">
        <f t="shared" si="18"/>
        <v>SSFLAT__20260319_00</v>
      </c>
      <c r="K263" s="15" t="str">
        <f t="shared" si="19"/>
        <v>SSFLAT__19000100_0000</v>
      </c>
    </row>
    <row r="264" spans="2:11" x14ac:dyDescent="0.25">
      <c r="B264" t="str">
        <f>IF('FILL ME'!$B$3 = "", "", 'FILL ME'!$B$3)</f>
        <v>WWS</v>
      </c>
      <c r="C264" t="str">
        <f>IF('FILL ME'!$B$4 = "", "", 'FILL ME'!$B$4)</f>
        <v>SSFLAT</v>
      </c>
      <c r="D264" s="11" t="str">
        <f>TEXT('FILL ME'!$B$7,"yyyymmdd")</f>
        <v>20260319</v>
      </c>
      <c r="E264" s="11"/>
      <c r="F264" s="12" t="str">
        <f t="shared" si="16"/>
        <v>00:00</v>
      </c>
      <c r="G264" s="12"/>
      <c r="I264" s="14" t="str">
        <f t="shared" si="17"/>
        <v>_00</v>
      </c>
      <c r="J264" s="15" t="str">
        <f t="shared" si="18"/>
        <v>SSFLAT__20260319_00</v>
      </c>
      <c r="K264" s="15" t="str">
        <f t="shared" si="19"/>
        <v>SSFLAT__19000100_0000</v>
      </c>
    </row>
    <row r="265" spans="2:11" x14ac:dyDescent="0.25">
      <c r="B265" t="str">
        <f>IF('FILL ME'!$B$3 = "", "", 'FILL ME'!$B$3)</f>
        <v>WWS</v>
      </c>
      <c r="C265" t="str">
        <f>IF('FILL ME'!$B$4 = "", "", 'FILL ME'!$B$4)</f>
        <v>SSFLAT</v>
      </c>
      <c r="D265" s="11" t="str">
        <f>TEXT('FILL ME'!$B$7,"yyyymmdd")</f>
        <v>20260319</v>
      </c>
      <c r="E265" s="11"/>
      <c r="F265" s="12" t="str">
        <f t="shared" si="16"/>
        <v>00:00</v>
      </c>
      <c r="G265" s="12"/>
      <c r="I265" s="14" t="str">
        <f t="shared" si="17"/>
        <v>_00</v>
      </c>
      <c r="J265" s="15" t="str">
        <f t="shared" si="18"/>
        <v>SSFLAT__20260319_00</v>
      </c>
      <c r="K265" s="15" t="str">
        <f t="shared" si="19"/>
        <v>SSFLAT__19000100_0000</v>
      </c>
    </row>
    <row r="266" spans="2:11" x14ac:dyDescent="0.25">
      <c r="B266" t="str">
        <f>IF('FILL ME'!$B$3 = "", "", 'FILL ME'!$B$3)</f>
        <v>WWS</v>
      </c>
      <c r="C266" t="str">
        <f>IF('FILL ME'!$B$4 = "", "", 'FILL ME'!$B$4)</f>
        <v>SSFLAT</v>
      </c>
      <c r="D266" s="11" t="str">
        <f>TEXT('FILL ME'!$B$7,"yyyymmdd")</f>
        <v>20260319</v>
      </c>
      <c r="E266" s="11"/>
      <c r="F266" s="12" t="str">
        <f t="shared" si="16"/>
        <v>00:00</v>
      </c>
      <c r="G266" s="12"/>
      <c r="I266" s="14" t="str">
        <f t="shared" si="17"/>
        <v>_00</v>
      </c>
      <c r="J266" s="15" t="str">
        <f t="shared" si="18"/>
        <v>SSFLAT__20260319_00</v>
      </c>
      <c r="K266" s="15" t="str">
        <f t="shared" si="19"/>
        <v>SSFLAT__19000100_0000</v>
      </c>
    </row>
    <row r="267" spans="2:11" x14ac:dyDescent="0.25">
      <c r="B267" t="str">
        <f>IF('FILL ME'!$B$3 = "", "", 'FILL ME'!$B$3)</f>
        <v>WWS</v>
      </c>
      <c r="C267" t="str">
        <f>IF('FILL ME'!$B$4 = "", "", 'FILL ME'!$B$4)</f>
        <v>SSFLAT</v>
      </c>
      <c r="D267" s="11" t="str">
        <f>TEXT('FILL ME'!$B$7,"yyyymmdd")</f>
        <v>20260319</v>
      </c>
      <c r="E267" s="11"/>
      <c r="F267" s="12" t="str">
        <f t="shared" si="16"/>
        <v>00:00</v>
      </c>
      <c r="G267" s="12"/>
      <c r="I267" s="14" t="str">
        <f t="shared" si="17"/>
        <v>_00</v>
      </c>
      <c r="J267" s="15" t="str">
        <f t="shared" si="18"/>
        <v>SSFLAT__20260319_00</v>
      </c>
      <c r="K267" s="15" t="str">
        <f t="shared" si="19"/>
        <v>SSFLAT__19000100_0000</v>
      </c>
    </row>
    <row r="268" spans="2:11" x14ac:dyDescent="0.25">
      <c r="B268" t="str">
        <f>IF('FILL ME'!$B$3 = "", "", 'FILL ME'!$B$3)</f>
        <v>WWS</v>
      </c>
      <c r="C268" t="str">
        <f>IF('FILL ME'!$B$4 = "", "", 'FILL ME'!$B$4)</f>
        <v>SSFLAT</v>
      </c>
      <c r="D268" s="11" t="str">
        <f>TEXT('FILL ME'!$B$7,"yyyymmdd")</f>
        <v>20260319</v>
      </c>
      <c r="E268" s="11"/>
      <c r="F268" s="12" t="str">
        <f t="shared" si="16"/>
        <v>00:00</v>
      </c>
      <c r="G268" s="12"/>
      <c r="I268" s="14" t="str">
        <f t="shared" si="17"/>
        <v>_00</v>
      </c>
      <c r="J268" s="15" t="str">
        <f t="shared" si="18"/>
        <v>SSFLAT__20260319_00</v>
      </c>
      <c r="K268" s="15" t="str">
        <f t="shared" si="19"/>
        <v>SSFLAT__19000100_0000</v>
      </c>
    </row>
    <row r="269" spans="2:11" x14ac:dyDescent="0.25">
      <c r="B269" t="str">
        <f>IF('FILL ME'!$B$3 = "", "", 'FILL ME'!$B$3)</f>
        <v>WWS</v>
      </c>
      <c r="C269" t="str">
        <f>IF('FILL ME'!$B$4 = "", "", 'FILL ME'!$B$4)</f>
        <v>SSFLAT</v>
      </c>
      <c r="D269" s="11" t="str">
        <f>TEXT('FILL ME'!$B$7,"yyyymmdd")</f>
        <v>20260319</v>
      </c>
      <c r="E269" s="11"/>
      <c r="F269" s="12" t="str">
        <f t="shared" si="16"/>
        <v>00:00</v>
      </c>
      <c r="G269" s="12"/>
      <c r="I269" s="14" t="str">
        <f t="shared" si="17"/>
        <v>_00</v>
      </c>
      <c r="J269" s="15" t="str">
        <f t="shared" si="18"/>
        <v>SSFLAT__20260319_00</v>
      </c>
      <c r="K269" s="15" t="str">
        <f t="shared" si="19"/>
        <v>SSFLAT__19000100_0000</v>
      </c>
    </row>
    <row r="270" spans="2:11" x14ac:dyDescent="0.25">
      <c r="B270" t="str">
        <f>IF('FILL ME'!$B$3 = "", "", 'FILL ME'!$B$3)</f>
        <v>WWS</v>
      </c>
      <c r="C270" t="str">
        <f>IF('FILL ME'!$B$4 = "", "", 'FILL ME'!$B$4)</f>
        <v>SSFLAT</v>
      </c>
      <c r="D270" s="11" t="str">
        <f>TEXT('FILL ME'!$B$7,"yyyymmdd")</f>
        <v>20260319</v>
      </c>
      <c r="E270" s="11"/>
      <c r="F270" s="12" t="str">
        <f t="shared" si="16"/>
        <v>00:00</v>
      </c>
      <c r="G270" s="12"/>
      <c r="I270" s="14" t="str">
        <f t="shared" si="17"/>
        <v>_00</v>
      </c>
      <c r="J270" s="15" t="str">
        <f t="shared" si="18"/>
        <v>SSFLAT__20260319_00</v>
      </c>
      <c r="K270" s="15" t="str">
        <f t="shared" si="19"/>
        <v>SSFLAT__19000100_0000</v>
      </c>
    </row>
    <row r="271" spans="2:11" x14ac:dyDescent="0.25">
      <c r="B271" t="str">
        <f>IF('FILL ME'!$B$3 = "", "", 'FILL ME'!$B$3)</f>
        <v>WWS</v>
      </c>
      <c r="C271" t="str">
        <f>IF('FILL ME'!$B$4 = "", "", 'FILL ME'!$B$4)</f>
        <v>SSFLAT</v>
      </c>
      <c r="D271" s="11" t="str">
        <f>TEXT('FILL ME'!$B$7,"yyyymmdd")</f>
        <v>20260319</v>
      </c>
      <c r="E271" s="11"/>
      <c r="F271" s="12" t="str">
        <f t="shared" si="16"/>
        <v>00:00</v>
      </c>
      <c r="G271" s="12"/>
      <c r="I271" s="14" t="str">
        <f t="shared" si="17"/>
        <v>_00</v>
      </c>
      <c r="J271" s="15" t="str">
        <f t="shared" si="18"/>
        <v>SSFLAT__20260319_00</v>
      </c>
      <c r="K271" s="15" t="str">
        <f t="shared" si="19"/>
        <v>SSFLAT__19000100_0000</v>
      </c>
    </row>
    <row r="272" spans="2:11" x14ac:dyDescent="0.25">
      <c r="B272" t="str">
        <f>IF('FILL ME'!$B$3 = "", "", 'FILL ME'!$B$3)</f>
        <v>WWS</v>
      </c>
      <c r="C272" t="str">
        <f>IF('FILL ME'!$B$4 = "", "", 'FILL ME'!$B$4)</f>
        <v>SSFLAT</v>
      </c>
      <c r="D272" s="11" t="str">
        <f>TEXT('FILL ME'!$B$7,"yyyymmdd")</f>
        <v>20260319</v>
      </c>
      <c r="E272" s="11"/>
      <c r="F272" s="12" t="str">
        <f t="shared" si="16"/>
        <v>00:00</v>
      </c>
      <c r="G272" s="12"/>
      <c r="I272" s="14" t="str">
        <f t="shared" si="17"/>
        <v>_00</v>
      </c>
      <c r="J272" s="15" t="str">
        <f t="shared" si="18"/>
        <v>SSFLAT__20260319_00</v>
      </c>
      <c r="K272" s="15" t="str">
        <f t="shared" si="19"/>
        <v>SSFLAT__19000100_0000</v>
      </c>
    </row>
    <row r="273" spans="2:11" x14ac:dyDescent="0.25">
      <c r="B273" t="str">
        <f>IF('FILL ME'!$B$3 = "", "", 'FILL ME'!$B$3)</f>
        <v>WWS</v>
      </c>
      <c r="C273" t="str">
        <f>IF('FILL ME'!$B$4 = "", "", 'FILL ME'!$B$4)</f>
        <v>SSFLAT</v>
      </c>
      <c r="D273" s="11" t="str">
        <f>TEXT('FILL ME'!$B$7,"yyyymmdd")</f>
        <v>20260319</v>
      </c>
      <c r="E273" s="11"/>
      <c r="F273" s="12" t="str">
        <f t="shared" si="16"/>
        <v>00:00</v>
      </c>
      <c r="G273" s="12"/>
      <c r="I273" s="14" t="str">
        <f t="shared" si="17"/>
        <v>_00</v>
      </c>
      <c r="J273" s="15" t="str">
        <f t="shared" si="18"/>
        <v>SSFLAT__20260319_00</v>
      </c>
      <c r="K273" s="15" t="str">
        <f t="shared" si="19"/>
        <v>SSFLAT__19000100_0000</v>
      </c>
    </row>
    <row r="274" spans="2:11" x14ac:dyDescent="0.25">
      <c r="B274" t="str">
        <f>IF('FILL ME'!$B$3 = "", "", 'FILL ME'!$B$3)</f>
        <v>WWS</v>
      </c>
      <c r="C274" t="str">
        <f>IF('FILL ME'!$B$4 = "", "", 'FILL ME'!$B$4)</f>
        <v>SSFLAT</v>
      </c>
      <c r="D274" s="11" t="str">
        <f>TEXT('FILL ME'!$B$7,"yyyymmdd")</f>
        <v>20260319</v>
      </c>
      <c r="E274" s="11"/>
      <c r="F274" s="12" t="str">
        <f t="shared" si="16"/>
        <v>00:00</v>
      </c>
      <c r="G274" s="12"/>
      <c r="I274" s="14" t="str">
        <f t="shared" si="17"/>
        <v>_00</v>
      </c>
      <c r="J274" s="15" t="str">
        <f t="shared" si="18"/>
        <v>SSFLAT__20260319_00</v>
      </c>
      <c r="K274" s="15" t="str">
        <f t="shared" si="19"/>
        <v>SSFLAT__19000100_0000</v>
      </c>
    </row>
    <row r="275" spans="2:11" x14ac:dyDescent="0.25">
      <c r="B275" t="str">
        <f>IF('FILL ME'!$B$3 = "", "", 'FILL ME'!$B$3)</f>
        <v>WWS</v>
      </c>
      <c r="C275" t="str">
        <f>IF('FILL ME'!$B$4 = "", "", 'FILL ME'!$B$4)</f>
        <v>SSFLAT</v>
      </c>
      <c r="D275" s="11" t="str">
        <f>TEXT('FILL ME'!$B$7,"yyyymmdd")</f>
        <v>20260319</v>
      </c>
      <c r="E275" s="11"/>
      <c r="F275" s="12" t="str">
        <f t="shared" si="16"/>
        <v>00:00</v>
      </c>
      <c r="G275" s="12"/>
      <c r="I275" s="14" t="str">
        <f t="shared" si="17"/>
        <v>_00</v>
      </c>
      <c r="J275" s="15" t="str">
        <f t="shared" si="18"/>
        <v>SSFLAT__20260319_00</v>
      </c>
      <c r="K275" s="15" t="str">
        <f t="shared" si="19"/>
        <v>SSFLAT__19000100_0000</v>
      </c>
    </row>
    <row r="276" spans="2:11" x14ac:dyDescent="0.25">
      <c r="B276" t="str">
        <f>IF('FILL ME'!$B$3 = "", "", 'FILL ME'!$B$3)</f>
        <v>WWS</v>
      </c>
      <c r="C276" t="str">
        <f>IF('FILL ME'!$B$4 = "", "", 'FILL ME'!$B$4)</f>
        <v>SSFLAT</v>
      </c>
      <c r="D276" s="11" t="str">
        <f>TEXT('FILL ME'!$B$7,"yyyymmdd")</f>
        <v>20260319</v>
      </c>
      <c r="E276" s="11"/>
      <c r="F276" s="12" t="str">
        <f t="shared" si="16"/>
        <v>00:00</v>
      </c>
      <c r="G276" s="12"/>
      <c r="I276" s="14" t="str">
        <f t="shared" si="17"/>
        <v>_00</v>
      </c>
      <c r="J276" s="15" t="str">
        <f t="shared" si="18"/>
        <v>SSFLAT__20260319_00</v>
      </c>
      <c r="K276" s="15" t="str">
        <f t="shared" si="19"/>
        <v>SSFLAT__19000100_0000</v>
      </c>
    </row>
    <row r="277" spans="2:11" x14ac:dyDescent="0.25">
      <c r="B277" t="str">
        <f>IF('FILL ME'!$B$3 = "", "", 'FILL ME'!$B$3)</f>
        <v>WWS</v>
      </c>
      <c r="C277" t="str">
        <f>IF('FILL ME'!$B$4 = "", "", 'FILL ME'!$B$4)</f>
        <v>SSFLAT</v>
      </c>
      <c r="D277" s="11" t="str">
        <f>TEXT('FILL ME'!$B$7,"yyyymmdd")</f>
        <v>20260319</v>
      </c>
      <c r="E277" s="11"/>
      <c r="F277" s="12" t="str">
        <f t="shared" si="16"/>
        <v>00:00</v>
      </c>
      <c r="G277" s="12"/>
      <c r="I277" s="14" t="str">
        <f t="shared" si="17"/>
        <v>_00</v>
      </c>
      <c r="J277" s="15" t="str">
        <f t="shared" si="18"/>
        <v>SSFLAT__20260319_00</v>
      </c>
      <c r="K277" s="15" t="str">
        <f t="shared" si="19"/>
        <v>SSFLAT__19000100_0000</v>
      </c>
    </row>
    <row r="278" spans="2:11" x14ac:dyDescent="0.25">
      <c r="B278" t="str">
        <f>IF('FILL ME'!$B$3 = "", "", 'FILL ME'!$B$3)</f>
        <v>WWS</v>
      </c>
      <c r="C278" t="str">
        <f>IF('FILL ME'!$B$4 = "", "", 'FILL ME'!$B$4)</f>
        <v>SSFLAT</v>
      </c>
      <c r="D278" s="11" t="str">
        <f>TEXT('FILL ME'!$B$7,"yyyymmdd")</f>
        <v>20260319</v>
      </c>
      <c r="E278" s="11"/>
      <c r="F278" s="12" t="str">
        <f t="shared" si="16"/>
        <v>00:00</v>
      </c>
      <c r="G278" s="12"/>
      <c r="I278" s="14" t="str">
        <f t="shared" si="17"/>
        <v>_00</v>
      </c>
      <c r="J278" s="15" t="str">
        <f t="shared" si="18"/>
        <v>SSFLAT__20260319_00</v>
      </c>
      <c r="K278" s="15" t="str">
        <f t="shared" si="19"/>
        <v>SSFLAT__19000100_0000</v>
      </c>
    </row>
    <row r="279" spans="2:11" x14ac:dyDescent="0.25">
      <c r="B279" t="str">
        <f>IF('FILL ME'!$B$3 = "", "", 'FILL ME'!$B$3)</f>
        <v>WWS</v>
      </c>
      <c r="C279" t="str">
        <f>IF('FILL ME'!$B$4 = "", "", 'FILL ME'!$B$4)</f>
        <v>SSFLAT</v>
      </c>
      <c r="D279" s="11" t="str">
        <f>TEXT('FILL ME'!$B$7,"yyyymmdd")</f>
        <v>20260319</v>
      </c>
      <c r="E279" s="11"/>
      <c r="F279" s="12" t="str">
        <f t="shared" si="16"/>
        <v>00:00</v>
      </c>
      <c r="G279" s="12"/>
      <c r="I279" s="14" t="str">
        <f t="shared" si="17"/>
        <v>_00</v>
      </c>
      <c r="J279" s="15" t="str">
        <f t="shared" si="18"/>
        <v>SSFLAT__20260319_00</v>
      </c>
      <c r="K279" s="15" t="str">
        <f t="shared" si="19"/>
        <v>SSFLAT__19000100_0000</v>
      </c>
    </row>
    <row r="280" spans="2:11" x14ac:dyDescent="0.25">
      <c r="B280" t="str">
        <f>IF('FILL ME'!$B$3 = "", "", 'FILL ME'!$B$3)</f>
        <v>WWS</v>
      </c>
      <c r="C280" t="str">
        <f>IF('FILL ME'!$B$4 = "", "", 'FILL ME'!$B$4)</f>
        <v>SSFLAT</v>
      </c>
      <c r="D280" s="11" t="str">
        <f>TEXT('FILL ME'!$B$7,"yyyymmdd")</f>
        <v>20260319</v>
      </c>
      <c r="E280" s="11"/>
      <c r="F280" s="12" t="str">
        <f t="shared" si="16"/>
        <v>00:00</v>
      </c>
      <c r="G280" s="12"/>
      <c r="I280" s="14" t="str">
        <f t="shared" si="17"/>
        <v>_00</v>
      </c>
      <c r="J280" s="15" t="str">
        <f t="shared" si="18"/>
        <v>SSFLAT__20260319_00</v>
      </c>
      <c r="K280" s="15" t="str">
        <f t="shared" si="19"/>
        <v>SSFLAT__19000100_0000</v>
      </c>
    </row>
    <row r="281" spans="2:11" x14ac:dyDescent="0.25">
      <c r="B281" t="str">
        <f>IF('FILL ME'!$B$3 = "", "", 'FILL ME'!$B$3)</f>
        <v>WWS</v>
      </c>
      <c r="C281" t="str">
        <f>IF('FILL ME'!$B$4 = "", "", 'FILL ME'!$B$4)</f>
        <v>SSFLAT</v>
      </c>
      <c r="D281" s="11" t="str">
        <f>TEXT('FILL ME'!$B$7,"yyyymmdd")</f>
        <v>20260319</v>
      </c>
      <c r="E281" s="11"/>
      <c r="F281" s="12" t="str">
        <f t="shared" si="16"/>
        <v>00:00</v>
      </c>
      <c r="G281" s="12"/>
      <c r="I281" s="14" t="str">
        <f t="shared" si="17"/>
        <v>_00</v>
      </c>
      <c r="J281" s="15" t="str">
        <f t="shared" si="18"/>
        <v>SSFLAT__20260319_00</v>
      </c>
      <c r="K281" s="15" t="str">
        <f t="shared" si="19"/>
        <v>SSFLAT__19000100_0000</v>
      </c>
    </row>
    <row r="282" spans="2:11" x14ac:dyDescent="0.25">
      <c r="B282" t="str">
        <f>IF('FILL ME'!$B$3 = "", "", 'FILL ME'!$B$3)</f>
        <v>WWS</v>
      </c>
      <c r="C282" t="str">
        <f>IF('FILL ME'!$B$4 = "", "", 'FILL ME'!$B$4)</f>
        <v>SSFLAT</v>
      </c>
      <c r="D282" s="11" t="str">
        <f>TEXT('FILL ME'!$B$7,"yyyymmdd")</f>
        <v>20260319</v>
      </c>
      <c r="E282" s="11"/>
      <c r="F282" s="12" t="str">
        <f t="shared" si="16"/>
        <v>00:00</v>
      </c>
      <c r="G282" s="12"/>
      <c r="I282" s="14" t="str">
        <f t="shared" si="17"/>
        <v>_00</v>
      </c>
      <c r="J282" s="15" t="str">
        <f t="shared" si="18"/>
        <v>SSFLAT__20260319_00</v>
      </c>
      <c r="K282" s="15" t="str">
        <f t="shared" si="19"/>
        <v>SSFLAT__19000100_0000</v>
      </c>
    </row>
    <row r="283" spans="2:11" x14ac:dyDescent="0.25">
      <c r="B283" t="str">
        <f>IF('FILL ME'!$B$3 = "", "", 'FILL ME'!$B$3)</f>
        <v>WWS</v>
      </c>
      <c r="C283" t="str">
        <f>IF('FILL ME'!$B$4 = "", "", 'FILL ME'!$B$4)</f>
        <v>SSFLAT</v>
      </c>
      <c r="D283" s="11" t="str">
        <f>TEXT('FILL ME'!$B$7,"yyyymmdd")</f>
        <v>20260319</v>
      </c>
      <c r="E283" s="11"/>
      <c r="F283" s="12" t="str">
        <f t="shared" si="16"/>
        <v>00:00</v>
      </c>
      <c r="G283" s="12"/>
      <c r="I283" s="14" t="str">
        <f t="shared" si="17"/>
        <v>_00</v>
      </c>
      <c r="J283" s="15" t="str">
        <f t="shared" si="18"/>
        <v>SSFLAT__20260319_00</v>
      </c>
      <c r="K283" s="15" t="str">
        <f t="shared" si="19"/>
        <v>SSFLAT__19000100_0000</v>
      </c>
    </row>
    <row r="284" spans="2:11" x14ac:dyDescent="0.25">
      <c r="B284" t="str">
        <f>IF('FILL ME'!$B$3 = "", "", 'FILL ME'!$B$3)</f>
        <v>WWS</v>
      </c>
      <c r="C284" t="str">
        <f>IF('FILL ME'!$B$4 = "", "", 'FILL ME'!$B$4)</f>
        <v>SSFLAT</v>
      </c>
      <c r="D284" s="11" t="str">
        <f>TEXT('FILL ME'!$B$7,"yyyymmdd")</f>
        <v>20260319</v>
      </c>
      <c r="E284" s="11"/>
      <c r="F284" s="12" t="str">
        <f t="shared" si="16"/>
        <v>00:00</v>
      </c>
      <c r="G284" s="12"/>
      <c r="I284" s="14" t="str">
        <f t="shared" si="17"/>
        <v>_00</v>
      </c>
      <c r="J284" s="15" t="str">
        <f t="shared" si="18"/>
        <v>SSFLAT__20260319_00</v>
      </c>
      <c r="K284" s="15" t="str">
        <f t="shared" si="19"/>
        <v>SSFLAT__19000100_0000</v>
      </c>
    </row>
    <row r="285" spans="2:11" x14ac:dyDescent="0.25">
      <c r="B285" t="str">
        <f>IF('FILL ME'!$B$3 = "", "", 'FILL ME'!$B$3)</f>
        <v>WWS</v>
      </c>
      <c r="C285" t="str">
        <f>IF('FILL ME'!$B$4 = "", "", 'FILL ME'!$B$4)</f>
        <v>SSFLAT</v>
      </c>
      <c r="D285" s="11" t="str">
        <f>TEXT('FILL ME'!$B$7,"yyyymmdd")</f>
        <v>20260319</v>
      </c>
      <c r="E285" s="11"/>
      <c r="F285" s="12" t="str">
        <f t="shared" si="16"/>
        <v>00:00</v>
      </c>
      <c r="G285" s="12"/>
      <c r="I285" s="14" t="str">
        <f t="shared" si="17"/>
        <v>_00</v>
      </c>
      <c r="J285" s="15" t="str">
        <f t="shared" si="18"/>
        <v>SSFLAT__20260319_00</v>
      </c>
      <c r="K285" s="15" t="str">
        <f t="shared" si="19"/>
        <v>SSFLAT__19000100_0000</v>
      </c>
    </row>
    <row r="286" spans="2:11" x14ac:dyDescent="0.25">
      <c r="B286" t="str">
        <f>IF('FILL ME'!$B$3 = "", "", 'FILL ME'!$B$3)</f>
        <v>WWS</v>
      </c>
      <c r="C286" t="str">
        <f>IF('FILL ME'!$B$4 = "", "", 'FILL ME'!$B$4)</f>
        <v>SSFLAT</v>
      </c>
      <c r="D286" s="11" t="str">
        <f>TEXT('FILL ME'!$B$7,"yyyymmdd")</f>
        <v>20260319</v>
      </c>
      <c r="E286" s="11"/>
      <c r="F286" s="12" t="str">
        <f t="shared" si="16"/>
        <v>00:00</v>
      </c>
      <c r="G286" s="12"/>
      <c r="I286" s="14" t="str">
        <f t="shared" si="17"/>
        <v>_00</v>
      </c>
      <c r="J286" s="15" t="str">
        <f t="shared" si="18"/>
        <v>SSFLAT__20260319_00</v>
      </c>
      <c r="K286" s="15" t="str">
        <f t="shared" si="19"/>
        <v>SSFLAT__19000100_0000</v>
      </c>
    </row>
    <row r="287" spans="2:11" x14ac:dyDescent="0.25">
      <c r="B287" t="str">
        <f>IF('FILL ME'!$B$3 = "", "", 'FILL ME'!$B$3)</f>
        <v>WWS</v>
      </c>
      <c r="C287" t="str">
        <f>IF('FILL ME'!$B$4 = "", "", 'FILL ME'!$B$4)</f>
        <v>SSFLAT</v>
      </c>
      <c r="D287" s="11" t="str">
        <f>TEXT('FILL ME'!$B$7,"yyyymmdd")</f>
        <v>20260319</v>
      </c>
      <c r="E287" s="11"/>
      <c r="F287" s="12" t="str">
        <f t="shared" si="16"/>
        <v>00:00</v>
      </c>
      <c r="G287" s="12"/>
      <c r="I287" s="14" t="str">
        <f t="shared" si="17"/>
        <v>_00</v>
      </c>
      <c r="J287" s="15" t="str">
        <f t="shared" si="18"/>
        <v>SSFLAT__20260319_00</v>
      </c>
      <c r="K287" s="15" t="str">
        <f t="shared" si="19"/>
        <v>SSFLAT__19000100_0000</v>
      </c>
    </row>
    <row r="288" spans="2:11" x14ac:dyDescent="0.25">
      <c r="B288" t="str">
        <f>IF('FILL ME'!$B$3 = "", "", 'FILL ME'!$B$3)</f>
        <v>WWS</v>
      </c>
      <c r="C288" t="str">
        <f>IF('FILL ME'!$B$4 = "", "", 'FILL ME'!$B$4)</f>
        <v>SSFLAT</v>
      </c>
      <c r="D288" s="11" t="str">
        <f>TEXT('FILL ME'!$B$7,"yyyymmdd")</f>
        <v>20260319</v>
      </c>
      <c r="E288" s="11"/>
      <c r="F288" s="12" t="str">
        <f t="shared" si="16"/>
        <v>00:00</v>
      </c>
      <c r="G288" s="12"/>
      <c r="I288" s="14" t="str">
        <f t="shared" si="17"/>
        <v>_00</v>
      </c>
      <c r="J288" s="15" t="str">
        <f t="shared" si="18"/>
        <v>SSFLAT__20260319_00</v>
      </c>
      <c r="K288" s="15" t="str">
        <f t="shared" si="19"/>
        <v>SSFLAT__19000100_0000</v>
      </c>
    </row>
    <row r="289" spans="2:11" x14ac:dyDescent="0.25">
      <c r="B289" t="str">
        <f>IF('FILL ME'!$B$3 = "", "", 'FILL ME'!$B$3)</f>
        <v>WWS</v>
      </c>
      <c r="C289" t="str">
        <f>IF('FILL ME'!$B$4 = "", "", 'FILL ME'!$B$4)</f>
        <v>SSFLAT</v>
      </c>
      <c r="D289" s="11" t="str">
        <f>TEXT('FILL ME'!$B$7,"yyyymmdd")</f>
        <v>20260319</v>
      </c>
      <c r="E289" s="11"/>
      <c r="F289" s="12" t="str">
        <f t="shared" si="16"/>
        <v>00:00</v>
      </c>
      <c r="G289" s="12"/>
      <c r="I289" s="14" t="str">
        <f t="shared" si="17"/>
        <v>_00</v>
      </c>
      <c r="J289" s="15" t="str">
        <f t="shared" si="18"/>
        <v>SSFLAT__20260319_00</v>
      </c>
      <c r="K289" s="15" t="str">
        <f t="shared" si="19"/>
        <v>SSFLAT__19000100_0000</v>
      </c>
    </row>
    <row r="290" spans="2:11" x14ac:dyDescent="0.25">
      <c r="B290" t="str">
        <f>IF('FILL ME'!$B$3 = "", "", 'FILL ME'!$B$3)</f>
        <v>WWS</v>
      </c>
      <c r="C290" t="str">
        <f>IF('FILL ME'!$B$4 = "", "", 'FILL ME'!$B$4)</f>
        <v>SSFLAT</v>
      </c>
      <c r="D290" s="11" t="str">
        <f>TEXT('FILL ME'!$B$7,"yyyymmdd")</f>
        <v>20260319</v>
      </c>
      <c r="E290" s="11"/>
      <c r="F290" s="12" t="str">
        <f t="shared" si="16"/>
        <v>00:00</v>
      </c>
      <c r="G290" s="12"/>
      <c r="I290" s="14" t="str">
        <f t="shared" si="17"/>
        <v>_00</v>
      </c>
      <c r="J290" s="15" t="str">
        <f t="shared" si="18"/>
        <v>SSFLAT__20260319_00</v>
      </c>
      <c r="K290" s="15" t="str">
        <f t="shared" si="19"/>
        <v>SSFLAT__19000100_0000</v>
      </c>
    </row>
    <row r="291" spans="2:11" x14ac:dyDescent="0.25">
      <c r="B291" t="str">
        <f>IF('FILL ME'!$B$3 = "", "", 'FILL ME'!$B$3)</f>
        <v>WWS</v>
      </c>
      <c r="C291" t="str">
        <f>IF('FILL ME'!$B$4 = "", "", 'FILL ME'!$B$4)</f>
        <v>SSFLAT</v>
      </c>
      <c r="D291" s="11" t="str">
        <f>TEXT('FILL ME'!$B$7,"yyyymmdd")</f>
        <v>20260319</v>
      </c>
      <c r="E291" s="11"/>
      <c r="F291" s="12" t="str">
        <f t="shared" si="16"/>
        <v>00:00</v>
      </c>
      <c r="G291" s="12"/>
      <c r="I291" s="14" t="str">
        <f t="shared" si="17"/>
        <v>_00</v>
      </c>
      <c r="J291" s="15" t="str">
        <f t="shared" si="18"/>
        <v>SSFLAT__20260319_00</v>
      </c>
      <c r="K291" s="15" t="str">
        <f t="shared" si="19"/>
        <v>SSFLAT__19000100_0000</v>
      </c>
    </row>
    <row r="292" spans="2:11" x14ac:dyDescent="0.25">
      <c r="B292" t="str">
        <f>IF('FILL ME'!$B$3 = "", "", 'FILL ME'!$B$3)</f>
        <v>WWS</v>
      </c>
      <c r="C292" t="str">
        <f>IF('FILL ME'!$B$4 = "", "", 'FILL ME'!$B$4)</f>
        <v>SSFLAT</v>
      </c>
      <c r="D292" s="11" t="str">
        <f>TEXT('FILL ME'!$B$7,"yyyymmdd")</f>
        <v>20260319</v>
      </c>
      <c r="E292" s="11"/>
      <c r="F292" s="12" t="str">
        <f t="shared" si="16"/>
        <v>00:00</v>
      </c>
      <c r="G292" s="12"/>
      <c r="I292" s="14" t="str">
        <f t="shared" si="17"/>
        <v>_00</v>
      </c>
      <c r="J292" s="15" t="str">
        <f t="shared" si="18"/>
        <v>SSFLAT__20260319_00</v>
      </c>
      <c r="K292" s="15" t="str">
        <f t="shared" si="19"/>
        <v>SSFLAT__19000100_0000</v>
      </c>
    </row>
    <row r="293" spans="2:11" x14ac:dyDescent="0.25">
      <c r="B293" t="str">
        <f>IF('FILL ME'!$B$3 = "", "", 'FILL ME'!$B$3)</f>
        <v>WWS</v>
      </c>
      <c r="C293" t="str">
        <f>IF('FILL ME'!$B$4 = "", "", 'FILL ME'!$B$4)</f>
        <v>SSFLAT</v>
      </c>
      <c r="D293" s="11" t="str">
        <f>TEXT('FILL ME'!$B$7,"yyyymmdd")</f>
        <v>20260319</v>
      </c>
      <c r="E293" s="11"/>
      <c r="F293" s="12" t="str">
        <f t="shared" si="16"/>
        <v>00:00</v>
      </c>
      <c r="G293" s="12"/>
      <c r="I293" s="14" t="str">
        <f t="shared" si="17"/>
        <v>_00</v>
      </c>
      <c r="J293" s="15" t="str">
        <f t="shared" si="18"/>
        <v>SSFLAT__20260319_00</v>
      </c>
      <c r="K293" s="15" t="str">
        <f t="shared" si="19"/>
        <v>SSFLAT__19000100_0000</v>
      </c>
    </row>
    <row r="294" spans="2:11" x14ac:dyDescent="0.25">
      <c r="B294" t="str">
        <f>IF('FILL ME'!$B$3 = "", "", 'FILL ME'!$B$3)</f>
        <v>WWS</v>
      </c>
      <c r="C294" t="str">
        <f>IF('FILL ME'!$B$4 = "", "", 'FILL ME'!$B$4)</f>
        <v>SSFLAT</v>
      </c>
      <c r="D294" s="11" t="str">
        <f>TEXT('FILL ME'!$B$7,"yyyymmdd")</f>
        <v>20260319</v>
      </c>
      <c r="E294" s="11"/>
      <c r="F294" s="12" t="str">
        <f t="shared" si="16"/>
        <v>00:00</v>
      </c>
      <c r="G294" s="12"/>
      <c r="I294" s="14" t="str">
        <f t="shared" si="17"/>
        <v>_00</v>
      </c>
      <c r="J294" s="15" t="str">
        <f t="shared" si="18"/>
        <v>SSFLAT__20260319_00</v>
      </c>
      <c r="K294" s="15" t="str">
        <f t="shared" si="19"/>
        <v>SSFLAT__19000100_0000</v>
      </c>
    </row>
    <row r="295" spans="2:11" x14ac:dyDescent="0.25">
      <c r="B295" t="str">
        <f>IF('FILL ME'!$B$3 = "", "", 'FILL ME'!$B$3)</f>
        <v>WWS</v>
      </c>
      <c r="C295" t="str">
        <f>IF('FILL ME'!$B$4 = "", "", 'FILL ME'!$B$4)</f>
        <v>SSFLAT</v>
      </c>
      <c r="D295" s="11" t="str">
        <f>TEXT('FILL ME'!$B$7,"yyyymmdd")</f>
        <v>20260319</v>
      </c>
      <c r="E295" s="11"/>
      <c r="F295" s="12" t="str">
        <f t="shared" si="16"/>
        <v>00:00</v>
      </c>
      <c r="G295" s="12"/>
      <c r="I295" s="14" t="str">
        <f t="shared" si="17"/>
        <v>_00</v>
      </c>
      <c r="J295" s="15" t="str">
        <f t="shared" si="18"/>
        <v>SSFLAT__20260319_00</v>
      </c>
      <c r="K295" s="15" t="str">
        <f t="shared" si="19"/>
        <v>SSFLAT__19000100_0000</v>
      </c>
    </row>
    <row r="296" spans="2:11" x14ac:dyDescent="0.25">
      <c r="B296" t="str">
        <f>IF('FILL ME'!$B$3 = "", "", 'FILL ME'!$B$3)</f>
        <v>WWS</v>
      </c>
      <c r="C296" t="str">
        <f>IF('FILL ME'!$B$4 = "", "", 'FILL ME'!$B$4)</f>
        <v>SSFLAT</v>
      </c>
      <c r="D296" s="11" t="str">
        <f>TEXT('FILL ME'!$B$7,"yyyymmdd")</f>
        <v>20260319</v>
      </c>
      <c r="E296" s="11"/>
      <c r="F296" s="12" t="str">
        <f t="shared" si="16"/>
        <v>00:00</v>
      </c>
      <c r="G296" s="12"/>
      <c r="I296" s="14" t="str">
        <f t="shared" si="17"/>
        <v>_00</v>
      </c>
      <c r="J296" s="15" t="str">
        <f t="shared" si="18"/>
        <v>SSFLAT__20260319_00</v>
      </c>
      <c r="K296" s="15" t="str">
        <f t="shared" si="19"/>
        <v>SSFLAT__19000100_0000</v>
      </c>
    </row>
    <row r="297" spans="2:11" x14ac:dyDescent="0.25">
      <c r="B297" t="str">
        <f>IF('FILL ME'!$B$3 = "", "", 'FILL ME'!$B$3)</f>
        <v>WWS</v>
      </c>
      <c r="C297" t="str">
        <f>IF('FILL ME'!$B$4 = "", "", 'FILL ME'!$B$4)</f>
        <v>SSFLAT</v>
      </c>
      <c r="D297" s="11" t="str">
        <f>TEXT('FILL ME'!$B$7,"yyyymmdd")</f>
        <v>20260319</v>
      </c>
      <c r="E297" s="11"/>
      <c r="F297" s="12" t="str">
        <f t="shared" si="16"/>
        <v>00:00</v>
      </c>
      <c r="G297" s="12"/>
      <c r="I297" s="14" t="str">
        <f t="shared" si="17"/>
        <v>_00</v>
      </c>
      <c r="J297" s="15" t="str">
        <f t="shared" si="18"/>
        <v>SSFLAT__20260319_00</v>
      </c>
      <c r="K297" s="15" t="str">
        <f t="shared" si="19"/>
        <v>SSFLAT__19000100_0000</v>
      </c>
    </row>
    <row r="298" spans="2:11" x14ac:dyDescent="0.25">
      <c r="B298" t="str">
        <f>IF('FILL ME'!$B$3 = "", "", 'FILL ME'!$B$3)</f>
        <v>WWS</v>
      </c>
      <c r="C298" t="str">
        <f>IF('FILL ME'!$B$4 = "", "", 'FILL ME'!$B$4)</f>
        <v>SSFLAT</v>
      </c>
      <c r="D298" s="11" t="str">
        <f>TEXT('FILL ME'!$B$7,"yyyymmdd")</f>
        <v>20260319</v>
      </c>
      <c r="E298" s="11"/>
      <c r="F298" s="12" t="str">
        <f t="shared" si="16"/>
        <v>00:00</v>
      </c>
      <c r="G298" s="12"/>
      <c r="I298" s="14" t="str">
        <f t="shared" si="17"/>
        <v>_00</v>
      </c>
      <c r="J298" s="15" t="str">
        <f t="shared" si="18"/>
        <v>SSFLAT__20260319_00</v>
      </c>
      <c r="K298" s="15" t="str">
        <f t="shared" si="19"/>
        <v>SSFLAT__19000100_0000</v>
      </c>
    </row>
    <row r="299" spans="2:11" x14ac:dyDescent="0.25">
      <c r="B299" t="str">
        <f>IF('FILL ME'!$B$3 = "", "", 'FILL ME'!$B$3)</f>
        <v>WWS</v>
      </c>
      <c r="C299" t="str">
        <f>IF('FILL ME'!$B$4 = "", "", 'FILL ME'!$B$4)</f>
        <v>SSFLAT</v>
      </c>
      <c r="D299" s="11" t="str">
        <f>TEXT('FILL ME'!$B$7,"yyyymmdd")</f>
        <v>20260319</v>
      </c>
      <c r="E299" s="11"/>
      <c r="F299" s="12" t="str">
        <f t="shared" si="16"/>
        <v>00:00</v>
      </c>
      <c r="G299" s="12"/>
      <c r="I299" s="14" t="str">
        <f t="shared" si="17"/>
        <v>_00</v>
      </c>
      <c r="J299" s="15" t="str">
        <f t="shared" si="18"/>
        <v>SSFLAT__20260319_00</v>
      </c>
      <c r="K299" s="15" t="str">
        <f t="shared" si="19"/>
        <v>SSFLAT__19000100_0000</v>
      </c>
    </row>
    <row r="300" spans="2:11" x14ac:dyDescent="0.25">
      <c r="B300" t="str">
        <f>IF('FILL ME'!$B$3 = "", "", 'FILL ME'!$B$3)</f>
        <v>WWS</v>
      </c>
      <c r="C300" t="str">
        <f>IF('FILL ME'!$B$4 = "", "", 'FILL ME'!$B$4)</f>
        <v>SSFLAT</v>
      </c>
      <c r="D300" s="11" t="str">
        <f>TEXT('FILL ME'!$B$7,"yyyymmdd")</f>
        <v>20260319</v>
      </c>
      <c r="E300" s="11"/>
      <c r="F300" s="12" t="str">
        <f t="shared" si="16"/>
        <v>00:00</v>
      </c>
      <c r="G300" s="12"/>
      <c r="I300" s="14" t="str">
        <f t="shared" si="17"/>
        <v>_00</v>
      </c>
      <c r="J300" s="15" t="str">
        <f t="shared" si="18"/>
        <v>SSFLAT__20260319_00</v>
      </c>
      <c r="K300" s="15" t="str">
        <f t="shared" si="19"/>
        <v>SSFLAT__19000100_0000</v>
      </c>
    </row>
    <row r="301" spans="2:11" x14ac:dyDescent="0.25">
      <c r="B301" t="str">
        <f>IF('FILL ME'!$B$3 = "", "", 'FILL ME'!$B$3)</f>
        <v>WWS</v>
      </c>
      <c r="C301" t="str">
        <f>IF('FILL ME'!$B$4 = "", "", 'FILL ME'!$B$4)</f>
        <v>SSFLAT</v>
      </c>
      <c r="D301" s="11" t="str">
        <f>TEXT('FILL ME'!$B$7,"yyyymmdd")</f>
        <v>20260319</v>
      </c>
      <c r="E301" s="11"/>
      <c r="F301" s="12" t="str">
        <f t="shared" si="16"/>
        <v>00:00</v>
      </c>
      <c r="G301" s="12"/>
      <c r="I301" s="14" t="str">
        <f t="shared" si="17"/>
        <v>_00</v>
      </c>
      <c r="J301" s="15" t="str">
        <f t="shared" si="18"/>
        <v>SSFLAT__20260319_00</v>
      </c>
      <c r="K301" s="15" t="str">
        <f t="shared" si="19"/>
        <v>SSFLAT__19000100_0000</v>
      </c>
    </row>
    <row r="302" spans="2:11" x14ac:dyDescent="0.25">
      <c r="B302" t="str">
        <f>IF('FILL ME'!$B$3 = "", "", 'FILL ME'!$B$3)</f>
        <v>WWS</v>
      </c>
      <c r="C302" t="str">
        <f>IF('FILL ME'!$B$4 = "", "", 'FILL ME'!$B$4)</f>
        <v>SSFLAT</v>
      </c>
      <c r="D302" s="11" t="str">
        <f>TEXT('FILL ME'!$B$7,"yyyymmdd")</f>
        <v>20260319</v>
      </c>
      <c r="E302" s="11"/>
      <c r="F302" s="12" t="str">
        <f t="shared" si="16"/>
        <v>00:00</v>
      </c>
      <c r="G302" s="12"/>
      <c r="I302" s="14" t="str">
        <f t="shared" si="17"/>
        <v>_00</v>
      </c>
      <c r="J302" s="15" t="str">
        <f t="shared" si="18"/>
        <v>SSFLAT__20260319_00</v>
      </c>
      <c r="K302" s="15" t="str">
        <f t="shared" si="19"/>
        <v>SSFLAT__19000100_0000</v>
      </c>
    </row>
    <row r="303" spans="2:11" x14ac:dyDescent="0.25">
      <c r="B303" t="str">
        <f>IF('FILL ME'!$B$3 = "", "", 'FILL ME'!$B$3)</f>
        <v>WWS</v>
      </c>
      <c r="C303" t="str">
        <f>IF('FILL ME'!$B$4 = "", "", 'FILL ME'!$B$4)</f>
        <v>SSFLAT</v>
      </c>
      <c r="D303" s="11" t="str">
        <f>TEXT('FILL ME'!$B$7,"yyyymmdd")</f>
        <v>20260319</v>
      </c>
      <c r="E303" s="11"/>
      <c r="F303" s="12" t="str">
        <f t="shared" si="16"/>
        <v>00:00</v>
      </c>
      <c r="G303" s="12"/>
      <c r="I303" s="14" t="str">
        <f t="shared" si="17"/>
        <v>_00</v>
      </c>
      <c r="J303" s="15" t="str">
        <f t="shared" si="18"/>
        <v>SSFLAT__20260319_00</v>
      </c>
      <c r="K303" s="15" t="str">
        <f t="shared" si="19"/>
        <v>SSFLAT__19000100_0000</v>
      </c>
    </row>
    <row r="304" spans="2:11" x14ac:dyDescent="0.25">
      <c r="B304" t="str">
        <f>IF('FILL ME'!$B$3 = "", "", 'FILL ME'!$B$3)</f>
        <v>WWS</v>
      </c>
      <c r="C304" t="str">
        <f>IF('FILL ME'!$B$4 = "", "", 'FILL ME'!$B$4)</f>
        <v>SSFLAT</v>
      </c>
      <c r="D304" s="11" t="str">
        <f>TEXT('FILL ME'!$B$7,"yyyymmdd")</f>
        <v>20260319</v>
      </c>
      <c r="E304" s="11"/>
      <c r="F304" s="12" t="str">
        <f t="shared" si="16"/>
        <v>00:00</v>
      </c>
      <c r="G304" s="12"/>
      <c r="I304" s="14" t="str">
        <f t="shared" si="17"/>
        <v>_00</v>
      </c>
      <c r="J304" s="15" t="str">
        <f t="shared" si="18"/>
        <v>SSFLAT__20260319_00</v>
      </c>
      <c r="K304" s="15" t="str">
        <f t="shared" si="19"/>
        <v>SSFLAT__19000100_0000</v>
      </c>
    </row>
    <row r="305" spans="2:11" x14ac:dyDescent="0.25">
      <c r="B305" t="str">
        <f>IF('FILL ME'!$B$3 = "", "", 'FILL ME'!$B$3)</f>
        <v>WWS</v>
      </c>
      <c r="C305" t="str">
        <f>IF('FILL ME'!$B$4 = "", "", 'FILL ME'!$B$4)</f>
        <v>SSFLAT</v>
      </c>
      <c r="D305" s="11" t="str">
        <f>TEXT('FILL ME'!$B$7,"yyyymmdd")</f>
        <v>20260319</v>
      </c>
      <c r="E305" s="11"/>
      <c r="F305" s="12" t="str">
        <f t="shared" si="16"/>
        <v>00:00</v>
      </c>
      <c r="G305" s="12"/>
      <c r="I305" s="14" t="str">
        <f t="shared" si="17"/>
        <v>_00</v>
      </c>
      <c r="J305" s="15" t="str">
        <f t="shared" si="18"/>
        <v>SSFLAT__20260319_00</v>
      </c>
      <c r="K305" s="15" t="str">
        <f t="shared" si="19"/>
        <v>SSFLAT__19000100_0000</v>
      </c>
    </row>
    <row r="306" spans="2:11" x14ac:dyDescent="0.25">
      <c r="B306" t="str">
        <f>IF('FILL ME'!$B$3 = "", "", 'FILL ME'!$B$3)</f>
        <v>WWS</v>
      </c>
      <c r="C306" t="str">
        <f>IF('FILL ME'!$B$4 = "", "", 'FILL ME'!$B$4)</f>
        <v>SSFLAT</v>
      </c>
      <c r="D306" s="11" t="str">
        <f>TEXT('FILL ME'!$B$7,"yyyymmdd")</f>
        <v>20260319</v>
      </c>
      <c r="E306" s="11"/>
      <c r="F306" s="12" t="str">
        <f t="shared" si="16"/>
        <v>00:00</v>
      </c>
      <c r="G306" s="12"/>
      <c r="I306" s="14" t="str">
        <f t="shared" si="17"/>
        <v>_00</v>
      </c>
      <c r="J306" s="15" t="str">
        <f t="shared" si="18"/>
        <v>SSFLAT__20260319_00</v>
      </c>
      <c r="K306" s="15" t="str">
        <f t="shared" si="19"/>
        <v>SSFLAT__19000100_0000</v>
      </c>
    </row>
    <row r="307" spans="2:11" x14ac:dyDescent="0.25">
      <c r="B307" t="str">
        <f>IF('FILL ME'!$B$3 = "", "", 'FILL ME'!$B$3)</f>
        <v>WWS</v>
      </c>
      <c r="C307" t="str">
        <f>IF('FILL ME'!$B$4 = "", "", 'FILL ME'!$B$4)</f>
        <v>SSFLAT</v>
      </c>
      <c r="D307" s="11" t="str">
        <f>TEXT('FILL ME'!$B$7,"yyyymmdd")</f>
        <v>20260319</v>
      </c>
      <c r="E307" s="11"/>
      <c r="F307" s="12" t="str">
        <f t="shared" si="16"/>
        <v>00:00</v>
      </c>
      <c r="G307" s="12"/>
      <c r="I307" s="14" t="str">
        <f t="shared" si="17"/>
        <v>_00</v>
      </c>
      <c r="J307" s="15" t="str">
        <f t="shared" si="18"/>
        <v>SSFLAT__20260319_00</v>
      </c>
      <c r="K307" s="15" t="str">
        <f t="shared" si="19"/>
        <v>SSFLAT__19000100_0000</v>
      </c>
    </row>
    <row r="308" spans="2:11" x14ac:dyDescent="0.25">
      <c r="B308" t="str">
        <f>IF('FILL ME'!$B$3 = "", "", 'FILL ME'!$B$3)</f>
        <v>WWS</v>
      </c>
      <c r="C308" t="str">
        <f>IF('FILL ME'!$B$4 = "", "", 'FILL ME'!$B$4)</f>
        <v>SSFLAT</v>
      </c>
      <c r="D308" s="11" t="str">
        <f>TEXT('FILL ME'!$B$7,"yyyymmdd")</f>
        <v>20260319</v>
      </c>
      <c r="E308" s="11"/>
      <c r="F308" s="12" t="str">
        <f t="shared" si="16"/>
        <v>00:00</v>
      </c>
      <c r="G308" s="12"/>
      <c r="I308" s="14" t="str">
        <f t="shared" si="17"/>
        <v>_00</v>
      </c>
      <c r="J308" s="15" t="str">
        <f t="shared" si="18"/>
        <v>SSFLAT__20260319_00</v>
      </c>
      <c r="K308" s="15" t="str">
        <f t="shared" si="19"/>
        <v>SSFLAT__19000100_0000</v>
      </c>
    </row>
    <row r="309" spans="2:11" x14ac:dyDescent="0.25">
      <c r="B309" t="str">
        <f>IF('FILL ME'!$B$3 = "", "", 'FILL ME'!$B$3)</f>
        <v>WWS</v>
      </c>
      <c r="C309" t="str">
        <f>IF('FILL ME'!$B$4 = "", "", 'FILL ME'!$B$4)</f>
        <v>SSFLAT</v>
      </c>
      <c r="D309" s="11" t="str">
        <f>TEXT('FILL ME'!$B$7,"yyyymmdd")</f>
        <v>20260319</v>
      </c>
      <c r="E309" s="11"/>
      <c r="F309" s="12" t="str">
        <f t="shared" si="16"/>
        <v>00:00</v>
      </c>
      <c r="G309" s="12"/>
      <c r="I309" s="14" t="str">
        <f t="shared" si="17"/>
        <v>_00</v>
      </c>
      <c r="J309" s="15" t="str">
        <f t="shared" si="18"/>
        <v>SSFLAT__20260319_00</v>
      </c>
      <c r="K309" s="15" t="str">
        <f t="shared" si="19"/>
        <v>SSFLAT__19000100_0000</v>
      </c>
    </row>
    <row r="310" spans="2:11" x14ac:dyDescent="0.25">
      <c r="B310" t="str">
        <f>IF('FILL ME'!$B$3 = "", "", 'FILL ME'!$B$3)</f>
        <v>WWS</v>
      </c>
      <c r="C310" t="str">
        <f>IF('FILL ME'!$B$4 = "", "", 'FILL ME'!$B$4)</f>
        <v>SSFLAT</v>
      </c>
      <c r="D310" s="11" t="str">
        <f>TEXT('FILL ME'!$B$7,"yyyymmdd")</f>
        <v>20260319</v>
      </c>
      <c r="E310" s="11"/>
      <c r="F310" s="12" t="str">
        <f t="shared" si="16"/>
        <v>00:00</v>
      </c>
      <c r="G310" s="12"/>
      <c r="I310" s="14" t="str">
        <f t="shared" si="17"/>
        <v>_00</v>
      </c>
      <c r="J310" s="15" t="str">
        <f t="shared" si="18"/>
        <v>SSFLAT__20260319_00</v>
      </c>
      <c r="K310" s="15" t="str">
        <f t="shared" si="19"/>
        <v>SSFLAT__19000100_0000</v>
      </c>
    </row>
    <row r="311" spans="2:11" x14ac:dyDescent="0.25">
      <c r="B311" t="str">
        <f>IF('FILL ME'!$B$3 = "", "", 'FILL ME'!$B$3)</f>
        <v>WWS</v>
      </c>
      <c r="C311" t="str">
        <f>IF('FILL ME'!$B$4 = "", "", 'FILL ME'!$B$4)</f>
        <v>SSFLAT</v>
      </c>
      <c r="D311" s="11" t="str">
        <f>TEXT('FILL ME'!$B$7,"yyyymmdd")</f>
        <v>20260319</v>
      </c>
      <c r="E311" s="11"/>
      <c r="F311" s="12" t="str">
        <f t="shared" si="16"/>
        <v>00:00</v>
      </c>
      <c r="G311" s="12"/>
      <c r="I311" s="14" t="str">
        <f t="shared" si="17"/>
        <v>_00</v>
      </c>
      <c r="J311" s="15" t="str">
        <f t="shared" si="18"/>
        <v>SSFLAT__20260319_00</v>
      </c>
      <c r="K311" s="15" t="str">
        <f t="shared" si="19"/>
        <v>SSFLAT__19000100_0000</v>
      </c>
    </row>
    <row r="312" spans="2:11" x14ac:dyDescent="0.25">
      <c r="B312" t="str">
        <f>IF('FILL ME'!$B$3 = "", "", 'FILL ME'!$B$3)</f>
        <v>WWS</v>
      </c>
      <c r="C312" t="str">
        <f>IF('FILL ME'!$B$4 = "", "", 'FILL ME'!$B$4)</f>
        <v>SSFLAT</v>
      </c>
      <c r="D312" s="11" t="str">
        <f>TEXT('FILL ME'!$B$7,"yyyymmdd")</f>
        <v>20260319</v>
      </c>
      <c r="E312" s="11"/>
      <c r="F312" s="12" t="str">
        <f t="shared" si="16"/>
        <v>00:00</v>
      </c>
      <c r="G312" s="12"/>
      <c r="I312" s="14" t="str">
        <f t="shared" si="17"/>
        <v>_00</v>
      </c>
      <c r="J312" s="15" t="str">
        <f t="shared" si="18"/>
        <v>SSFLAT__20260319_00</v>
      </c>
      <c r="K312" s="15" t="str">
        <f t="shared" si="19"/>
        <v>SSFLAT__19000100_0000</v>
      </c>
    </row>
    <row r="313" spans="2:11" x14ac:dyDescent="0.25">
      <c r="B313" t="str">
        <f>IF('FILL ME'!$B$3 = "", "", 'FILL ME'!$B$3)</f>
        <v>WWS</v>
      </c>
      <c r="C313" t="str">
        <f>IF('FILL ME'!$B$4 = "", "", 'FILL ME'!$B$4)</f>
        <v>SSFLAT</v>
      </c>
      <c r="D313" s="11" t="str">
        <f>TEXT('FILL ME'!$B$7,"yyyymmdd")</f>
        <v>20260319</v>
      </c>
      <c r="E313" s="11"/>
      <c r="F313" s="12" t="str">
        <f t="shared" si="16"/>
        <v>00:00</v>
      </c>
      <c r="G313" s="12"/>
      <c r="I313" s="14" t="str">
        <f t="shared" si="17"/>
        <v>_00</v>
      </c>
      <c r="J313" s="15" t="str">
        <f t="shared" si="18"/>
        <v>SSFLAT__20260319_00</v>
      </c>
      <c r="K313" s="15" t="str">
        <f t="shared" si="19"/>
        <v>SSFLAT__19000100_0000</v>
      </c>
    </row>
    <row r="314" spans="2:11" x14ac:dyDescent="0.25">
      <c r="B314" t="str">
        <f>IF('FILL ME'!$B$3 = "", "", 'FILL ME'!$B$3)</f>
        <v>WWS</v>
      </c>
      <c r="C314" t="str">
        <f>IF('FILL ME'!$B$4 = "", "", 'FILL ME'!$B$4)</f>
        <v>SSFLAT</v>
      </c>
      <c r="D314" s="11" t="str">
        <f>TEXT('FILL ME'!$B$7,"yyyymmdd")</f>
        <v>20260319</v>
      </c>
      <c r="E314" s="11"/>
      <c r="F314" s="12" t="str">
        <f t="shared" si="16"/>
        <v>00:00</v>
      </c>
      <c r="G314" s="12"/>
      <c r="I314" s="14" t="str">
        <f t="shared" si="17"/>
        <v>_00</v>
      </c>
      <c r="J314" s="15" t="str">
        <f t="shared" si="18"/>
        <v>SSFLAT__20260319_00</v>
      </c>
      <c r="K314" s="15" t="str">
        <f t="shared" si="19"/>
        <v>SSFLAT__19000100_0000</v>
      </c>
    </row>
    <row r="315" spans="2:11" x14ac:dyDescent="0.25">
      <c r="B315" t="str">
        <f>IF('FILL ME'!$B$3 = "", "", 'FILL ME'!$B$3)</f>
        <v>WWS</v>
      </c>
      <c r="C315" t="str">
        <f>IF('FILL ME'!$B$4 = "", "", 'FILL ME'!$B$4)</f>
        <v>SSFLAT</v>
      </c>
      <c r="D315" s="11" t="str">
        <f>TEXT('FILL ME'!$B$7,"yyyymmdd")</f>
        <v>20260319</v>
      </c>
      <c r="E315" s="11"/>
      <c r="F315" s="12" t="str">
        <f t="shared" si="16"/>
        <v>00:00</v>
      </c>
      <c r="G315" s="12"/>
      <c r="I315" s="14" t="str">
        <f t="shared" si="17"/>
        <v>_00</v>
      </c>
      <c r="J315" s="15" t="str">
        <f t="shared" si="18"/>
        <v>SSFLAT__20260319_00</v>
      </c>
      <c r="K315" s="15" t="str">
        <f t="shared" si="19"/>
        <v>SSFLAT__19000100_0000</v>
      </c>
    </row>
    <row r="316" spans="2:11" x14ac:dyDescent="0.25">
      <c r="B316" t="str">
        <f>IF('FILL ME'!$B$3 = "", "", 'FILL ME'!$B$3)</f>
        <v>WWS</v>
      </c>
      <c r="C316" t="str">
        <f>IF('FILL ME'!$B$4 = "", "", 'FILL ME'!$B$4)</f>
        <v>SSFLAT</v>
      </c>
      <c r="D316" s="11" t="str">
        <f>TEXT('FILL ME'!$B$7,"yyyymmdd")</f>
        <v>20260319</v>
      </c>
      <c r="E316" s="11"/>
      <c r="F316" s="12" t="str">
        <f t="shared" si="16"/>
        <v>00:00</v>
      </c>
      <c r="G316" s="12"/>
      <c r="I316" s="14" t="str">
        <f t="shared" si="17"/>
        <v>_00</v>
      </c>
      <c r="J316" s="15" t="str">
        <f t="shared" si="18"/>
        <v>SSFLAT__20260319_00</v>
      </c>
      <c r="K316" s="15" t="str">
        <f t="shared" si="19"/>
        <v>SSFLAT__19000100_0000</v>
      </c>
    </row>
    <row r="317" spans="2:11" x14ac:dyDescent="0.25">
      <c r="B317" t="str">
        <f>IF('FILL ME'!$B$3 = "", "", 'FILL ME'!$B$3)</f>
        <v>WWS</v>
      </c>
      <c r="C317" t="str">
        <f>IF('FILL ME'!$B$4 = "", "", 'FILL ME'!$B$4)</f>
        <v>SSFLAT</v>
      </c>
      <c r="D317" s="11" t="str">
        <f>TEXT('FILL ME'!$B$7,"yyyymmdd")</f>
        <v>20260319</v>
      </c>
      <c r="E317" s="11"/>
      <c r="F317" s="12" t="str">
        <f t="shared" si="16"/>
        <v>00:00</v>
      </c>
      <c r="G317" s="12"/>
      <c r="I317" s="14" t="str">
        <f t="shared" si="17"/>
        <v>_00</v>
      </c>
      <c r="J317" s="15" t="str">
        <f t="shared" si="18"/>
        <v>SSFLAT__20260319_00</v>
      </c>
      <c r="K317" s="15" t="str">
        <f t="shared" si="19"/>
        <v>SSFLAT__19000100_0000</v>
      </c>
    </row>
    <row r="318" spans="2:11" x14ac:dyDescent="0.25">
      <c r="B318" t="str">
        <f>IF('FILL ME'!$B$3 = "", "", 'FILL ME'!$B$3)</f>
        <v>WWS</v>
      </c>
      <c r="C318" t="str">
        <f>IF('FILL ME'!$B$4 = "", "", 'FILL ME'!$B$4)</f>
        <v>SSFLAT</v>
      </c>
      <c r="D318" s="11" t="str">
        <f>TEXT('FILL ME'!$B$7,"yyyymmdd")</f>
        <v>20260319</v>
      </c>
      <c r="E318" s="11"/>
      <c r="F318" s="12" t="str">
        <f t="shared" si="16"/>
        <v>00:00</v>
      </c>
      <c r="G318" s="12"/>
      <c r="I318" s="14" t="str">
        <f t="shared" si="17"/>
        <v>_00</v>
      </c>
      <c r="J318" s="15" t="str">
        <f t="shared" si="18"/>
        <v>SSFLAT__20260319_00</v>
      </c>
      <c r="K318" s="15" t="str">
        <f t="shared" si="19"/>
        <v>SSFLAT__19000100_0000</v>
      </c>
    </row>
    <row r="319" spans="2:11" x14ac:dyDescent="0.25">
      <c r="B319" t="str">
        <f>IF('FILL ME'!$B$3 = "", "", 'FILL ME'!$B$3)</f>
        <v>WWS</v>
      </c>
      <c r="C319" t="str">
        <f>IF('FILL ME'!$B$4 = "", "", 'FILL ME'!$B$4)</f>
        <v>SSFLAT</v>
      </c>
      <c r="D319" s="11" t="str">
        <f>TEXT('FILL ME'!$B$7,"yyyymmdd")</f>
        <v>20260319</v>
      </c>
      <c r="E319" s="11"/>
      <c r="F319" s="12" t="str">
        <f t="shared" si="16"/>
        <v>00:00</v>
      </c>
      <c r="G319" s="12"/>
      <c r="I319" s="14" t="str">
        <f t="shared" si="17"/>
        <v>_00</v>
      </c>
      <c r="J319" s="15" t="str">
        <f t="shared" si="18"/>
        <v>SSFLAT__20260319_00</v>
      </c>
      <c r="K319" s="15" t="str">
        <f t="shared" si="19"/>
        <v>SSFLAT__19000100_0000</v>
      </c>
    </row>
    <row r="320" spans="2:11" x14ac:dyDescent="0.25">
      <c r="B320" t="str">
        <f>IF('FILL ME'!$B$3 = "", "", 'FILL ME'!$B$3)</f>
        <v>WWS</v>
      </c>
      <c r="C320" t="str">
        <f>IF('FILL ME'!$B$4 = "", "", 'FILL ME'!$B$4)</f>
        <v>SSFLAT</v>
      </c>
      <c r="D320" s="11" t="str">
        <f>TEXT('FILL ME'!$B$7,"yyyymmdd")</f>
        <v>20260319</v>
      </c>
      <c r="E320" s="11"/>
      <c r="F320" s="12" t="str">
        <f t="shared" si="16"/>
        <v>00:00</v>
      </c>
      <c r="G320" s="12"/>
      <c r="I320" s="14" t="str">
        <f t="shared" si="17"/>
        <v>_00</v>
      </c>
      <c r="J320" s="15" t="str">
        <f t="shared" si="18"/>
        <v>SSFLAT__20260319_00</v>
      </c>
      <c r="K320" s="15" t="str">
        <f t="shared" si="19"/>
        <v>SSFLAT__19000100_0000</v>
      </c>
    </row>
    <row r="321" spans="2:11" x14ac:dyDescent="0.25">
      <c r="B321" t="str">
        <f>IF('FILL ME'!$B$3 = "", "", 'FILL ME'!$B$3)</f>
        <v>WWS</v>
      </c>
      <c r="C321" t="str">
        <f>IF('FILL ME'!$B$4 = "", "", 'FILL ME'!$B$4)</f>
        <v>SSFLAT</v>
      </c>
      <c r="D321" s="11" t="str">
        <f>TEXT('FILL ME'!$B$7,"yyyymmdd")</f>
        <v>20260319</v>
      </c>
      <c r="E321" s="11"/>
      <c r="F321" s="12" t="str">
        <f t="shared" si="16"/>
        <v>00:00</v>
      </c>
      <c r="G321" s="12"/>
      <c r="I321" s="14" t="str">
        <f t="shared" si="17"/>
        <v>_00</v>
      </c>
      <c r="J321" s="15" t="str">
        <f t="shared" si="18"/>
        <v>SSFLAT__20260319_00</v>
      </c>
      <c r="K321" s="15" t="str">
        <f t="shared" si="19"/>
        <v>SSFLAT__19000100_0000</v>
      </c>
    </row>
  </sheetData>
  <conditionalFormatting sqref="A1:A61">
    <cfRule type="expression" dxfId="5" priority="9">
      <formula>#REF!="Aqualog"</formula>
    </cfRule>
  </conditionalFormatting>
  <conditionalFormatting sqref="A1:C1 A2:A61">
    <cfRule type="expression" dxfId="4" priority="12">
      <formula>#REF!="Shipped"</formula>
    </cfRule>
  </conditionalFormatting>
  <conditionalFormatting sqref="B1:F1 H1:K1 H2:J321">
    <cfRule type="expression" dxfId="3" priority="25">
      <formula>#REF!="Aqualog"</formula>
    </cfRule>
  </conditionalFormatting>
  <conditionalFormatting sqref="D1:F1 H1">
    <cfRule type="expression" dxfId="2" priority="22">
      <formula>$B1048576="Shipped"</formula>
    </cfRule>
  </conditionalFormatting>
  <conditionalFormatting sqref="H1:J321 K2:K321">
    <cfRule type="expression" dxfId="1" priority="6">
      <formula>#REF!="Shipped"</formula>
    </cfRule>
  </conditionalFormatting>
  <conditionalFormatting sqref="K2:K321">
    <cfRule type="expression" dxfId="0" priority="36">
      <formula>$H3="Aqualog"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E4EE-0A7A-4560-B9C6-822B0B7C8D4A}">
  <sheetPr>
    <pageSetUpPr fitToPage="1"/>
  </sheetPr>
  <dimension ref="A1:F438"/>
  <sheetViews>
    <sheetView zoomScaleNormal="100" workbookViewId="0">
      <selection activeCell="C12" sqref="C12"/>
    </sheetView>
  </sheetViews>
  <sheetFormatPr defaultRowHeight="15" x14ac:dyDescent="0.25"/>
  <cols>
    <col min="1" max="1" width="33.7109375" customWidth="1"/>
    <col min="2" max="2" width="17.28515625" customWidth="1"/>
    <col min="3" max="3" width="18.7109375" customWidth="1"/>
    <col min="4" max="4" width="13.85546875" customWidth="1"/>
    <col min="5" max="5" width="15.28515625" customWidth="1"/>
    <col min="6" max="6" width="41.7109375" customWidth="1"/>
  </cols>
  <sheetData>
    <row r="1" spans="1:6" ht="15.75" x14ac:dyDescent="0.25">
      <c r="A1" s="18" t="s">
        <v>25</v>
      </c>
      <c r="B1" s="22" t="s">
        <v>21</v>
      </c>
      <c r="C1" s="22" t="s">
        <v>22</v>
      </c>
      <c r="D1" s="22" t="s">
        <v>23</v>
      </c>
      <c r="E1" s="22" t="s">
        <v>24</v>
      </c>
      <c r="F1" s="26" t="s">
        <v>5</v>
      </c>
    </row>
    <row r="2" spans="1:6" ht="15.75" x14ac:dyDescent="0.25">
      <c r="A2" s="19" t="s">
        <v>20</v>
      </c>
      <c r="B2" s="27" t="s">
        <v>34</v>
      </c>
      <c r="C2" s="28" t="s">
        <v>26</v>
      </c>
      <c r="D2" s="28" t="s">
        <v>26</v>
      </c>
      <c r="E2" s="28" t="s">
        <v>27</v>
      </c>
      <c r="F2" s="27" t="s">
        <v>35</v>
      </c>
    </row>
    <row r="3" spans="1:6" ht="15.75" x14ac:dyDescent="0.25">
      <c r="A3" s="7" t="str" cm="1">
        <f t="array" ref="A3:A50">_xlfn.CHOOSEROWS(
    IF('FILL ME'!B9="Bottle Number", 'Label IDs'!J:J, 'Label IDs'!K:K),
    _xlfn.SEQUENCE('FILL ME'!B15*'FILL ME'!B6) + 1
)</f>
        <v>SSFLAT_CMP_20260319_01</v>
      </c>
      <c r="B3" s="7"/>
      <c r="C3" s="7"/>
      <c r="D3" s="7"/>
      <c r="E3" s="7"/>
      <c r="F3" s="7"/>
    </row>
    <row r="4" spans="1:6" ht="15.75" x14ac:dyDescent="0.25">
      <c r="A4" s="9" t="str">
        <v>SSFLAT_CMP_20260319_02</v>
      </c>
      <c r="B4" s="9"/>
      <c r="C4" s="9"/>
      <c r="D4" s="9"/>
      <c r="E4" s="9"/>
      <c r="F4" s="9"/>
    </row>
    <row r="5" spans="1:6" ht="15.75" x14ac:dyDescent="0.25">
      <c r="A5" s="21" t="str">
        <v>SSFLAT_CMP_20260319_03</v>
      </c>
      <c r="B5" s="21"/>
      <c r="C5" s="21"/>
      <c r="D5" s="21"/>
      <c r="E5" s="21"/>
      <c r="F5" s="21"/>
    </row>
    <row r="6" spans="1:6" ht="15.75" x14ac:dyDescent="0.25">
      <c r="A6" s="9" t="str">
        <v>SSFLAT_CMP_20260319_04</v>
      </c>
      <c r="B6" s="9"/>
      <c r="C6" s="9"/>
      <c r="D6" s="9"/>
      <c r="E6" s="9"/>
      <c r="F6" s="9"/>
    </row>
    <row r="7" spans="1:6" ht="15.75" x14ac:dyDescent="0.25">
      <c r="A7" s="21" t="str">
        <v>SSFLAT_CMP_20260319_05</v>
      </c>
      <c r="B7" s="21"/>
      <c r="C7" s="21"/>
      <c r="D7" s="21"/>
      <c r="E7" s="21"/>
      <c r="F7" s="21"/>
    </row>
    <row r="8" spans="1:6" ht="15.75" x14ac:dyDescent="0.25">
      <c r="A8" s="9" t="str">
        <v>SSFLAT_CMP_20260319_06</v>
      </c>
      <c r="B8" s="9"/>
      <c r="C8" s="9"/>
      <c r="D8" s="9"/>
      <c r="E8" s="9"/>
      <c r="F8" s="9"/>
    </row>
    <row r="9" spans="1:6" ht="15.75" x14ac:dyDescent="0.25">
      <c r="A9" s="21" t="str">
        <v>SSFLAT_CMP_20260319_07</v>
      </c>
      <c r="B9" s="21"/>
      <c r="C9" s="21"/>
      <c r="D9" s="21"/>
      <c r="E9" s="21"/>
      <c r="F9" s="21"/>
    </row>
    <row r="10" spans="1:6" ht="15.75" x14ac:dyDescent="0.25">
      <c r="A10" s="9" t="str">
        <v>SSFLAT_CMP_20260319_08</v>
      </c>
      <c r="B10" s="9"/>
      <c r="C10" s="9"/>
      <c r="D10" s="9"/>
      <c r="E10" s="9"/>
      <c r="F10" s="9"/>
    </row>
    <row r="11" spans="1:6" ht="15.75" x14ac:dyDescent="0.25">
      <c r="A11" s="21" t="str">
        <v>SSFLAT_CMP_20260319_09</v>
      </c>
      <c r="B11" s="21"/>
      <c r="C11" s="21"/>
      <c r="D11" s="21"/>
      <c r="E11" s="21"/>
      <c r="F11" s="21"/>
    </row>
    <row r="12" spans="1:6" ht="15.75" x14ac:dyDescent="0.25">
      <c r="A12" s="9" t="str">
        <v>SSFLAT_CMP_20260319_10</v>
      </c>
      <c r="B12" s="9"/>
      <c r="C12" s="9"/>
      <c r="D12" s="9"/>
      <c r="E12" s="9"/>
      <c r="F12" s="9"/>
    </row>
    <row r="13" spans="1:6" ht="15.75" x14ac:dyDescent="0.25">
      <c r="A13" s="21" t="str">
        <v>SSFLAT_CMP_20260319_11</v>
      </c>
      <c r="B13" s="21"/>
      <c r="C13" s="21"/>
      <c r="D13" s="21"/>
      <c r="E13" s="21"/>
      <c r="F13" s="21"/>
    </row>
    <row r="14" spans="1:6" ht="15.75" x14ac:dyDescent="0.25">
      <c r="A14" s="9" t="str">
        <v>SSFLAT_CMP_20260319_12</v>
      </c>
      <c r="B14" s="9"/>
      <c r="C14" s="9"/>
      <c r="D14" s="9"/>
      <c r="E14" s="9"/>
      <c r="F14" s="9"/>
    </row>
    <row r="15" spans="1:6" ht="15.75" x14ac:dyDescent="0.25">
      <c r="A15" s="21" t="str">
        <v>SSFLAT_CMP_20260319_13</v>
      </c>
      <c r="B15" s="21"/>
      <c r="C15" s="21"/>
      <c r="D15" s="21"/>
      <c r="E15" s="21"/>
      <c r="F15" s="21"/>
    </row>
    <row r="16" spans="1:6" ht="15.75" x14ac:dyDescent="0.25">
      <c r="A16" s="9" t="str">
        <v>SSFLAT_CMP_20260319_14</v>
      </c>
      <c r="B16" s="9"/>
      <c r="C16" s="9"/>
      <c r="D16" s="9"/>
      <c r="E16" s="9"/>
      <c r="F16" s="9"/>
    </row>
    <row r="17" spans="1:6" ht="15.75" x14ac:dyDescent="0.25">
      <c r="A17" s="21" t="str">
        <v>SSFLAT_CMP_20260319_15</v>
      </c>
      <c r="B17" s="21"/>
      <c r="C17" s="21"/>
      <c r="D17" s="21"/>
      <c r="E17" s="21"/>
      <c r="F17" s="21"/>
    </row>
    <row r="18" spans="1:6" ht="15.75" x14ac:dyDescent="0.25">
      <c r="A18" s="9" t="str">
        <v>SSFLAT_CMP_20260319_16</v>
      </c>
      <c r="B18" s="9"/>
      <c r="C18" s="9"/>
      <c r="D18" s="9"/>
      <c r="E18" s="9"/>
      <c r="F18" s="9"/>
    </row>
    <row r="19" spans="1:6" ht="15.75" x14ac:dyDescent="0.25">
      <c r="A19" s="21" t="str">
        <v>SSFLAT_CMP_20260319_17</v>
      </c>
      <c r="B19" s="21"/>
      <c r="C19" s="21"/>
      <c r="D19" s="21"/>
      <c r="E19" s="21"/>
      <c r="F19" s="21"/>
    </row>
    <row r="20" spans="1:6" ht="15.75" x14ac:dyDescent="0.25">
      <c r="A20" s="9" t="str">
        <v>SSFLAT_CMP_20260319_18</v>
      </c>
      <c r="B20" s="9"/>
      <c r="C20" s="9"/>
      <c r="D20" s="9"/>
      <c r="E20" s="9"/>
      <c r="F20" s="9"/>
    </row>
    <row r="21" spans="1:6" ht="15.75" x14ac:dyDescent="0.25">
      <c r="A21" s="21" t="str">
        <v>SSFLAT_CMP_20260319_19</v>
      </c>
      <c r="B21" s="21"/>
      <c r="C21" s="21"/>
      <c r="D21" s="21"/>
      <c r="E21" s="21"/>
      <c r="F21" s="21"/>
    </row>
    <row r="22" spans="1:6" ht="15.75" x14ac:dyDescent="0.25">
      <c r="A22" s="9" t="str">
        <v>SSFLAT_CMP_20260319_20</v>
      </c>
      <c r="B22" s="9"/>
      <c r="C22" s="9"/>
      <c r="D22" s="9"/>
      <c r="E22" s="9"/>
      <c r="F22" s="9"/>
    </row>
    <row r="23" spans="1:6" ht="15.75" x14ac:dyDescent="0.25">
      <c r="A23" s="21" t="str">
        <v>SSFLAT_CMP_20260319_21</v>
      </c>
      <c r="B23" s="21"/>
      <c r="C23" s="21"/>
      <c r="D23" s="21"/>
      <c r="E23" s="21"/>
      <c r="F23" s="21"/>
    </row>
    <row r="24" spans="1:6" ht="15.75" x14ac:dyDescent="0.25">
      <c r="A24" s="9" t="str">
        <v>SSFLAT_CMP_20260319_22</v>
      </c>
      <c r="B24" s="9"/>
      <c r="C24" s="9"/>
      <c r="D24" s="9"/>
      <c r="E24" s="9"/>
      <c r="F24" s="9"/>
    </row>
    <row r="25" spans="1:6" ht="15.75" x14ac:dyDescent="0.25">
      <c r="A25" s="21" t="str">
        <v>SSFLAT_CMP_20260319_23</v>
      </c>
      <c r="B25" s="21"/>
      <c r="C25" s="21"/>
      <c r="D25" s="21"/>
      <c r="E25" s="21"/>
      <c r="F25" s="21"/>
    </row>
    <row r="26" spans="1:6" ht="15.75" x14ac:dyDescent="0.25">
      <c r="A26" s="9" t="str">
        <v>SSFLAT_CMP_20260319_24</v>
      </c>
      <c r="B26" s="9"/>
      <c r="C26" s="9"/>
      <c r="D26" s="9"/>
      <c r="E26" s="9"/>
      <c r="F26" s="9"/>
    </row>
    <row r="27" spans="1:6" ht="15.75" x14ac:dyDescent="0.25">
      <c r="A27" s="21" t="str">
        <v>SSFLAT_ALD_20260319_01</v>
      </c>
      <c r="B27" s="21"/>
      <c r="C27" s="21"/>
      <c r="D27" s="21"/>
      <c r="E27" s="21"/>
      <c r="F27" s="21"/>
    </row>
    <row r="28" spans="1:6" ht="15.75" x14ac:dyDescent="0.25">
      <c r="A28" s="9" t="str">
        <v>SSFLAT_ALD_20260319_02</v>
      </c>
      <c r="B28" s="9"/>
      <c r="C28" s="9"/>
      <c r="D28" s="9"/>
      <c r="E28" s="9"/>
      <c r="F28" s="9"/>
    </row>
    <row r="29" spans="1:6" ht="15.75" x14ac:dyDescent="0.25">
      <c r="A29" s="21" t="str">
        <v>SSFLAT_ALD_20260319_03</v>
      </c>
      <c r="B29" s="21"/>
      <c r="C29" s="21"/>
      <c r="D29" s="21"/>
      <c r="E29" s="21"/>
      <c r="F29" s="21"/>
    </row>
    <row r="30" spans="1:6" ht="15.75" x14ac:dyDescent="0.25">
      <c r="A30" s="9" t="str">
        <v>SSFLAT_ALD_20260319_04</v>
      </c>
      <c r="B30" s="9"/>
      <c r="C30" s="9"/>
      <c r="D30" s="9"/>
      <c r="E30" s="9"/>
      <c r="F30" s="9"/>
    </row>
    <row r="31" spans="1:6" ht="15.75" x14ac:dyDescent="0.25">
      <c r="A31" s="21" t="str">
        <v>SSFLAT_ALD_20260319_05</v>
      </c>
      <c r="B31" s="21"/>
      <c r="C31" s="21"/>
      <c r="D31" s="21"/>
      <c r="E31" s="21"/>
      <c r="F31" s="21"/>
    </row>
    <row r="32" spans="1:6" ht="15.75" x14ac:dyDescent="0.25">
      <c r="A32" s="9" t="str">
        <v>SSFLAT_ALD_20260319_06</v>
      </c>
      <c r="B32" s="9"/>
      <c r="C32" s="9"/>
      <c r="D32" s="9"/>
      <c r="E32" s="9"/>
      <c r="F32" s="9"/>
    </row>
    <row r="33" spans="1:6" ht="15.75" x14ac:dyDescent="0.25">
      <c r="A33" s="21" t="str">
        <v>SSFLAT_ALD_20260319_07</v>
      </c>
      <c r="B33" s="21"/>
      <c r="C33" s="21"/>
      <c r="D33" s="21"/>
      <c r="E33" s="21"/>
      <c r="F33" s="21"/>
    </row>
    <row r="34" spans="1:6" ht="15.75" x14ac:dyDescent="0.25">
      <c r="A34" s="9" t="str">
        <v>SSFLAT_ALD_20260319_08</v>
      </c>
      <c r="B34" s="9"/>
      <c r="C34" s="9"/>
      <c r="D34" s="9"/>
      <c r="E34" s="9"/>
      <c r="F34" s="9"/>
    </row>
    <row r="35" spans="1:6" ht="15.75" x14ac:dyDescent="0.25">
      <c r="A35" s="21" t="str">
        <v>SSFLAT_ALD_20260319_09</v>
      </c>
      <c r="B35" s="21"/>
      <c r="C35" s="21"/>
      <c r="D35" s="21"/>
      <c r="E35" s="21"/>
      <c r="F35" s="21"/>
    </row>
    <row r="36" spans="1:6" ht="15.75" x14ac:dyDescent="0.25">
      <c r="A36" s="9" t="str">
        <v>SSFLAT_ALD_20260319_10</v>
      </c>
      <c r="B36" s="9"/>
      <c r="C36" s="9"/>
      <c r="D36" s="9"/>
      <c r="E36" s="9"/>
      <c r="F36" s="9"/>
    </row>
    <row r="37" spans="1:6" ht="15.75" x14ac:dyDescent="0.25">
      <c r="A37" s="21" t="str">
        <v>SSFLAT_ALD_20260319_11</v>
      </c>
      <c r="B37" s="21"/>
      <c r="C37" s="21"/>
      <c r="D37" s="21"/>
      <c r="E37" s="21"/>
      <c r="F37" s="21"/>
    </row>
    <row r="38" spans="1:6" ht="15.75" x14ac:dyDescent="0.25">
      <c r="A38" s="9" t="str">
        <v>SSFLAT_ALD_20260319_12</v>
      </c>
      <c r="B38" s="9"/>
      <c r="C38" s="9"/>
      <c r="D38" s="9"/>
      <c r="E38" s="9"/>
      <c r="F38" s="9"/>
    </row>
    <row r="39" spans="1:6" ht="15.75" x14ac:dyDescent="0.25">
      <c r="A39" s="21" t="str">
        <v>SSFLAT_ALD_20260319_13</v>
      </c>
      <c r="B39" s="21"/>
      <c r="C39" s="21"/>
      <c r="D39" s="21"/>
      <c r="E39" s="21"/>
      <c r="F39" s="21"/>
    </row>
    <row r="40" spans="1:6" ht="15.75" x14ac:dyDescent="0.25">
      <c r="A40" s="9" t="str">
        <v>SSFLAT_ALD_20260319_14</v>
      </c>
      <c r="B40" s="9"/>
      <c r="C40" s="9"/>
      <c r="D40" s="9"/>
      <c r="E40" s="9"/>
      <c r="F40" s="9"/>
    </row>
    <row r="41" spans="1:6" ht="15.75" x14ac:dyDescent="0.25">
      <c r="A41" s="21" t="str">
        <v>SSFLAT_ALD_20260319_15</v>
      </c>
      <c r="B41" s="21"/>
      <c r="C41" s="21"/>
      <c r="D41" s="21"/>
      <c r="E41" s="21"/>
      <c r="F41" s="21"/>
    </row>
    <row r="42" spans="1:6" ht="15.75" x14ac:dyDescent="0.25">
      <c r="A42" s="9" t="str">
        <v>SSFLAT_ALD_20260319_16</v>
      </c>
      <c r="B42" s="9"/>
      <c r="C42" s="9"/>
      <c r="D42" s="9"/>
      <c r="E42" s="9"/>
      <c r="F42" s="9"/>
    </row>
    <row r="43" spans="1:6" ht="15.75" x14ac:dyDescent="0.25">
      <c r="A43" s="21" t="str">
        <v>SSFLAT_ALD_20260319_17</v>
      </c>
      <c r="B43" s="21"/>
      <c r="C43" s="21"/>
      <c r="D43" s="21"/>
      <c r="E43" s="21"/>
      <c r="F43" s="21"/>
    </row>
    <row r="44" spans="1:6" ht="15.75" x14ac:dyDescent="0.25">
      <c r="A44" s="9" t="str">
        <v>SSFLAT_ALD_20260319_18</v>
      </c>
      <c r="B44" s="8"/>
      <c r="C44" s="8"/>
      <c r="D44" s="8"/>
      <c r="E44" s="8"/>
      <c r="F44" s="8"/>
    </row>
    <row r="45" spans="1:6" ht="15.75" x14ac:dyDescent="0.25">
      <c r="A45" s="21" t="str">
        <v>SSFLAT_ALD_20260319_19</v>
      </c>
      <c r="B45" s="20"/>
      <c r="C45" s="20"/>
      <c r="D45" s="20"/>
      <c r="E45" s="20"/>
      <c r="F45" s="20"/>
    </row>
    <row r="46" spans="1:6" ht="15.75" x14ac:dyDescent="0.25">
      <c r="A46" s="9" t="str">
        <v>SSFLAT_ALD_20260319_20</v>
      </c>
      <c r="B46" s="8"/>
      <c r="C46" s="8"/>
      <c r="D46" s="8"/>
      <c r="E46" s="8"/>
      <c r="F46" s="8"/>
    </row>
    <row r="47" spans="1:6" ht="15.75" x14ac:dyDescent="0.25">
      <c r="A47" s="21" t="str">
        <v>SSFLAT_ALD_20260319_21</v>
      </c>
      <c r="B47" s="20"/>
      <c r="C47" s="20"/>
      <c r="D47" s="20"/>
      <c r="E47" s="20"/>
      <c r="F47" s="20"/>
    </row>
    <row r="48" spans="1:6" ht="15.75" x14ac:dyDescent="0.25">
      <c r="A48" s="9" t="str">
        <v>SSFLAT_ALD_20260319_22</v>
      </c>
      <c r="B48" s="8"/>
      <c r="C48" s="8"/>
      <c r="D48" s="8"/>
      <c r="E48" s="8"/>
      <c r="F48" s="8"/>
    </row>
    <row r="49" spans="1:6" ht="15.75" x14ac:dyDescent="0.25">
      <c r="A49" s="21" t="str">
        <v>SSFLAT_ALD_20260319_23</v>
      </c>
      <c r="B49" s="20"/>
      <c r="C49" s="20"/>
      <c r="D49" s="20"/>
      <c r="E49" s="20"/>
      <c r="F49" s="20"/>
    </row>
    <row r="50" spans="1:6" ht="15.75" x14ac:dyDescent="0.25">
      <c r="A50" s="9" t="str">
        <v>SSFLAT_ALD_20260319_24</v>
      </c>
      <c r="B50" s="8"/>
      <c r="C50" s="8"/>
      <c r="D50" s="8"/>
      <c r="E50" s="8"/>
      <c r="F50" s="8"/>
    </row>
    <row r="51" spans="1:6" ht="15.75" x14ac:dyDescent="0.25">
      <c r="A51" s="21"/>
      <c r="B51" s="20"/>
      <c r="C51" s="20"/>
      <c r="D51" s="20"/>
      <c r="E51" s="20"/>
      <c r="F51" s="20"/>
    </row>
    <row r="52" spans="1:6" ht="15.75" x14ac:dyDescent="0.25">
      <c r="A52" s="9"/>
      <c r="B52" s="8"/>
      <c r="C52" s="8"/>
      <c r="D52" s="8"/>
      <c r="E52" s="8"/>
      <c r="F52" s="8"/>
    </row>
    <row r="53" spans="1:6" ht="15.75" x14ac:dyDescent="0.25">
      <c r="A53" s="21"/>
      <c r="B53" s="20"/>
      <c r="C53" s="20"/>
      <c r="D53" s="20"/>
      <c r="E53" s="20"/>
      <c r="F53" s="20"/>
    </row>
    <row r="54" spans="1:6" ht="15.75" x14ac:dyDescent="0.25">
      <c r="A54" s="9"/>
      <c r="B54" s="8"/>
      <c r="C54" s="8"/>
      <c r="D54" s="8"/>
      <c r="E54" s="8"/>
      <c r="F54" s="8"/>
    </row>
    <row r="55" spans="1:6" ht="15.75" x14ac:dyDescent="0.25">
      <c r="A55" s="21"/>
      <c r="B55" s="20"/>
      <c r="C55" s="20"/>
      <c r="D55" s="20"/>
      <c r="E55" s="20"/>
      <c r="F55" s="20"/>
    </row>
    <row r="56" spans="1:6" ht="15.75" x14ac:dyDescent="0.25">
      <c r="A56" s="9"/>
      <c r="B56" s="8"/>
      <c r="C56" s="8"/>
      <c r="D56" s="8"/>
      <c r="E56" s="8"/>
      <c r="F56" s="8"/>
    </row>
    <row r="57" spans="1:6" ht="15.75" x14ac:dyDescent="0.25">
      <c r="A57" s="21"/>
      <c r="B57" s="20"/>
      <c r="C57" s="20"/>
      <c r="D57" s="20"/>
      <c r="E57" s="20"/>
      <c r="F57" s="20"/>
    </row>
    <row r="58" spans="1:6" ht="15.75" x14ac:dyDescent="0.25">
      <c r="A58" s="9"/>
      <c r="B58" s="8"/>
      <c r="C58" s="8"/>
      <c r="D58" s="8"/>
      <c r="E58" s="8"/>
      <c r="F58" s="8"/>
    </row>
    <row r="59" spans="1:6" ht="15.75" x14ac:dyDescent="0.25">
      <c r="A59" s="21"/>
      <c r="B59" s="20"/>
      <c r="C59" s="20"/>
      <c r="D59" s="20"/>
      <c r="E59" s="20"/>
      <c r="F59" s="20"/>
    </row>
    <row r="60" spans="1:6" ht="15.75" x14ac:dyDescent="0.25">
      <c r="A60" s="9"/>
      <c r="B60" s="8"/>
      <c r="C60" s="8"/>
      <c r="D60" s="8"/>
      <c r="E60" s="8"/>
      <c r="F60" s="8"/>
    </row>
    <row r="61" spans="1:6" ht="15.75" x14ac:dyDescent="0.25">
      <c r="A61" s="21"/>
      <c r="B61" s="20"/>
      <c r="C61" s="20"/>
      <c r="D61" s="20"/>
      <c r="E61" s="20"/>
      <c r="F61" s="20"/>
    </row>
    <row r="62" spans="1:6" ht="15.75" x14ac:dyDescent="0.25">
      <c r="A62" s="9"/>
      <c r="B62" s="8"/>
      <c r="C62" s="8"/>
      <c r="D62" s="8"/>
      <c r="E62" s="8"/>
      <c r="F62" s="8"/>
    </row>
    <row r="63" spans="1:6" ht="15.75" x14ac:dyDescent="0.25">
      <c r="A63" s="21"/>
      <c r="B63" s="20"/>
      <c r="C63" s="20"/>
      <c r="D63" s="20"/>
      <c r="E63" s="20"/>
      <c r="F63" s="20"/>
    </row>
    <row r="64" spans="1:6" ht="15.75" x14ac:dyDescent="0.25">
      <c r="A64" s="9"/>
      <c r="B64" s="8"/>
      <c r="C64" s="8"/>
      <c r="D64" s="8"/>
      <c r="E64" s="8"/>
      <c r="F64" s="8"/>
    </row>
    <row r="65" spans="1:6" ht="15.75" x14ac:dyDescent="0.25">
      <c r="A65" s="21"/>
      <c r="B65" s="20"/>
      <c r="C65" s="20"/>
      <c r="D65" s="20"/>
      <c r="E65" s="20"/>
      <c r="F65" s="20"/>
    </row>
    <row r="66" spans="1:6" ht="15.75" x14ac:dyDescent="0.25">
      <c r="A66" s="9"/>
      <c r="B66" s="8"/>
      <c r="C66" s="8"/>
      <c r="D66" s="8"/>
      <c r="E66" s="8"/>
      <c r="F66" s="8"/>
    </row>
    <row r="67" spans="1:6" ht="15.75" x14ac:dyDescent="0.25">
      <c r="A67" s="21"/>
      <c r="B67" s="20"/>
      <c r="C67" s="20"/>
      <c r="D67" s="20"/>
      <c r="E67" s="20"/>
      <c r="F67" s="20"/>
    </row>
    <row r="68" spans="1:6" ht="15.75" x14ac:dyDescent="0.25">
      <c r="A68" s="9"/>
      <c r="B68" s="8"/>
      <c r="C68" s="8"/>
      <c r="D68" s="8"/>
      <c r="E68" s="8"/>
      <c r="F68" s="8"/>
    </row>
    <row r="69" spans="1:6" ht="15.75" x14ac:dyDescent="0.25">
      <c r="A69" s="21"/>
      <c r="B69" s="20"/>
      <c r="C69" s="20"/>
      <c r="D69" s="20"/>
      <c r="E69" s="20"/>
      <c r="F69" s="20"/>
    </row>
    <row r="70" spans="1:6" ht="15.75" x14ac:dyDescent="0.25">
      <c r="A70" s="9"/>
      <c r="B70" s="8"/>
      <c r="C70" s="8"/>
      <c r="D70" s="8"/>
      <c r="E70" s="8"/>
      <c r="F70" s="8"/>
    </row>
    <row r="71" spans="1:6" ht="15.75" x14ac:dyDescent="0.25">
      <c r="A71" s="21"/>
      <c r="B71" s="20"/>
      <c r="C71" s="20"/>
      <c r="D71" s="20"/>
      <c r="E71" s="20"/>
      <c r="F71" s="20"/>
    </row>
    <row r="72" spans="1:6" ht="15.75" x14ac:dyDescent="0.25">
      <c r="A72" s="9"/>
      <c r="B72" s="8"/>
      <c r="C72" s="8"/>
      <c r="D72" s="8"/>
      <c r="E72" s="8"/>
      <c r="F72" s="8"/>
    </row>
    <row r="73" spans="1:6" ht="15.75" x14ac:dyDescent="0.25">
      <c r="A73" s="21"/>
      <c r="B73" s="20"/>
      <c r="C73" s="20"/>
      <c r="D73" s="20"/>
      <c r="E73" s="20"/>
      <c r="F73" s="20"/>
    </row>
    <row r="74" spans="1:6" ht="15.75" x14ac:dyDescent="0.25">
      <c r="A74" s="9"/>
      <c r="B74" s="8"/>
      <c r="C74" s="8"/>
      <c r="D74" s="8"/>
      <c r="E74" s="8"/>
      <c r="F74" s="8"/>
    </row>
    <row r="75" spans="1:6" ht="15.75" x14ac:dyDescent="0.25">
      <c r="A75" s="21"/>
      <c r="B75" s="20"/>
      <c r="C75" s="20"/>
      <c r="D75" s="20"/>
      <c r="E75" s="20"/>
      <c r="F75" s="20"/>
    </row>
    <row r="76" spans="1:6" ht="15.75" x14ac:dyDescent="0.25">
      <c r="A76" s="9"/>
      <c r="B76" s="8"/>
      <c r="C76" s="8"/>
      <c r="D76" s="8"/>
      <c r="E76" s="8"/>
      <c r="F76" s="8"/>
    </row>
    <row r="77" spans="1:6" ht="15.75" x14ac:dyDescent="0.25">
      <c r="A77" s="21"/>
      <c r="B77" s="20"/>
      <c r="C77" s="20"/>
      <c r="D77" s="20"/>
      <c r="E77" s="20"/>
      <c r="F77" s="20"/>
    </row>
    <row r="78" spans="1:6" ht="15.75" x14ac:dyDescent="0.25">
      <c r="A78" s="9"/>
      <c r="B78" s="8"/>
      <c r="C78" s="8"/>
      <c r="D78" s="8"/>
      <c r="E78" s="8"/>
      <c r="F78" s="8"/>
    </row>
    <row r="79" spans="1:6" ht="15.75" x14ac:dyDescent="0.25">
      <c r="A79" s="21"/>
      <c r="B79" s="20"/>
      <c r="C79" s="20"/>
      <c r="D79" s="20"/>
      <c r="E79" s="20"/>
      <c r="F79" s="20"/>
    </row>
    <row r="80" spans="1:6" ht="15.75" x14ac:dyDescent="0.25">
      <c r="A80" s="9"/>
      <c r="B80" s="8"/>
      <c r="C80" s="8"/>
      <c r="D80" s="8"/>
      <c r="E80" s="8"/>
      <c r="F80" s="8"/>
    </row>
    <row r="81" spans="1:6" ht="15.75" x14ac:dyDescent="0.25">
      <c r="A81" s="21"/>
      <c r="B81" s="20"/>
      <c r="C81" s="20"/>
      <c r="D81" s="20"/>
      <c r="E81" s="20"/>
      <c r="F81" s="20"/>
    </row>
    <row r="82" spans="1:6" ht="15.75" x14ac:dyDescent="0.25">
      <c r="A82" s="9"/>
      <c r="B82" s="8"/>
      <c r="C82" s="8"/>
      <c r="D82" s="8"/>
      <c r="E82" s="8"/>
      <c r="F82" s="8"/>
    </row>
    <row r="83" spans="1:6" ht="15.75" x14ac:dyDescent="0.25">
      <c r="A83" s="21"/>
      <c r="B83" s="20"/>
      <c r="C83" s="20"/>
      <c r="D83" s="20"/>
      <c r="E83" s="20"/>
      <c r="F83" s="20"/>
    </row>
    <row r="84" spans="1:6" ht="15.75" x14ac:dyDescent="0.25">
      <c r="A84" s="9"/>
      <c r="B84" s="8"/>
      <c r="C84" s="8"/>
      <c r="D84" s="8"/>
      <c r="E84" s="8"/>
      <c r="F84" s="8"/>
    </row>
    <row r="85" spans="1:6" ht="15.75" x14ac:dyDescent="0.25">
      <c r="A85" s="21"/>
      <c r="B85" s="20"/>
      <c r="C85" s="20"/>
      <c r="D85" s="20"/>
      <c r="E85" s="20"/>
      <c r="F85" s="20"/>
    </row>
    <row r="86" spans="1:6" ht="15.75" x14ac:dyDescent="0.25">
      <c r="A86" s="9"/>
      <c r="B86" s="8"/>
      <c r="C86" s="8"/>
      <c r="D86" s="8"/>
      <c r="E86" s="8"/>
      <c r="F86" s="8"/>
    </row>
    <row r="87" spans="1:6" ht="15.75" x14ac:dyDescent="0.25">
      <c r="A87" s="21"/>
      <c r="B87" s="20"/>
      <c r="C87" s="20"/>
      <c r="D87" s="20"/>
      <c r="E87" s="20"/>
      <c r="F87" s="20"/>
    </row>
    <row r="88" spans="1:6" ht="15.75" x14ac:dyDescent="0.25">
      <c r="A88" s="9"/>
      <c r="B88" s="8"/>
      <c r="C88" s="8"/>
      <c r="D88" s="8"/>
      <c r="E88" s="8"/>
      <c r="F88" s="8"/>
    </row>
    <row r="89" spans="1:6" ht="15.75" x14ac:dyDescent="0.25">
      <c r="A89" s="21"/>
      <c r="B89" s="20"/>
      <c r="C89" s="20"/>
      <c r="D89" s="20"/>
      <c r="E89" s="20"/>
      <c r="F89" s="20"/>
    </row>
    <row r="90" spans="1:6" ht="15.75" x14ac:dyDescent="0.25">
      <c r="A90" s="9"/>
      <c r="B90" s="8"/>
      <c r="C90" s="8"/>
      <c r="D90" s="8"/>
      <c r="E90" s="8"/>
      <c r="F90" s="8"/>
    </row>
    <row r="91" spans="1:6" ht="15.75" x14ac:dyDescent="0.25">
      <c r="A91" s="21"/>
      <c r="B91" s="20"/>
      <c r="C91" s="20"/>
      <c r="D91" s="20"/>
      <c r="E91" s="20"/>
      <c r="F91" s="20"/>
    </row>
    <row r="92" spans="1:6" ht="15.75" x14ac:dyDescent="0.25">
      <c r="A92" s="9"/>
      <c r="B92" s="8"/>
      <c r="C92" s="8"/>
      <c r="D92" s="8"/>
      <c r="E92" s="8"/>
      <c r="F92" s="8"/>
    </row>
    <row r="93" spans="1:6" ht="15.75" x14ac:dyDescent="0.25">
      <c r="A93" s="21"/>
      <c r="B93" s="20"/>
      <c r="C93" s="20"/>
      <c r="D93" s="20"/>
      <c r="E93" s="20"/>
      <c r="F93" s="20"/>
    </row>
    <row r="94" spans="1:6" ht="15.75" x14ac:dyDescent="0.25">
      <c r="A94" s="9"/>
      <c r="B94" s="8"/>
      <c r="C94" s="8"/>
      <c r="D94" s="8"/>
      <c r="E94" s="8"/>
      <c r="F94" s="8"/>
    </row>
    <row r="95" spans="1:6" ht="15.75" x14ac:dyDescent="0.25">
      <c r="A95" s="2"/>
    </row>
    <row r="96" spans="1:6" ht="15.75" x14ac:dyDescent="0.25">
      <c r="A96" s="2"/>
    </row>
    <row r="97" spans="1:1" ht="15.75" x14ac:dyDescent="0.25">
      <c r="A97" s="2"/>
    </row>
    <row r="98" spans="1:1" ht="15.75" x14ac:dyDescent="0.25">
      <c r="A98" s="2"/>
    </row>
    <row r="99" spans="1:1" ht="15.75" x14ac:dyDescent="0.25">
      <c r="A99" s="2"/>
    </row>
    <row r="100" spans="1:1" ht="15.75" x14ac:dyDescent="0.25">
      <c r="A100" s="2"/>
    </row>
    <row r="101" spans="1:1" ht="15.75" x14ac:dyDescent="0.25">
      <c r="A101" s="2"/>
    </row>
    <row r="102" spans="1:1" ht="15.75" x14ac:dyDescent="0.25">
      <c r="A102" s="2"/>
    </row>
    <row r="103" spans="1:1" ht="15.75" x14ac:dyDescent="0.25">
      <c r="A103" s="2"/>
    </row>
    <row r="104" spans="1:1" ht="15.75" x14ac:dyDescent="0.25">
      <c r="A104" s="2"/>
    </row>
    <row r="105" spans="1:1" ht="15.75" x14ac:dyDescent="0.25">
      <c r="A105" s="2"/>
    </row>
    <row r="106" spans="1:1" ht="15.75" x14ac:dyDescent="0.25">
      <c r="A106" s="2"/>
    </row>
    <row r="107" spans="1:1" ht="15.75" x14ac:dyDescent="0.25">
      <c r="A107" s="2"/>
    </row>
    <row r="108" spans="1:1" ht="15.75" x14ac:dyDescent="0.25">
      <c r="A108" s="2"/>
    </row>
    <row r="109" spans="1:1" ht="15.75" x14ac:dyDescent="0.25">
      <c r="A109" s="2"/>
    </row>
    <row r="110" spans="1:1" ht="15.75" x14ac:dyDescent="0.25">
      <c r="A110" s="2"/>
    </row>
    <row r="111" spans="1:1" ht="15.75" x14ac:dyDescent="0.25">
      <c r="A111" s="2"/>
    </row>
    <row r="112" spans="1:1" ht="15.75" x14ac:dyDescent="0.25">
      <c r="A112" s="2"/>
    </row>
    <row r="113" spans="1:1" ht="15.75" x14ac:dyDescent="0.25">
      <c r="A113" s="2"/>
    </row>
    <row r="114" spans="1:1" ht="15.75" x14ac:dyDescent="0.25">
      <c r="A114" s="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  <row r="120" spans="1:1" ht="15.75" x14ac:dyDescent="0.25">
      <c r="A120" s="2"/>
    </row>
    <row r="121" spans="1:1" ht="15.75" x14ac:dyDescent="0.25">
      <c r="A121" s="2"/>
    </row>
    <row r="122" spans="1:1" ht="15.75" x14ac:dyDescent="0.25">
      <c r="A122" s="2"/>
    </row>
    <row r="123" spans="1:1" ht="15.75" x14ac:dyDescent="0.25">
      <c r="A123" s="2"/>
    </row>
    <row r="124" spans="1:1" ht="15.75" x14ac:dyDescent="0.25">
      <c r="A124" s="2"/>
    </row>
    <row r="125" spans="1:1" ht="15.75" x14ac:dyDescent="0.25">
      <c r="A125" s="2"/>
    </row>
    <row r="126" spans="1:1" ht="15.75" x14ac:dyDescent="0.25">
      <c r="A126" s="2"/>
    </row>
    <row r="127" spans="1:1" ht="15.75" x14ac:dyDescent="0.25">
      <c r="A127" s="2"/>
    </row>
    <row r="128" spans="1:1" ht="15.75" x14ac:dyDescent="0.25">
      <c r="A128" s="2"/>
    </row>
    <row r="129" spans="1:1" ht="15.75" x14ac:dyDescent="0.25">
      <c r="A129" s="2"/>
    </row>
    <row r="130" spans="1:1" ht="15.75" x14ac:dyDescent="0.25">
      <c r="A130" s="2"/>
    </row>
    <row r="131" spans="1:1" ht="15.75" x14ac:dyDescent="0.25">
      <c r="A131" s="2"/>
    </row>
    <row r="132" spans="1:1" ht="15.75" x14ac:dyDescent="0.25">
      <c r="A132" s="2"/>
    </row>
    <row r="133" spans="1:1" ht="15.75" x14ac:dyDescent="0.25">
      <c r="A133" s="2"/>
    </row>
    <row r="134" spans="1:1" ht="15.75" x14ac:dyDescent="0.25">
      <c r="A134" s="2"/>
    </row>
    <row r="135" spans="1:1" ht="15.75" x14ac:dyDescent="0.25">
      <c r="A135" s="2"/>
    </row>
    <row r="136" spans="1:1" ht="15.75" x14ac:dyDescent="0.25">
      <c r="A136" s="2"/>
    </row>
    <row r="137" spans="1:1" ht="15.75" x14ac:dyDescent="0.25">
      <c r="A137" s="2"/>
    </row>
    <row r="138" spans="1:1" ht="15.75" x14ac:dyDescent="0.25">
      <c r="A138" s="2"/>
    </row>
    <row r="139" spans="1:1" ht="15.75" x14ac:dyDescent="0.25">
      <c r="A139" s="2"/>
    </row>
    <row r="140" spans="1:1" ht="15.75" x14ac:dyDescent="0.25">
      <c r="A140" s="2"/>
    </row>
    <row r="141" spans="1:1" ht="15.75" x14ac:dyDescent="0.25">
      <c r="A141" s="2"/>
    </row>
    <row r="142" spans="1:1" ht="15.75" x14ac:dyDescent="0.25">
      <c r="A142" s="2"/>
    </row>
    <row r="143" spans="1:1" ht="15.75" x14ac:dyDescent="0.25">
      <c r="A143" s="2"/>
    </row>
    <row r="144" spans="1:1" ht="15.75" x14ac:dyDescent="0.25">
      <c r="A144" s="2"/>
    </row>
    <row r="145" spans="1:1" ht="15.75" x14ac:dyDescent="0.25">
      <c r="A145" s="2"/>
    </row>
    <row r="146" spans="1:1" ht="15.75" x14ac:dyDescent="0.25">
      <c r="A146" s="2"/>
    </row>
    <row r="147" spans="1:1" ht="15.75" x14ac:dyDescent="0.25">
      <c r="A147" s="2"/>
    </row>
    <row r="148" spans="1:1" ht="15.75" x14ac:dyDescent="0.25">
      <c r="A148" s="2"/>
    </row>
    <row r="149" spans="1:1" ht="15.75" x14ac:dyDescent="0.25">
      <c r="A149" s="2"/>
    </row>
    <row r="150" spans="1:1" ht="15.75" x14ac:dyDescent="0.25">
      <c r="A150" s="2"/>
    </row>
    <row r="151" spans="1:1" ht="15.75" x14ac:dyDescent="0.25">
      <c r="A151" s="2"/>
    </row>
    <row r="152" spans="1:1" ht="15.75" x14ac:dyDescent="0.25">
      <c r="A152" s="2"/>
    </row>
    <row r="153" spans="1:1" ht="15.75" x14ac:dyDescent="0.25">
      <c r="A153" s="2"/>
    </row>
    <row r="154" spans="1:1" ht="15.75" x14ac:dyDescent="0.25">
      <c r="A154" s="2"/>
    </row>
    <row r="155" spans="1:1" ht="15.75" x14ac:dyDescent="0.25">
      <c r="A155" s="2"/>
    </row>
    <row r="156" spans="1:1" ht="15.75" x14ac:dyDescent="0.25">
      <c r="A156" s="2"/>
    </row>
    <row r="157" spans="1:1" ht="15.75" x14ac:dyDescent="0.25">
      <c r="A157" s="2"/>
    </row>
    <row r="158" spans="1:1" ht="15.75" x14ac:dyDescent="0.25">
      <c r="A158" s="2"/>
    </row>
    <row r="159" spans="1:1" ht="15.75" x14ac:dyDescent="0.25">
      <c r="A159" s="2"/>
    </row>
    <row r="160" spans="1:1" ht="15.75" x14ac:dyDescent="0.25">
      <c r="A160" s="2"/>
    </row>
    <row r="161" spans="1:1" ht="15.75" x14ac:dyDescent="0.25">
      <c r="A161" s="2"/>
    </row>
    <row r="162" spans="1:1" ht="15.75" x14ac:dyDescent="0.25">
      <c r="A162" s="2"/>
    </row>
    <row r="163" spans="1:1" ht="15.75" x14ac:dyDescent="0.25">
      <c r="A163" s="2"/>
    </row>
    <row r="164" spans="1:1" ht="15.75" x14ac:dyDescent="0.25">
      <c r="A164" s="2"/>
    </row>
    <row r="165" spans="1:1" ht="15.75" x14ac:dyDescent="0.25">
      <c r="A165" s="2"/>
    </row>
    <row r="166" spans="1:1" ht="15.75" x14ac:dyDescent="0.25">
      <c r="A166" s="2"/>
    </row>
    <row r="167" spans="1:1" ht="15.75" x14ac:dyDescent="0.25">
      <c r="A167" s="2"/>
    </row>
    <row r="168" spans="1:1" ht="15.75" x14ac:dyDescent="0.25">
      <c r="A168" s="2"/>
    </row>
    <row r="169" spans="1:1" ht="15.75" x14ac:dyDescent="0.25">
      <c r="A169" s="2"/>
    </row>
    <row r="170" spans="1:1" ht="15.75" x14ac:dyDescent="0.25">
      <c r="A170" s="2"/>
    </row>
    <row r="171" spans="1:1" ht="15.75" x14ac:dyDescent="0.25">
      <c r="A171" s="2"/>
    </row>
    <row r="172" spans="1:1" ht="15.75" x14ac:dyDescent="0.25">
      <c r="A172" s="2"/>
    </row>
    <row r="173" spans="1:1" ht="15.75" x14ac:dyDescent="0.25">
      <c r="A173" s="2"/>
    </row>
    <row r="174" spans="1:1" ht="15.75" x14ac:dyDescent="0.25">
      <c r="A174" s="2"/>
    </row>
    <row r="175" spans="1:1" ht="15.75" x14ac:dyDescent="0.25">
      <c r="A175" s="2"/>
    </row>
    <row r="176" spans="1:1" ht="15.75" x14ac:dyDescent="0.25">
      <c r="A176" s="2"/>
    </row>
    <row r="177" spans="1:1" ht="15.75" x14ac:dyDescent="0.25">
      <c r="A177" s="2"/>
    </row>
    <row r="178" spans="1:1" ht="15.75" x14ac:dyDescent="0.25">
      <c r="A178" s="2"/>
    </row>
    <row r="179" spans="1:1" ht="15.75" x14ac:dyDescent="0.25">
      <c r="A179" s="2"/>
    </row>
    <row r="180" spans="1:1" ht="15.75" x14ac:dyDescent="0.25">
      <c r="A180" s="2"/>
    </row>
    <row r="181" spans="1:1" ht="15.75" x14ac:dyDescent="0.25">
      <c r="A181" s="2"/>
    </row>
    <row r="182" spans="1:1" ht="15.75" x14ac:dyDescent="0.25">
      <c r="A182" s="2"/>
    </row>
    <row r="183" spans="1:1" ht="15.75" x14ac:dyDescent="0.25">
      <c r="A183" s="2"/>
    </row>
    <row r="184" spans="1:1" ht="15.75" x14ac:dyDescent="0.25">
      <c r="A184" s="2"/>
    </row>
    <row r="185" spans="1:1" ht="15.75" x14ac:dyDescent="0.25">
      <c r="A185" s="2"/>
    </row>
    <row r="186" spans="1:1" ht="15.75" x14ac:dyDescent="0.25">
      <c r="A186" s="2"/>
    </row>
    <row r="187" spans="1:1" ht="15.75" x14ac:dyDescent="0.25">
      <c r="A187" s="2"/>
    </row>
    <row r="188" spans="1:1" ht="15.75" x14ac:dyDescent="0.25">
      <c r="A188" s="2"/>
    </row>
    <row r="189" spans="1:1" ht="15.75" x14ac:dyDescent="0.25">
      <c r="A189" s="2"/>
    </row>
    <row r="190" spans="1:1" ht="15.75" x14ac:dyDescent="0.25">
      <c r="A190" s="2"/>
    </row>
    <row r="191" spans="1:1" ht="15.75" x14ac:dyDescent="0.25">
      <c r="A191" s="2"/>
    </row>
    <row r="192" spans="1:1" ht="15.75" x14ac:dyDescent="0.25">
      <c r="A192" s="2"/>
    </row>
    <row r="193" spans="1:1" ht="15.75" x14ac:dyDescent="0.25">
      <c r="A193" s="2"/>
    </row>
    <row r="194" spans="1:1" ht="15.75" x14ac:dyDescent="0.25">
      <c r="A194" s="2"/>
    </row>
    <row r="195" spans="1:1" ht="15.75" x14ac:dyDescent="0.25">
      <c r="A195" s="2"/>
    </row>
    <row r="196" spans="1:1" ht="15.75" x14ac:dyDescent="0.25">
      <c r="A196" s="2"/>
    </row>
    <row r="197" spans="1:1" ht="15.75" x14ac:dyDescent="0.25">
      <c r="A197" s="2"/>
    </row>
    <row r="198" spans="1:1" ht="15.75" x14ac:dyDescent="0.25">
      <c r="A198" s="2"/>
    </row>
    <row r="199" spans="1:1" ht="15.75" x14ac:dyDescent="0.25">
      <c r="A199" s="2"/>
    </row>
    <row r="200" spans="1:1" ht="15.75" x14ac:dyDescent="0.25">
      <c r="A200" s="2"/>
    </row>
    <row r="201" spans="1:1" ht="15.75" x14ac:dyDescent="0.25">
      <c r="A201" s="2"/>
    </row>
    <row r="202" spans="1:1" ht="15.75" x14ac:dyDescent="0.25">
      <c r="A202" s="2"/>
    </row>
    <row r="203" spans="1:1" ht="15.75" x14ac:dyDescent="0.25">
      <c r="A203" s="2"/>
    </row>
    <row r="204" spans="1:1" ht="15.75" x14ac:dyDescent="0.25">
      <c r="A204" s="2"/>
    </row>
    <row r="205" spans="1:1" ht="15.75" x14ac:dyDescent="0.25">
      <c r="A205" s="2"/>
    </row>
    <row r="206" spans="1:1" ht="15.75" x14ac:dyDescent="0.25">
      <c r="A206" s="2"/>
    </row>
    <row r="207" spans="1:1" ht="15.75" x14ac:dyDescent="0.25">
      <c r="A207" s="2"/>
    </row>
    <row r="208" spans="1:1" ht="15.75" x14ac:dyDescent="0.25">
      <c r="A208" s="2"/>
    </row>
    <row r="209" spans="1:1" ht="15.75" x14ac:dyDescent="0.25">
      <c r="A209" s="2"/>
    </row>
    <row r="210" spans="1:1" ht="15.75" x14ac:dyDescent="0.25">
      <c r="A210" s="2"/>
    </row>
    <row r="211" spans="1:1" ht="15.75" x14ac:dyDescent="0.25">
      <c r="A211" s="2"/>
    </row>
    <row r="212" spans="1:1" ht="15.75" x14ac:dyDescent="0.25">
      <c r="A212" s="2"/>
    </row>
    <row r="213" spans="1:1" ht="15.75" x14ac:dyDescent="0.25">
      <c r="A213" s="2"/>
    </row>
    <row r="214" spans="1:1" ht="15.75" x14ac:dyDescent="0.25">
      <c r="A214" s="2"/>
    </row>
    <row r="215" spans="1:1" ht="15.75" x14ac:dyDescent="0.25">
      <c r="A215" s="2"/>
    </row>
    <row r="216" spans="1:1" ht="15.75" x14ac:dyDescent="0.25">
      <c r="A216" s="2"/>
    </row>
    <row r="217" spans="1:1" ht="15.75" x14ac:dyDescent="0.25">
      <c r="A217" s="2"/>
    </row>
    <row r="218" spans="1:1" ht="15.75" x14ac:dyDescent="0.25">
      <c r="A218" s="2"/>
    </row>
    <row r="219" spans="1:1" ht="15.75" x14ac:dyDescent="0.25">
      <c r="A219" s="2"/>
    </row>
    <row r="220" spans="1:1" ht="15.75" x14ac:dyDescent="0.25">
      <c r="A220" s="2"/>
    </row>
    <row r="221" spans="1:1" ht="15.75" x14ac:dyDescent="0.25">
      <c r="A221" s="2"/>
    </row>
    <row r="222" spans="1:1" ht="15.75" x14ac:dyDescent="0.25">
      <c r="A222" s="2"/>
    </row>
    <row r="223" spans="1:1" ht="15.75" x14ac:dyDescent="0.25">
      <c r="A223" s="2"/>
    </row>
    <row r="224" spans="1:1" ht="15.75" x14ac:dyDescent="0.25">
      <c r="A224" s="2"/>
    </row>
    <row r="225" spans="1:1" ht="15.75" x14ac:dyDescent="0.25">
      <c r="A225" s="2"/>
    </row>
    <row r="226" spans="1:1" ht="15.75" x14ac:dyDescent="0.25">
      <c r="A226" s="2"/>
    </row>
    <row r="227" spans="1:1" ht="15.75" x14ac:dyDescent="0.25">
      <c r="A227" s="2"/>
    </row>
    <row r="228" spans="1:1" ht="15.75" x14ac:dyDescent="0.25">
      <c r="A228" s="2"/>
    </row>
    <row r="229" spans="1:1" ht="15.75" x14ac:dyDescent="0.25">
      <c r="A229" s="2"/>
    </row>
    <row r="230" spans="1:1" ht="15.75" x14ac:dyDescent="0.25">
      <c r="A230" s="2"/>
    </row>
    <row r="231" spans="1:1" ht="15.75" x14ac:dyDescent="0.25">
      <c r="A231" s="2"/>
    </row>
    <row r="232" spans="1:1" ht="15.75" x14ac:dyDescent="0.25">
      <c r="A232" s="2"/>
    </row>
    <row r="233" spans="1:1" ht="15.75" x14ac:dyDescent="0.25">
      <c r="A233" s="2"/>
    </row>
    <row r="234" spans="1:1" ht="15.75" x14ac:dyDescent="0.25">
      <c r="A234" s="2"/>
    </row>
    <row r="235" spans="1:1" ht="15.75" x14ac:dyDescent="0.25">
      <c r="A235" s="2"/>
    </row>
    <row r="236" spans="1:1" ht="15.75" x14ac:dyDescent="0.25">
      <c r="A236" s="2"/>
    </row>
    <row r="237" spans="1:1" ht="15.75" x14ac:dyDescent="0.25">
      <c r="A237" s="2"/>
    </row>
    <row r="238" spans="1:1" ht="15.75" x14ac:dyDescent="0.25">
      <c r="A238" s="2"/>
    </row>
    <row r="239" spans="1:1" ht="15.75" x14ac:dyDescent="0.25">
      <c r="A239" s="2"/>
    </row>
    <row r="240" spans="1:1" ht="15.75" x14ac:dyDescent="0.25">
      <c r="A240" s="2"/>
    </row>
    <row r="241" spans="1:1" ht="15.75" x14ac:dyDescent="0.25">
      <c r="A241" s="2"/>
    </row>
    <row r="242" spans="1:1" ht="15.75" x14ac:dyDescent="0.25">
      <c r="A242" s="2"/>
    </row>
    <row r="243" spans="1:1" ht="15.75" x14ac:dyDescent="0.25">
      <c r="A243" s="2"/>
    </row>
    <row r="244" spans="1:1" ht="15.75" x14ac:dyDescent="0.25">
      <c r="A244" s="2"/>
    </row>
    <row r="245" spans="1:1" ht="15.75" x14ac:dyDescent="0.25">
      <c r="A245" s="2"/>
    </row>
    <row r="246" spans="1:1" ht="15.75" x14ac:dyDescent="0.25">
      <c r="A246" s="2"/>
    </row>
    <row r="247" spans="1:1" ht="15.75" x14ac:dyDescent="0.25">
      <c r="A247" s="2"/>
    </row>
    <row r="248" spans="1:1" ht="15.75" x14ac:dyDescent="0.25">
      <c r="A248" s="2"/>
    </row>
    <row r="249" spans="1:1" ht="15.75" x14ac:dyDescent="0.25">
      <c r="A249" s="2"/>
    </row>
    <row r="250" spans="1:1" ht="15.75" x14ac:dyDescent="0.25">
      <c r="A250" s="2"/>
    </row>
    <row r="251" spans="1:1" ht="15.75" x14ac:dyDescent="0.25">
      <c r="A251" s="2"/>
    </row>
    <row r="252" spans="1:1" ht="15.75" x14ac:dyDescent="0.25">
      <c r="A252" s="2"/>
    </row>
    <row r="253" spans="1:1" ht="15.75" x14ac:dyDescent="0.25">
      <c r="A253" s="2"/>
    </row>
    <row r="254" spans="1:1" ht="15.75" x14ac:dyDescent="0.25">
      <c r="A254" s="2"/>
    </row>
    <row r="255" spans="1:1" ht="15.75" x14ac:dyDescent="0.25">
      <c r="A255" s="2"/>
    </row>
    <row r="256" spans="1:1" ht="15.75" x14ac:dyDescent="0.25">
      <c r="A256" s="2"/>
    </row>
    <row r="257" spans="1:1" ht="15.75" x14ac:dyDescent="0.25">
      <c r="A257" s="2"/>
    </row>
    <row r="258" spans="1:1" ht="15.75" x14ac:dyDescent="0.25">
      <c r="A258" s="2"/>
    </row>
    <row r="259" spans="1:1" ht="15.75" x14ac:dyDescent="0.25">
      <c r="A259" s="2"/>
    </row>
    <row r="260" spans="1:1" ht="15.75" x14ac:dyDescent="0.25">
      <c r="A260" s="2"/>
    </row>
    <row r="261" spans="1:1" ht="15.75" x14ac:dyDescent="0.25">
      <c r="A261" s="2"/>
    </row>
    <row r="262" spans="1:1" ht="15.75" x14ac:dyDescent="0.25">
      <c r="A262" s="2"/>
    </row>
    <row r="263" spans="1:1" ht="15.75" x14ac:dyDescent="0.25">
      <c r="A263" s="2"/>
    </row>
    <row r="264" spans="1:1" ht="15.75" x14ac:dyDescent="0.25">
      <c r="A264" s="2"/>
    </row>
    <row r="265" spans="1:1" ht="15.75" x14ac:dyDescent="0.25">
      <c r="A265" s="2"/>
    </row>
    <row r="266" spans="1:1" ht="15.75" x14ac:dyDescent="0.25">
      <c r="A266" s="2"/>
    </row>
    <row r="267" spans="1:1" ht="15.75" x14ac:dyDescent="0.25">
      <c r="A267" s="2"/>
    </row>
    <row r="268" spans="1:1" ht="15.75" x14ac:dyDescent="0.25">
      <c r="A268" s="2"/>
    </row>
    <row r="269" spans="1:1" ht="15.75" x14ac:dyDescent="0.25">
      <c r="A269" s="2"/>
    </row>
    <row r="270" spans="1:1" ht="15.75" x14ac:dyDescent="0.25">
      <c r="A270" s="2"/>
    </row>
    <row r="271" spans="1:1" ht="15.75" x14ac:dyDescent="0.25">
      <c r="A271" s="2"/>
    </row>
    <row r="272" spans="1:1" ht="15.75" x14ac:dyDescent="0.25">
      <c r="A272" s="2"/>
    </row>
    <row r="273" spans="1:1" ht="15.75" x14ac:dyDescent="0.25">
      <c r="A273" s="2"/>
    </row>
    <row r="274" spans="1:1" ht="15.75" x14ac:dyDescent="0.25">
      <c r="A274" s="2"/>
    </row>
    <row r="275" spans="1:1" ht="15.75" x14ac:dyDescent="0.25">
      <c r="A275" s="2"/>
    </row>
    <row r="276" spans="1:1" ht="15.75" x14ac:dyDescent="0.25">
      <c r="A276" s="2"/>
    </row>
    <row r="277" spans="1:1" ht="15.75" x14ac:dyDescent="0.25">
      <c r="A277" s="2"/>
    </row>
    <row r="278" spans="1:1" ht="15.75" x14ac:dyDescent="0.25">
      <c r="A278" s="2"/>
    </row>
    <row r="279" spans="1:1" ht="15.75" x14ac:dyDescent="0.25">
      <c r="A279" s="2"/>
    </row>
    <row r="280" spans="1:1" ht="15.75" x14ac:dyDescent="0.25">
      <c r="A280" s="2"/>
    </row>
    <row r="281" spans="1:1" ht="15.75" x14ac:dyDescent="0.25">
      <c r="A281" s="2"/>
    </row>
    <row r="282" spans="1:1" ht="15.75" x14ac:dyDescent="0.25">
      <c r="A282" s="2"/>
    </row>
    <row r="283" spans="1:1" ht="15.75" x14ac:dyDescent="0.25">
      <c r="A283" s="2"/>
    </row>
    <row r="284" spans="1:1" ht="15.75" x14ac:dyDescent="0.25">
      <c r="A284" s="2"/>
    </row>
    <row r="285" spans="1:1" ht="15.75" x14ac:dyDescent="0.25">
      <c r="A285" s="2"/>
    </row>
    <row r="286" spans="1:1" ht="15.75" x14ac:dyDescent="0.25">
      <c r="A286" s="2"/>
    </row>
    <row r="287" spans="1:1" ht="15.75" x14ac:dyDescent="0.25">
      <c r="A287" s="2"/>
    </row>
    <row r="288" spans="1:1" ht="15.75" x14ac:dyDescent="0.25">
      <c r="A288" s="2"/>
    </row>
    <row r="289" spans="1:1" ht="15.75" x14ac:dyDescent="0.25">
      <c r="A289" s="2"/>
    </row>
    <row r="290" spans="1:1" ht="15.75" x14ac:dyDescent="0.25">
      <c r="A290" s="2"/>
    </row>
    <row r="291" spans="1:1" ht="15.75" x14ac:dyDescent="0.25">
      <c r="A291" s="2"/>
    </row>
    <row r="292" spans="1:1" ht="15.75" x14ac:dyDescent="0.25">
      <c r="A292" s="2"/>
    </row>
    <row r="293" spans="1:1" ht="15.75" x14ac:dyDescent="0.25">
      <c r="A293" s="2"/>
    </row>
    <row r="294" spans="1:1" ht="15.75" x14ac:dyDescent="0.25">
      <c r="A294" s="2"/>
    </row>
    <row r="295" spans="1:1" ht="15.75" x14ac:dyDescent="0.25">
      <c r="A295" s="2"/>
    </row>
    <row r="296" spans="1:1" ht="15.75" x14ac:dyDescent="0.25">
      <c r="A296" s="2"/>
    </row>
    <row r="297" spans="1:1" ht="15.75" x14ac:dyDescent="0.25">
      <c r="A297" s="2"/>
    </row>
    <row r="298" spans="1:1" ht="15.75" x14ac:dyDescent="0.25">
      <c r="A298" s="2"/>
    </row>
    <row r="299" spans="1:1" ht="15.75" x14ac:dyDescent="0.25">
      <c r="A299" s="2"/>
    </row>
    <row r="300" spans="1:1" ht="15.75" x14ac:dyDescent="0.25">
      <c r="A300" s="2"/>
    </row>
    <row r="301" spans="1:1" ht="15.75" x14ac:dyDescent="0.25">
      <c r="A301" s="2"/>
    </row>
    <row r="302" spans="1:1" ht="15.75" x14ac:dyDescent="0.25">
      <c r="A302" s="2"/>
    </row>
    <row r="303" spans="1:1" ht="15.75" x14ac:dyDescent="0.25">
      <c r="A303" s="2"/>
    </row>
    <row r="304" spans="1:1" ht="15.75" x14ac:dyDescent="0.25">
      <c r="A304" s="2"/>
    </row>
    <row r="305" spans="1:1" ht="15.75" x14ac:dyDescent="0.25">
      <c r="A305" s="2"/>
    </row>
    <row r="306" spans="1:1" ht="15.75" x14ac:dyDescent="0.25">
      <c r="A306" s="2"/>
    </row>
    <row r="307" spans="1:1" ht="15.75" x14ac:dyDescent="0.25">
      <c r="A307" s="2"/>
    </row>
    <row r="308" spans="1:1" ht="15.75" x14ac:dyDescent="0.25">
      <c r="A308" s="2"/>
    </row>
    <row r="309" spans="1:1" ht="15.75" x14ac:dyDescent="0.25">
      <c r="A309" s="2"/>
    </row>
    <row r="310" spans="1:1" ht="15.75" x14ac:dyDescent="0.25">
      <c r="A310" s="2"/>
    </row>
    <row r="311" spans="1:1" ht="15.75" x14ac:dyDescent="0.25">
      <c r="A311" s="2"/>
    </row>
    <row r="312" spans="1:1" ht="15.75" x14ac:dyDescent="0.25">
      <c r="A312" s="2"/>
    </row>
    <row r="313" spans="1:1" ht="15.75" x14ac:dyDescent="0.25">
      <c r="A313" s="2"/>
    </row>
    <row r="314" spans="1:1" ht="15.75" x14ac:dyDescent="0.25">
      <c r="A314" s="2"/>
    </row>
    <row r="315" spans="1:1" ht="15.75" x14ac:dyDescent="0.25">
      <c r="A315" s="2"/>
    </row>
    <row r="316" spans="1:1" ht="15.75" x14ac:dyDescent="0.25">
      <c r="A316" s="2"/>
    </row>
    <row r="317" spans="1:1" ht="15.75" x14ac:dyDescent="0.25">
      <c r="A317" s="2"/>
    </row>
    <row r="318" spans="1:1" ht="15.75" x14ac:dyDescent="0.25">
      <c r="A318" s="2"/>
    </row>
    <row r="319" spans="1:1" ht="15.75" x14ac:dyDescent="0.25">
      <c r="A319" s="2"/>
    </row>
    <row r="320" spans="1:1" ht="15.75" x14ac:dyDescent="0.25">
      <c r="A320" s="2"/>
    </row>
    <row r="321" spans="1:1" ht="15.75" x14ac:dyDescent="0.25">
      <c r="A321" s="2"/>
    </row>
    <row r="322" spans="1:1" ht="15.75" x14ac:dyDescent="0.25">
      <c r="A322" s="2"/>
    </row>
    <row r="323" spans="1:1" ht="15.75" x14ac:dyDescent="0.25">
      <c r="A323" s="2"/>
    </row>
    <row r="324" spans="1:1" ht="15.75" x14ac:dyDescent="0.25">
      <c r="A324" s="2"/>
    </row>
    <row r="325" spans="1:1" ht="15.75" x14ac:dyDescent="0.25">
      <c r="A325" s="2"/>
    </row>
    <row r="326" spans="1:1" ht="15.75" x14ac:dyDescent="0.25">
      <c r="A326" s="2"/>
    </row>
    <row r="327" spans="1:1" ht="15.75" x14ac:dyDescent="0.25">
      <c r="A327" s="2"/>
    </row>
    <row r="328" spans="1:1" ht="15.75" x14ac:dyDescent="0.25">
      <c r="A328" s="2"/>
    </row>
    <row r="329" spans="1:1" ht="15.75" x14ac:dyDescent="0.25">
      <c r="A329" s="2"/>
    </row>
    <row r="330" spans="1:1" ht="15.75" x14ac:dyDescent="0.25">
      <c r="A330" s="2"/>
    </row>
    <row r="331" spans="1:1" ht="15.75" x14ac:dyDescent="0.25">
      <c r="A331" s="2"/>
    </row>
    <row r="332" spans="1:1" ht="15.75" x14ac:dyDescent="0.25">
      <c r="A332" s="2"/>
    </row>
    <row r="333" spans="1:1" ht="15.75" x14ac:dyDescent="0.25">
      <c r="A333" s="2"/>
    </row>
    <row r="334" spans="1:1" ht="15.75" x14ac:dyDescent="0.25">
      <c r="A334" s="2"/>
    </row>
    <row r="335" spans="1:1" ht="15.75" x14ac:dyDescent="0.25">
      <c r="A335" s="2"/>
    </row>
    <row r="336" spans="1:1" ht="15.75" x14ac:dyDescent="0.25">
      <c r="A336" s="2"/>
    </row>
    <row r="337" spans="1:1" ht="15.75" x14ac:dyDescent="0.25">
      <c r="A337" s="2"/>
    </row>
    <row r="338" spans="1:1" ht="15.75" x14ac:dyDescent="0.25">
      <c r="A338" s="2"/>
    </row>
    <row r="339" spans="1:1" ht="15.75" x14ac:dyDescent="0.25">
      <c r="A339" s="2"/>
    </row>
    <row r="340" spans="1:1" ht="15.75" x14ac:dyDescent="0.25">
      <c r="A340" s="2"/>
    </row>
    <row r="341" spans="1:1" ht="15.75" x14ac:dyDescent="0.25">
      <c r="A341" s="2"/>
    </row>
    <row r="342" spans="1:1" ht="15.75" x14ac:dyDescent="0.25">
      <c r="A342" s="2"/>
    </row>
    <row r="343" spans="1:1" ht="15.75" x14ac:dyDescent="0.25">
      <c r="A343" s="2"/>
    </row>
    <row r="344" spans="1:1" ht="15.75" x14ac:dyDescent="0.25">
      <c r="A344" s="2"/>
    </row>
    <row r="345" spans="1:1" ht="15.75" x14ac:dyDescent="0.25">
      <c r="A345" s="2"/>
    </row>
    <row r="346" spans="1:1" ht="15.75" x14ac:dyDescent="0.25">
      <c r="A346" s="2"/>
    </row>
    <row r="347" spans="1:1" ht="15.75" x14ac:dyDescent="0.25">
      <c r="A347" s="2"/>
    </row>
    <row r="348" spans="1:1" ht="15.75" x14ac:dyDescent="0.25">
      <c r="A348" s="2"/>
    </row>
    <row r="349" spans="1:1" ht="15.75" x14ac:dyDescent="0.25">
      <c r="A349" s="2"/>
    </row>
    <row r="350" spans="1:1" ht="15.75" x14ac:dyDescent="0.25">
      <c r="A350" s="2"/>
    </row>
    <row r="351" spans="1:1" ht="15.75" x14ac:dyDescent="0.25">
      <c r="A351" s="2"/>
    </row>
    <row r="352" spans="1:1" ht="15.75" x14ac:dyDescent="0.25">
      <c r="A352" s="2"/>
    </row>
    <row r="353" spans="1:1" ht="15.75" x14ac:dyDescent="0.25">
      <c r="A353" s="2"/>
    </row>
    <row r="354" spans="1:1" ht="15.75" x14ac:dyDescent="0.25">
      <c r="A354" s="2"/>
    </row>
    <row r="355" spans="1:1" ht="15.75" x14ac:dyDescent="0.25">
      <c r="A355" s="2"/>
    </row>
    <row r="356" spans="1:1" ht="15.75" x14ac:dyDescent="0.25">
      <c r="A356" s="2"/>
    </row>
    <row r="357" spans="1:1" ht="15.75" x14ac:dyDescent="0.25">
      <c r="A357" s="2"/>
    </row>
    <row r="358" spans="1:1" ht="15.75" x14ac:dyDescent="0.25">
      <c r="A358" s="2"/>
    </row>
    <row r="359" spans="1:1" ht="15.75" x14ac:dyDescent="0.25">
      <c r="A359" s="2"/>
    </row>
    <row r="360" spans="1:1" ht="15.75" x14ac:dyDescent="0.25">
      <c r="A360" s="2"/>
    </row>
    <row r="361" spans="1:1" ht="15.75" x14ac:dyDescent="0.25">
      <c r="A361" s="2"/>
    </row>
    <row r="362" spans="1:1" ht="15.75" x14ac:dyDescent="0.25">
      <c r="A362" s="2"/>
    </row>
    <row r="363" spans="1:1" ht="15.75" x14ac:dyDescent="0.25">
      <c r="A363" s="2"/>
    </row>
    <row r="364" spans="1:1" ht="15.75" x14ac:dyDescent="0.25">
      <c r="A364" s="2"/>
    </row>
    <row r="365" spans="1:1" ht="15.75" x14ac:dyDescent="0.25">
      <c r="A365" s="2"/>
    </row>
    <row r="366" spans="1:1" ht="15.75" x14ac:dyDescent="0.25">
      <c r="A366" s="2"/>
    </row>
    <row r="367" spans="1:1" ht="15.75" x14ac:dyDescent="0.25">
      <c r="A367" s="2"/>
    </row>
    <row r="368" spans="1:1" ht="15.75" x14ac:dyDescent="0.25">
      <c r="A368" s="2"/>
    </row>
    <row r="369" spans="1:1" ht="15.75" x14ac:dyDescent="0.25">
      <c r="A369" s="2"/>
    </row>
    <row r="370" spans="1:1" ht="15.75" x14ac:dyDescent="0.25">
      <c r="A370" s="2"/>
    </row>
    <row r="371" spans="1:1" ht="15.75" x14ac:dyDescent="0.25">
      <c r="A371" s="2"/>
    </row>
    <row r="372" spans="1:1" ht="15.75" x14ac:dyDescent="0.25">
      <c r="A372" s="2"/>
    </row>
    <row r="373" spans="1:1" ht="15.75" x14ac:dyDescent="0.25">
      <c r="A373" s="2"/>
    </row>
    <row r="374" spans="1:1" ht="15.75" x14ac:dyDescent="0.25">
      <c r="A374" s="2"/>
    </row>
    <row r="375" spans="1:1" ht="15.75" x14ac:dyDescent="0.25">
      <c r="A375" s="2"/>
    </row>
    <row r="376" spans="1:1" ht="15.75" x14ac:dyDescent="0.25">
      <c r="A376" s="2"/>
    </row>
    <row r="377" spans="1:1" ht="15.75" x14ac:dyDescent="0.25">
      <c r="A377" s="2"/>
    </row>
    <row r="378" spans="1:1" ht="15.75" x14ac:dyDescent="0.25">
      <c r="A378" s="2"/>
    </row>
    <row r="379" spans="1:1" ht="15.75" x14ac:dyDescent="0.25">
      <c r="A379" s="2"/>
    </row>
    <row r="380" spans="1:1" ht="15.75" x14ac:dyDescent="0.25">
      <c r="A380" s="2"/>
    </row>
    <row r="381" spans="1:1" ht="15.75" x14ac:dyDescent="0.25">
      <c r="A381" s="2"/>
    </row>
    <row r="382" spans="1:1" ht="15.75" x14ac:dyDescent="0.25">
      <c r="A382" s="2"/>
    </row>
    <row r="383" spans="1:1" ht="15.75" x14ac:dyDescent="0.25">
      <c r="A383" s="2"/>
    </row>
    <row r="384" spans="1:1" ht="15.75" x14ac:dyDescent="0.25">
      <c r="A384" s="2"/>
    </row>
    <row r="385" spans="1:1" ht="15.75" x14ac:dyDescent="0.25">
      <c r="A385" s="2"/>
    </row>
    <row r="386" spans="1:1" ht="15.75" x14ac:dyDescent="0.25">
      <c r="A386" s="2"/>
    </row>
    <row r="387" spans="1:1" ht="15.75" x14ac:dyDescent="0.25">
      <c r="A387" s="2"/>
    </row>
    <row r="388" spans="1:1" ht="15.75" x14ac:dyDescent="0.25">
      <c r="A388" s="2"/>
    </row>
    <row r="389" spans="1:1" ht="15.75" x14ac:dyDescent="0.25">
      <c r="A389" s="2"/>
    </row>
    <row r="390" spans="1:1" ht="15.75" x14ac:dyDescent="0.25">
      <c r="A390" s="2"/>
    </row>
    <row r="391" spans="1:1" ht="15.75" x14ac:dyDescent="0.25">
      <c r="A391" s="2"/>
    </row>
    <row r="392" spans="1:1" ht="15.75" x14ac:dyDescent="0.25">
      <c r="A392" s="2"/>
    </row>
    <row r="393" spans="1:1" ht="15.75" x14ac:dyDescent="0.25">
      <c r="A393" s="2"/>
    </row>
    <row r="394" spans="1:1" ht="15.75" x14ac:dyDescent="0.25">
      <c r="A394" s="2"/>
    </row>
    <row r="395" spans="1:1" ht="15.75" x14ac:dyDescent="0.25">
      <c r="A395" s="2"/>
    </row>
    <row r="396" spans="1:1" ht="15.75" x14ac:dyDescent="0.25">
      <c r="A396" s="2"/>
    </row>
    <row r="397" spans="1:1" ht="15.75" x14ac:dyDescent="0.25">
      <c r="A397" s="2"/>
    </row>
    <row r="398" spans="1:1" ht="15.75" x14ac:dyDescent="0.25">
      <c r="A398" s="2"/>
    </row>
    <row r="399" spans="1:1" ht="15.75" x14ac:dyDescent="0.25">
      <c r="A399" s="2"/>
    </row>
    <row r="400" spans="1:1" ht="15.75" x14ac:dyDescent="0.25">
      <c r="A400" s="2"/>
    </row>
    <row r="401" spans="1:1" ht="15.75" x14ac:dyDescent="0.25">
      <c r="A401" s="2"/>
    </row>
    <row r="402" spans="1:1" ht="15.75" x14ac:dyDescent="0.25">
      <c r="A402" s="2"/>
    </row>
    <row r="403" spans="1:1" ht="15.75" x14ac:dyDescent="0.25">
      <c r="A403" s="2"/>
    </row>
    <row r="404" spans="1:1" ht="15.75" x14ac:dyDescent="0.25">
      <c r="A404" s="2"/>
    </row>
    <row r="405" spans="1:1" ht="15.75" x14ac:dyDescent="0.25">
      <c r="A405" s="2"/>
    </row>
    <row r="406" spans="1:1" ht="15.75" x14ac:dyDescent="0.25">
      <c r="A406" s="2"/>
    </row>
    <row r="407" spans="1:1" ht="15.75" x14ac:dyDescent="0.25">
      <c r="A407" s="2"/>
    </row>
    <row r="408" spans="1:1" ht="15.75" x14ac:dyDescent="0.25">
      <c r="A408" s="2"/>
    </row>
    <row r="409" spans="1:1" ht="15.75" x14ac:dyDescent="0.25">
      <c r="A409" s="2"/>
    </row>
    <row r="410" spans="1:1" ht="15.75" x14ac:dyDescent="0.25">
      <c r="A410" s="2"/>
    </row>
    <row r="411" spans="1:1" ht="15.75" x14ac:dyDescent="0.25">
      <c r="A411" s="2"/>
    </row>
    <row r="412" spans="1:1" ht="15.75" x14ac:dyDescent="0.25">
      <c r="A412" s="2"/>
    </row>
    <row r="413" spans="1:1" ht="15.75" x14ac:dyDescent="0.25">
      <c r="A413" s="2"/>
    </row>
    <row r="414" spans="1:1" ht="15.75" x14ac:dyDescent="0.25">
      <c r="A414" s="2"/>
    </row>
    <row r="415" spans="1:1" ht="15.75" x14ac:dyDescent="0.25">
      <c r="A415" s="2"/>
    </row>
    <row r="416" spans="1:1" ht="15.75" x14ac:dyDescent="0.25">
      <c r="A416" s="2"/>
    </row>
    <row r="417" spans="1:1" ht="15.75" x14ac:dyDescent="0.25">
      <c r="A417" s="2"/>
    </row>
    <row r="418" spans="1:1" ht="15.75" x14ac:dyDescent="0.25">
      <c r="A418" s="2"/>
    </row>
    <row r="419" spans="1:1" ht="15.75" x14ac:dyDescent="0.25">
      <c r="A419" s="2"/>
    </row>
    <row r="420" spans="1:1" ht="15.75" x14ac:dyDescent="0.25">
      <c r="A420" s="2"/>
    </row>
    <row r="421" spans="1:1" ht="15.75" x14ac:dyDescent="0.25">
      <c r="A421" s="2"/>
    </row>
    <row r="422" spans="1:1" ht="15.75" x14ac:dyDescent="0.25">
      <c r="A422" s="2"/>
    </row>
    <row r="423" spans="1:1" ht="15.75" x14ac:dyDescent="0.25">
      <c r="A423" s="2"/>
    </row>
    <row r="424" spans="1:1" ht="15.75" x14ac:dyDescent="0.25">
      <c r="A424" s="2"/>
    </row>
    <row r="425" spans="1:1" ht="15.75" x14ac:dyDescent="0.25">
      <c r="A425" s="2"/>
    </row>
    <row r="426" spans="1:1" ht="15.75" x14ac:dyDescent="0.25">
      <c r="A426" s="2"/>
    </row>
    <row r="427" spans="1:1" ht="15.75" x14ac:dyDescent="0.25">
      <c r="A427" s="2"/>
    </row>
    <row r="428" spans="1:1" ht="15.75" x14ac:dyDescent="0.25">
      <c r="A428" s="2"/>
    </row>
    <row r="429" spans="1:1" ht="15.75" x14ac:dyDescent="0.25">
      <c r="A429" s="2"/>
    </row>
    <row r="430" spans="1:1" ht="15.75" x14ac:dyDescent="0.25">
      <c r="A430" s="2"/>
    </row>
    <row r="431" spans="1:1" ht="15.75" x14ac:dyDescent="0.25">
      <c r="A431" s="2"/>
    </row>
    <row r="432" spans="1:1" ht="15.75" x14ac:dyDescent="0.25">
      <c r="A432" s="2"/>
    </row>
    <row r="433" spans="1:1" ht="15.75" x14ac:dyDescent="0.25">
      <c r="A433" s="2"/>
    </row>
    <row r="434" spans="1:1" ht="15.75" x14ac:dyDescent="0.25">
      <c r="A434" s="2"/>
    </row>
    <row r="435" spans="1:1" ht="15.75" x14ac:dyDescent="0.25">
      <c r="A435" s="2"/>
    </row>
    <row r="436" spans="1:1" ht="15.75" x14ac:dyDescent="0.25">
      <c r="A436" s="2"/>
    </row>
    <row r="437" spans="1:1" ht="15.75" x14ac:dyDescent="0.25">
      <c r="A437" s="2"/>
    </row>
    <row r="438" spans="1:1" ht="15.75" x14ac:dyDescent="0.25">
      <c r="A438" s="2"/>
    </row>
  </sheetData>
  <phoneticPr fontId="2" type="noConversion"/>
  <pageMargins left="0.7" right="0.7" top="0.75" bottom="0.75" header="0.3" footer="0.3"/>
  <pageSetup scale="86" fitToHeight="0" orientation="landscape" r:id="rId1"/>
  <headerFooter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630E-8775-4A40-B567-813D10D9BEA9}">
  <sheetPr>
    <pageSetUpPr fitToPage="1"/>
  </sheetPr>
  <dimension ref="A1:D99"/>
  <sheetViews>
    <sheetView zoomScaleNormal="100" workbookViewId="0">
      <selection activeCell="B9" sqref="B9"/>
    </sheetView>
  </sheetViews>
  <sheetFormatPr defaultRowHeight="15" x14ac:dyDescent="0.25"/>
  <cols>
    <col min="1" max="1" width="35.7109375" customWidth="1"/>
    <col min="2" max="2" width="17.85546875" customWidth="1"/>
    <col min="3" max="3" width="18.5703125" customWidth="1"/>
    <col min="4" max="4" width="41" customWidth="1"/>
  </cols>
  <sheetData>
    <row r="1" spans="1:4" ht="15.75" customHeight="1" x14ac:dyDescent="0.25">
      <c r="A1" s="25" t="s">
        <v>32</v>
      </c>
      <c r="B1" s="39" t="s">
        <v>30</v>
      </c>
      <c r="C1" s="40"/>
      <c r="D1" s="41" t="s">
        <v>5</v>
      </c>
    </row>
    <row r="2" spans="1:4" ht="15.75" x14ac:dyDescent="0.25">
      <c r="A2" s="19" t="s">
        <v>20</v>
      </c>
      <c r="B2" s="23" t="s">
        <v>29</v>
      </c>
      <c r="C2" s="23" t="s">
        <v>31</v>
      </c>
      <c r="D2" s="41"/>
    </row>
    <row r="3" spans="1:4" ht="15.75" x14ac:dyDescent="0.25">
      <c r="A3" s="7" t="str" cm="1">
        <f t="array" ref="A3:A50">_xlfn.CHOOSEROWS(
    IF('FILL ME'!B9="Bottle Number", 'Label IDs'!J:J, 'Label IDs'!K:K),
    _xlfn.SEQUENCE('FILL ME'!B15*'FILL ME'!B6) + 1
)</f>
        <v>SSFLAT_CMP_20260319_01</v>
      </c>
      <c r="B3" s="7"/>
      <c r="C3" s="7"/>
      <c r="D3" s="7"/>
    </row>
    <row r="4" spans="1:4" ht="15.75" x14ac:dyDescent="0.25">
      <c r="A4" s="9" t="str">
        <v>SSFLAT_CMP_20260319_02</v>
      </c>
      <c r="B4" s="9"/>
      <c r="C4" s="9"/>
      <c r="D4" s="9"/>
    </row>
    <row r="5" spans="1:4" ht="15.75" x14ac:dyDescent="0.25">
      <c r="A5" s="21" t="str">
        <v>SSFLAT_CMP_20260319_03</v>
      </c>
      <c r="B5" s="21"/>
      <c r="C5" s="21"/>
      <c r="D5" s="21"/>
    </row>
    <row r="6" spans="1:4" ht="15.75" x14ac:dyDescent="0.25">
      <c r="A6" s="9" t="str">
        <v>SSFLAT_CMP_20260319_04</v>
      </c>
      <c r="B6" s="9"/>
      <c r="C6" s="9"/>
      <c r="D6" s="9"/>
    </row>
    <row r="7" spans="1:4" ht="15.75" x14ac:dyDescent="0.25">
      <c r="A7" s="21" t="str">
        <v>SSFLAT_CMP_20260319_05</v>
      </c>
      <c r="B7" s="21"/>
      <c r="C7" s="21"/>
      <c r="D7" s="21"/>
    </row>
    <row r="8" spans="1:4" ht="15.75" x14ac:dyDescent="0.25">
      <c r="A8" s="9" t="str">
        <v>SSFLAT_CMP_20260319_06</v>
      </c>
      <c r="B8" s="9"/>
      <c r="C8" s="9"/>
      <c r="D8" s="9"/>
    </row>
    <row r="9" spans="1:4" ht="15.75" x14ac:dyDescent="0.25">
      <c r="A9" s="21" t="str">
        <v>SSFLAT_CMP_20260319_07</v>
      </c>
      <c r="B9" s="21"/>
      <c r="C9" s="21"/>
      <c r="D9" s="21"/>
    </row>
    <row r="10" spans="1:4" ht="15.75" x14ac:dyDescent="0.25">
      <c r="A10" s="9" t="str">
        <v>SSFLAT_CMP_20260319_08</v>
      </c>
      <c r="B10" s="9"/>
      <c r="C10" s="9"/>
      <c r="D10" s="9"/>
    </row>
    <row r="11" spans="1:4" ht="15.75" x14ac:dyDescent="0.25">
      <c r="A11" s="21" t="str">
        <v>SSFLAT_CMP_20260319_09</v>
      </c>
      <c r="B11" s="7"/>
      <c r="C11" s="7"/>
      <c r="D11" s="7"/>
    </row>
    <row r="12" spans="1:4" ht="15.75" x14ac:dyDescent="0.25">
      <c r="A12" s="9" t="str">
        <v>SSFLAT_CMP_20260319_10</v>
      </c>
      <c r="B12" s="9"/>
      <c r="C12" s="9"/>
      <c r="D12" s="9"/>
    </row>
    <row r="13" spans="1:4" ht="15.75" x14ac:dyDescent="0.25">
      <c r="A13" s="21" t="str">
        <v>SSFLAT_CMP_20260319_11</v>
      </c>
      <c r="B13" s="21"/>
      <c r="C13" s="21"/>
      <c r="D13" s="21"/>
    </row>
    <row r="14" spans="1:4" ht="15.75" x14ac:dyDescent="0.25">
      <c r="A14" s="9" t="str">
        <v>SSFLAT_CMP_20260319_12</v>
      </c>
      <c r="B14" s="9"/>
      <c r="C14" s="9"/>
      <c r="D14" s="9"/>
    </row>
    <row r="15" spans="1:4" ht="15.75" x14ac:dyDescent="0.25">
      <c r="A15" s="21" t="str">
        <v>SSFLAT_CMP_20260319_13</v>
      </c>
      <c r="B15" s="21"/>
      <c r="C15" s="21"/>
      <c r="D15" s="21"/>
    </row>
    <row r="16" spans="1:4" ht="15.75" x14ac:dyDescent="0.25">
      <c r="A16" s="9" t="str">
        <v>SSFLAT_CMP_20260319_14</v>
      </c>
      <c r="B16" s="9"/>
      <c r="C16" s="9"/>
      <c r="D16" s="9"/>
    </row>
    <row r="17" spans="1:4" ht="15.75" x14ac:dyDescent="0.25">
      <c r="A17" s="21" t="str">
        <v>SSFLAT_CMP_20260319_15</v>
      </c>
      <c r="B17" s="21"/>
      <c r="C17" s="21"/>
      <c r="D17" s="21"/>
    </row>
    <row r="18" spans="1:4" ht="15.75" x14ac:dyDescent="0.25">
      <c r="A18" s="9" t="str">
        <v>SSFLAT_CMP_20260319_16</v>
      </c>
      <c r="B18" s="9"/>
      <c r="C18" s="9"/>
      <c r="D18" s="9"/>
    </row>
    <row r="19" spans="1:4" ht="15.75" x14ac:dyDescent="0.25">
      <c r="A19" s="21" t="str">
        <v>SSFLAT_CMP_20260319_17</v>
      </c>
      <c r="B19" s="7"/>
      <c r="C19" s="7"/>
      <c r="D19" s="7"/>
    </row>
    <row r="20" spans="1:4" ht="15.75" x14ac:dyDescent="0.25">
      <c r="A20" s="9" t="str">
        <v>SSFLAT_CMP_20260319_18</v>
      </c>
      <c r="B20" s="9"/>
      <c r="C20" s="9"/>
      <c r="D20" s="9"/>
    </row>
    <row r="21" spans="1:4" ht="15.75" x14ac:dyDescent="0.25">
      <c r="A21" s="21" t="str">
        <v>SSFLAT_CMP_20260319_19</v>
      </c>
      <c r="B21" s="21"/>
      <c r="C21" s="21"/>
      <c r="D21" s="21"/>
    </row>
    <row r="22" spans="1:4" ht="15.75" x14ac:dyDescent="0.25">
      <c r="A22" s="9" t="str">
        <v>SSFLAT_CMP_20260319_20</v>
      </c>
      <c r="B22" s="9"/>
      <c r="C22" s="9"/>
      <c r="D22" s="9"/>
    </row>
    <row r="23" spans="1:4" ht="15.75" x14ac:dyDescent="0.25">
      <c r="A23" s="21" t="str">
        <v>SSFLAT_CMP_20260319_21</v>
      </c>
      <c r="B23" s="21"/>
      <c r="C23" s="21"/>
      <c r="D23" s="21"/>
    </row>
    <row r="24" spans="1:4" ht="15.75" x14ac:dyDescent="0.25">
      <c r="A24" s="9" t="str">
        <v>SSFLAT_CMP_20260319_22</v>
      </c>
      <c r="B24" s="9"/>
      <c r="C24" s="9"/>
      <c r="D24" s="9"/>
    </row>
    <row r="25" spans="1:4" ht="15.75" x14ac:dyDescent="0.25">
      <c r="A25" s="21" t="str">
        <v>SSFLAT_CMP_20260319_23</v>
      </c>
      <c r="B25" s="21"/>
      <c r="C25" s="21"/>
      <c r="D25" s="21"/>
    </row>
    <row r="26" spans="1:4" ht="15.75" x14ac:dyDescent="0.25">
      <c r="A26" s="9" t="str">
        <v>SSFLAT_CMP_20260319_24</v>
      </c>
      <c r="B26" s="9"/>
      <c r="C26" s="9"/>
      <c r="D26" s="9"/>
    </row>
    <row r="27" spans="1:4" ht="15.75" x14ac:dyDescent="0.25">
      <c r="A27" s="21" t="str">
        <v>SSFLAT_ALD_20260319_01</v>
      </c>
      <c r="B27" s="7"/>
      <c r="C27" s="7"/>
      <c r="D27" s="7"/>
    </row>
    <row r="28" spans="1:4" ht="15.75" x14ac:dyDescent="0.25">
      <c r="A28" s="9" t="str">
        <v>SSFLAT_ALD_20260319_02</v>
      </c>
      <c r="B28" s="9"/>
      <c r="C28" s="9"/>
      <c r="D28" s="9"/>
    </row>
    <row r="29" spans="1:4" ht="15.75" x14ac:dyDescent="0.25">
      <c r="A29" s="21" t="str">
        <v>SSFLAT_ALD_20260319_03</v>
      </c>
      <c r="B29" s="21"/>
      <c r="C29" s="21"/>
      <c r="D29" s="21"/>
    </row>
    <row r="30" spans="1:4" ht="15.75" x14ac:dyDescent="0.25">
      <c r="A30" s="9" t="str">
        <v>SSFLAT_ALD_20260319_04</v>
      </c>
      <c r="B30" s="9"/>
      <c r="C30" s="9"/>
      <c r="D30" s="9"/>
    </row>
    <row r="31" spans="1:4" ht="15.75" x14ac:dyDescent="0.25">
      <c r="A31" s="21" t="str">
        <v>SSFLAT_ALD_20260319_05</v>
      </c>
      <c r="B31" s="21"/>
      <c r="C31" s="21"/>
      <c r="D31" s="21"/>
    </row>
    <row r="32" spans="1:4" ht="15.75" x14ac:dyDescent="0.25">
      <c r="A32" s="9" t="str">
        <v>SSFLAT_ALD_20260319_06</v>
      </c>
      <c r="B32" s="9"/>
      <c r="C32" s="9"/>
      <c r="D32" s="9"/>
    </row>
    <row r="33" spans="1:4" ht="15.75" x14ac:dyDescent="0.25">
      <c r="A33" s="21" t="str">
        <v>SSFLAT_ALD_20260319_07</v>
      </c>
      <c r="B33" s="21"/>
      <c r="C33" s="21"/>
      <c r="D33" s="21"/>
    </row>
    <row r="34" spans="1:4" ht="15.75" x14ac:dyDescent="0.25">
      <c r="A34" s="9" t="str">
        <v>SSFLAT_ALD_20260319_08</v>
      </c>
      <c r="B34" s="9"/>
      <c r="C34" s="9"/>
      <c r="D34" s="9"/>
    </row>
    <row r="35" spans="1:4" ht="15.75" x14ac:dyDescent="0.25">
      <c r="A35" s="21" t="str">
        <v>SSFLAT_ALD_20260319_09</v>
      </c>
      <c r="B35" s="7"/>
      <c r="C35" s="7"/>
      <c r="D35" s="7"/>
    </row>
    <row r="36" spans="1:4" ht="15.75" x14ac:dyDescent="0.25">
      <c r="A36" s="9" t="str">
        <v>SSFLAT_ALD_20260319_10</v>
      </c>
      <c r="B36" s="9"/>
      <c r="C36" s="9"/>
      <c r="D36" s="9"/>
    </row>
    <row r="37" spans="1:4" ht="15.75" x14ac:dyDescent="0.25">
      <c r="A37" s="21" t="str">
        <v>SSFLAT_ALD_20260319_11</v>
      </c>
      <c r="B37" s="21"/>
      <c r="C37" s="21"/>
      <c r="D37" s="21"/>
    </row>
    <row r="38" spans="1:4" ht="15.75" x14ac:dyDescent="0.25">
      <c r="A38" s="9" t="str">
        <v>SSFLAT_ALD_20260319_12</v>
      </c>
      <c r="B38" s="9"/>
      <c r="C38" s="9"/>
      <c r="D38" s="9"/>
    </row>
    <row r="39" spans="1:4" ht="15.75" x14ac:dyDescent="0.25">
      <c r="A39" s="21" t="str">
        <v>SSFLAT_ALD_20260319_13</v>
      </c>
      <c r="B39" s="21"/>
      <c r="C39" s="21"/>
      <c r="D39" s="21"/>
    </row>
    <row r="40" spans="1:4" ht="15.75" x14ac:dyDescent="0.25">
      <c r="A40" s="9" t="str">
        <v>SSFLAT_ALD_20260319_14</v>
      </c>
      <c r="B40" s="9"/>
      <c r="C40" s="9"/>
      <c r="D40" s="9"/>
    </row>
    <row r="41" spans="1:4" ht="15.75" x14ac:dyDescent="0.25">
      <c r="A41" s="21" t="str">
        <v>SSFLAT_ALD_20260319_15</v>
      </c>
      <c r="B41" s="21"/>
      <c r="C41" s="21"/>
      <c r="D41" s="21"/>
    </row>
    <row r="42" spans="1:4" ht="15.75" x14ac:dyDescent="0.25">
      <c r="A42" s="9" t="str">
        <v>SSFLAT_ALD_20260319_16</v>
      </c>
      <c r="B42" s="9"/>
      <c r="C42" s="9"/>
      <c r="D42" s="9"/>
    </row>
    <row r="43" spans="1:4" ht="15.75" x14ac:dyDescent="0.25">
      <c r="A43" s="21" t="str">
        <v>SSFLAT_ALD_20260319_17</v>
      </c>
      <c r="B43" s="7"/>
      <c r="C43" s="7"/>
      <c r="D43" s="7"/>
    </row>
    <row r="44" spans="1:4" ht="15.75" x14ac:dyDescent="0.25">
      <c r="A44" s="9" t="str">
        <v>SSFLAT_ALD_20260319_18</v>
      </c>
      <c r="B44" s="9"/>
      <c r="C44" s="9"/>
      <c r="D44" s="9"/>
    </row>
    <row r="45" spans="1:4" ht="15.75" x14ac:dyDescent="0.25">
      <c r="A45" s="21" t="str">
        <v>SSFLAT_ALD_20260319_19</v>
      </c>
      <c r="B45" s="21"/>
      <c r="C45" s="21"/>
      <c r="D45" s="21"/>
    </row>
    <row r="46" spans="1:4" ht="15.75" x14ac:dyDescent="0.25">
      <c r="A46" s="9" t="str">
        <v>SSFLAT_ALD_20260319_20</v>
      </c>
      <c r="B46" s="9"/>
      <c r="C46" s="9"/>
      <c r="D46" s="9"/>
    </row>
    <row r="47" spans="1:4" ht="15.75" x14ac:dyDescent="0.25">
      <c r="A47" s="21" t="str">
        <v>SSFLAT_ALD_20260319_21</v>
      </c>
      <c r="B47" s="21"/>
      <c r="C47" s="21"/>
      <c r="D47" s="21"/>
    </row>
    <row r="48" spans="1:4" ht="15.75" x14ac:dyDescent="0.25">
      <c r="A48" s="9" t="str">
        <v>SSFLAT_ALD_20260319_22</v>
      </c>
      <c r="B48" s="9"/>
      <c r="C48" s="9"/>
      <c r="D48" s="9"/>
    </row>
    <row r="49" spans="1:4" ht="15.75" x14ac:dyDescent="0.25">
      <c r="A49" s="21" t="str">
        <v>SSFLAT_ALD_20260319_23</v>
      </c>
      <c r="B49" s="21"/>
      <c r="C49" s="21"/>
      <c r="D49" s="21"/>
    </row>
    <row r="50" spans="1:4" ht="15.75" x14ac:dyDescent="0.25">
      <c r="A50" s="9" t="str">
        <v>SSFLAT_ALD_20260319_24</v>
      </c>
      <c r="B50" s="9"/>
      <c r="C50" s="9"/>
      <c r="D50" s="9"/>
    </row>
    <row r="51" spans="1:4" ht="15.75" x14ac:dyDescent="0.25">
      <c r="A51" s="7"/>
      <c r="B51" s="7"/>
      <c r="C51" s="7"/>
      <c r="D51" s="7"/>
    </row>
    <row r="52" spans="1:4" ht="15.75" x14ac:dyDescent="0.25">
      <c r="A52" s="9"/>
      <c r="B52" s="9"/>
      <c r="C52" s="9"/>
      <c r="D52" s="9"/>
    </row>
    <row r="53" spans="1:4" ht="15.75" x14ac:dyDescent="0.25">
      <c r="A53" s="21"/>
      <c r="B53" s="21"/>
      <c r="C53" s="21"/>
      <c r="D53" s="21"/>
    </row>
    <row r="54" spans="1:4" ht="15.75" x14ac:dyDescent="0.25">
      <c r="A54" s="9"/>
      <c r="B54" s="9"/>
      <c r="C54" s="9"/>
      <c r="D54" s="9"/>
    </row>
    <row r="55" spans="1:4" ht="15.75" x14ac:dyDescent="0.25">
      <c r="A55" s="21"/>
      <c r="B55" s="21"/>
      <c r="C55" s="21"/>
      <c r="D55" s="21"/>
    </row>
    <row r="56" spans="1:4" ht="15.75" x14ac:dyDescent="0.25">
      <c r="A56" s="9"/>
      <c r="B56" s="9"/>
      <c r="C56" s="9"/>
      <c r="D56" s="9"/>
    </row>
    <row r="57" spans="1:4" ht="15.75" x14ac:dyDescent="0.25">
      <c r="A57" s="21"/>
      <c r="B57" s="21"/>
      <c r="C57" s="21"/>
      <c r="D57" s="21"/>
    </row>
    <row r="58" spans="1:4" ht="15.75" x14ac:dyDescent="0.25">
      <c r="A58" s="9"/>
      <c r="B58" s="9"/>
      <c r="C58" s="9"/>
      <c r="D58" s="9"/>
    </row>
    <row r="59" spans="1:4" ht="15.75" x14ac:dyDescent="0.25">
      <c r="A59" s="7"/>
      <c r="B59" s="7"/>
      <c r="C59" s="7"/>
      <c r="D59" s="7"/>
    </row>
    <row r="60" spans="1:4" ht="15.75" x14ac:dyDescent="0.25">
      <c r="A60" s="9"/>
      <c r="B60" s="9"/>
      <c r="C60" s="9"/>
      <c r="D60" s="9"/>
    </row>
    <row r="61" spans="1:4" ht="15.75" x14ac:dyDescent="0.25">
      <c r="A61" s="21"/>
      <c r="B61" s="21"/>
      <c r="C61" s="21"/>
      <c r="D61" s="21"/>
    </row>
    <row r="62" spans="1:4" ht="15.75" x14ac:dyDescent="0.25">
      <c r="A62" s="9"/>
      <c r="B62" s="9"/>
      <c r="C62" s="9"/>
      <c r="D62" s="9"/>
    </row>
    <row r="63" spans="1:4" ht="15.75" x14ac:dyDescent="0.25">
      <c r="A63" s="21"/>
      <c r="B63" s="21"/>
      <c r="C63" s="21"/>
      <c r="D63" s="21"/>
    </row>
    <row r="64" spans="1:4" ht="15.75" x14ac:dyDescent="0.25">
      <c r="A64" s="9"/>
      <c r="B64" s="9"/>
      <c r="C64" s="9"/>
      <c r="D64" s="9"/>
    </row>
    <row r="65" spans="1:4" ht="15.75" x14ac:dyDescent="0.25">
      <c r="A65" s="21"/>
      <c r="B65" s="21"/>
      <c r="C65" s="21"/>
      <c r="D65" s="21"/>
    </row>
    <row r="66" spans="1:4" ht="15.75" x14ac:dyDescent="0.25">
      <c r="A66" s="9"/>
      <c r="B66" s="9"/>
      <c r="C66" s="9"/>
      <c r="D66" s="9"/>
    </row>
    <row r="67" spans="1:4" ht="15.75" x14ac:dyDescent="0.25">
      <c r="A67" s="7"/>
      <c r="B67" s="7"/>
      <c r="C67" s="7"/>
      <c r="D67" s="7"/>
    </row>
    <row r="68" spans="1:4" ht="15.75" x14ac:dyDescent="0.25">
      <c r="A68" s="9"/>
      <c r="B68" s="9"/>
      <c r="C68" s="9"/>
      <c r="D68" s="9"/>
    </row>
    <row r="69" spans="1:4" ht="15.75" x14ac:dyDescent="0.25">
      <c r="A69" s="21"/>
      <c r="B69" s="21"/>
      <c r="C69" s="21"/>
      <c r="D69" s="21"/>
    </row>
    <row r="70" spans="1:4" ht="15.75" x14ac:dyDescent="0.25">
      <c r="A70" s="9"/>
      <c r="B70" s="9"/>
      <c r="C70" s="9"/>
      <c r="D70" s="9"/>
    </row>
    <row r="71" spans="1:4" ht="15.75" x14ac:dyDescent="0.25">
      <c r="A71" s="21"/>
      <c r="B71" s="21"/>
      <c r="C71" s="21"/>
      <c r="D71" s="21"/>
    </row>
    <row r="72" spans="1:4" ht="15.75" x14ac:dyDescent="0.25">
      <c r="A72" s="9"/>
      <c r="B72" s="9"/>
      <c r="C72" s="9"/>
      <c r="D72" s="9"/>
    </row>
    <row r="73" spans="1:4" ht="15.75" x14ac:dyDescent="0.25">
      <c r="A73" s="21"/>
      <c r="B73" s="21"/>
      <c r="C73" s="21"/>
      <c r="D73" s="21"/>
    </row>
    <row r="74" spans="1:4" ht="15.75" x14ac:dyDescent="0.25">
      <c r="A74" s="9"/>
      <c r="B74" s="9"/>
      <c r="C74" s="9"/>
      <c r="D74" s="9"/>
    </row>
    <row r="75" spans="1:4" ht="15.75" x14ac:dyDescent="0.25">
      <c r="A75" s="7"/>
      <c r="B75" s="7"/>
      <c r="C75" s="7"/>
      <c r="D75" s="7"/>
    </row>
    <row r="76" spans="1:4" ht="15.75" x14ac:dyDescent="0.25">
      <c r="A76" s="9"/>
      <c r="B76" s="9"/>
      <c r="C76" s="9"/>
      <c r="D76" s="9"/>
    </row>
    <row r="77" spans="1:4" ht="15.75" x14ac:dyDescent="0.25">
      <c r="A77" s="21"/>
      <c r="B77" s="21"/>
      <c r="C77" s="21"/>
      <c r="D77" s="21"/>
    </row>
    <row r="78" spans="1:4" ht="15.75" x14ac:dyDescent="0.25">
      <c r="A78" s="9"/>
      <c r="B78" s="9"/>
      <c r="C78" s="9"/>
      <c r="D78" s="9"/>
    </row>
    <row r="79" spans="1:4" ht="15.75" x14ac:dyDescent="0.25">
      <c r="A79" s="21"/>
      <c r="B79" s="21"/>
      <c r="C79" s="21"/>
      <c r="D79" s="21"/>
    </row>
    <row r="80" spans="1:4" ht="15.75" x14ac:dyDescent="0.25">
      <c r="A80" s="9"/>
      <c r="B80" s="9"/>
      <c r="C80" s="9"/>
      <c r="D80" s="9"/>
    </row>
    <row r="81" spans="1:4" ht="15.75" x14ac:dyDescent="0.25">
      <c r="A81" s="21"/>
      <c r="B81" s="21"/>
      <c r="C81" s="21"/>
      <c r="D81" s="21"/>
    </row>
    <row r="82" spans="1:4" ht="15.75" x14ac:dyDescent="0.25">
      <c r="A82" s="9"/>
      <c r="B82" s="9"/>
      <c r="C82" s="9"/>
      <c r="D82" s="9"/>
    </row>
    <row r="83" spans="1:4" ht="15.75" x14ac:dyDescent="0.25">
      <c r="A83" s="7"/>
      <c r="B83" s="7"/>
      <c r="C83" s="7"/>
      <c r="D83" s="7"/>
    </row>
    <row r="84" spans="1:4" ht="15.75" x14ac:dyDescent="0.25">
      <c r="A84" s="9"/>
      <c r="B84" s="9"/>
      <c r="C84" s="9"/>
      <c r="D84" s="9"/>
    </row>
    <row r="85" spans="1:4" ht="15.75" x14ac:dyDescent="0.25">
      <c r="A85" s="21"/>
      <c r="B85" s="21"/>
      <c r="C85" s="21"/>
      <c r="D85" s="21"/>
    </row>
    <row r="86" spans="1:4" ht="15.75" x14ac:dyDescent="0.25">
      <c r="A86" s="9"/>
      <c r="B86" s="9"/>
      <c r="C86" s="9"/>
      <c r="D86" s="9"/>
    </row>
    <row r="87" spans="1:4" ht="15.75" x14ac:dyDescent="0.25">
      <c r="A87" s="21"/>
      <c r="B87" s="21"/>
      <c r="C87" s="21"/>
      <c r="D87" s="21"/>
    </row>
    <row r="88" spans="1:4" ht="15.75" x14ac:dyDescent="0.25">
      <c r="A88" s="9"/>
      <c r="B88" s="9"/>
      <c r="C88" s="9"/>
      <c r="D88" s="9"/>
    </row>
    <row r="89" spans="1:4" ht="15.75" x14ac:dyDescent="0.25">
      <c r="A89" s="21"/>
      <c r="B89" s="21"/>
      <c r="C89" s="21"/>
      <c r="D89" s="21"/>
    </row>
    <row r="90" spans="1:4" ht="15.75" x14ac:dyDescent="0.25">
      <c r="A90" s="9"/>
      <c r="B90" s="9"/>
      <c r="C90" s="9"/>
      <c r="D90" s="9"/>
    </row>
    <row r="91" spans="1:4" ht="15.75" x14ac:dyDescent="0.25">
      <c r="A91" s="7"/>
      <c r="B91" s="7"/>
      <c r="C91" s="7"/>
      <c r="D91" s="7"/>
    </row>
    <row r="92" spans="1:4" ht="15.75" x14ac:dyDescent="0.25">
      <c r="A92" s="9"/>
      <c r="B92" s="9"/>
      <c r="C92" s="9"/>
      <c r="D92" s="9"/>
    </row>
    <row r="93" spans="1:4" ht="15.75" x14ac:dyDescent="0.25">
      <c r="A93" s="21"/>
      <c r="B93" s="21"/>
      <c r="C93" s="21"/>
      <c r="D93" s="21"/>
    </row>
    <row r="94" spans="1:4" ht="15.75" x14ac:dyDescent="0.25">
      <c r="A94" s="9"/>
      <c r="B94" s="9"/>
      <c r="C94" s="9"/>
      <c r="D94" s="9"/>
    </row>
    <row r="95" spans="1:4" ht="15.75" x14ac:dyDescent="0.25">
      <c r="A95" s="21"/>
      <c r="B95" s="21"/>
      <c r="C95" s="21"/>
      <c r="D95" s="21"/>
    </row>
    <row r="96" spans="1:4" ht="15.75" x14ac:dyDescent="0.25">
      <c r="A96" s="9"/>
      <c r="B96" s="9"/>
      <c r="C96" s="9"/>
      <c r="D96" s="9"/>
    </row>
    <row r="97" spans="1:4" ht="15.75" x14ac:dyDescent="0.25">
      <c r="A97" s="21"/>
      <c r="B97" s="21"/>
      <c r="C97" s="21"/>
      <c r="D97" s="21"/>
    </row>
    <row r="98" spans="1:4" ht="15.75" x14ac:dyDescent="0.25">
      <c r="A98" s="9"/>
      <c r="B98" s="9"/>
      <c r="C98" s="9"/>
      <c r="D98" s="9"/>
    </row>
    <row r="99" spans="1:4" ht="15.75" x14ac:dyDescent="0.25">
      <c r="A99" s="21"/>
      <c r="B99" s="21"/>
      <c r="C99" s="21"/>
      <c r="D99" s="21"/>
    </row>
  </sheetData>
  <mergeCells count="2">
    <mergeCell ref="B1:C1"/>
    <mergeCell ref="D1:D2"/>
  </mergeCells>
  <pageMargins left="0.7" right="0.7" top="0.75" bottom="0.75" header="0.3" footer="0.3"/>
  <pageSetup scale="80" fitToHeight="0" orientation="portrait" r:id="rId1"/>
  <headerFooter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0CB0-D5E8-4DF2-BDE4-B7E040200B1F}">
  <sheetPr>
    <pageSetUpPr fitToPage="1"/>
  </sheetPr>
  <dimension ref="A1:D99"/>
  <sheetViews>
    <sheetView zoomScaleNormal="100" workbookViewId="0">
      <selection activeCell="B7" sqref="B7"/>
    </sheetView>
  </sheetViews>
  <sheetFormatPr defaultRowHeight="15" x14ac:dyDescent="0.25"/>
  <cols>
    <col min="1" max="1" width="35.28515625" customWidth="1"/>
    <col min="2" max="2" width="14.7109375" customWidth="1"/>
    <col min="3" max="3" width="16.5703125" customWidth="1"/>
    <col min="4" max="4" width="34" customWidth="1"/>
  </cols>
  <sheetData>
    <row r="1" spans="1:4" ht="15.75" x14ac:dyDescent="0.25">
      <c r="A1" s="24" t="s">
        <v>33</v>
      </c>
      <c r="B1" s="39" t="s">
        <v>36</v>
      </c>
      <c r="C1" s="40"/>
      <c r="D1" s="41" t="s">
        <v>5</v>
      </c>
    </row>
    <row r="2" spans="1:4" ht="15.75" x14ac:dyDescent="0.25">
      <c r="A2" s="19" t="s">
        <v>20</v>
      </c>
      <c r="B2" s="23" t="s">
        <v>37</v>
      </c>
      <c r="C2" s="23" t="s">
        <v>38</v>
      </c>
      <c r="D2" s="41"/>
    </row>
    <row r="3" spans="1:4" ht="15.75" x14ac:dyDescent="0.25">
      <c r="A3" s="7" t="str" cm="1">
        <f t="array" ref="A3:A50">_xlfn.CHOOSEROWS(
    IF('FILL ME'!B9="Bottle Number", 'Label IDs'!J:J, 'Label IDs'!K:K),
    _xlfn.SEQUENCE('FILL ME'!B15*'FILL ME'!B6) + 1
)</f>
        <v>SSFLAT_CMP_20260319_01</v>
      </c>
      <c r="B3" s="7"/>
      <c r="C3" s="7"/>
      <c r="D3" s="7"/>
    </row>
    <row r="4" spans="1:4" ht="15.75" x14ac:dyDescent="0.25">
      <c r="A4" s="9" t="str">
        <v>SSFLAT_CMP_20260319_02</v>
      </c>
      <c r="B4" s="9"/>
      <c r="C4" s="9"/>
      <c r="D4" s="9"/>
    </row>
    <row r="5" spans="1:4" ht="15.75" x14ac:dyDescent="0.25">
      <c r="A5" s="21" t="str">
        <v>SSFLAT_CMP_20260319_03</v>
      </c>
      <c r="B5" s="21"/>
      <c r="C5" s="21"/>
      <c r="D5" s="21"/>
    </row>
    <row r="6" spans="1:4" ht="15.75" x14ac:dyDescent="0.25">
      <c r="A6" s="9" t="str">
        <v>SSFLAT_CMP_20260319_04</v>
      </c>
      <c r="B6" s="9"/>
      <c r="C6" s="9"/>
      <c r="D6" s="9"/>
    </row>
    <row r="7" spans="1:4" ht="15.75" x14ac:dyDescent="0.25">
      <c r="A7" s="21" t="str">
        <v>SSFLAT_CMP_20260319_05</v>
      </c>
      <c r="B7" s="21"/>
      <c r="C7" s="21"/>
      <c r="D7" s="21"/>
    </row>
    <row r="8" spans="1:4" ht="15.75" x14ac:dyDescent="0.25">
      <c r="A8" s="9" t="str">
        <v>SSFLAT_CMP_20260319_06</v>
      </c>
      <c r="B8" s="9"/>
      <c r="C8" s="9"/>
      <c r="D8" s="9"/>
    </row>
    <row r="9" spans="1:4" ht="15.75" x14ac:dyDescent="0.25">
      <c r="A9" s="21" t="str">
        <v>SSFLAT_CMP_20260319_07</v>
      </c>
      <c r="B9" s="21"/>
      <c r="C9" s="21"/>
      <c r="D9" s="21"/>
    </row>
    <row r="10" spans="1:4" ht="15.75" x14ac:dyDescent="0.25">
      <c r="A10" s="9" t="str">
        <v>SSFLAT_CMP_20260319_08</v>
      </c>
      <c r="B10" s="9"/>
      <c r="C10" s="9"/>
      <c r="D10" s="9"/>
    </row>
    <row r="11" spans="1:4" ht="15.75" x14ac:dyDescent="0.25">
      <c r="A11" s="21" t="str">
        <v>SSFLAT_CMP_20260319_09</v>
      </c>
      <c r="B11" s="7"/>
      <c r="C11" s="7"/>
      <c r="D11" s="7"/>
    </row>
    <row r="12" spans="1:4" ht="15.75" x14ac:dyDescent="0.25">
      <c r="A12" s="9" t="str">
        <v>SSFLAT_CMP_20260319_10</v>
      </c>
      <c r="B12" s="9"/>
      <c r="C12" s="9"/>
      <c r="D12" s="9"/>
    </row>
    <row r="13" spans="1:4" ht="15.75" x14ac:dyDescent="0.25">
      <c r="A13" s="21" t="str">
        <v>SSFLAT_CMP_20260319_11</v>
      </c>
      <c r="B13" s="21"/>
      <c r="C13" s="21"/>
      <c r="D13" s="21"/>
    </row>
    <row r="14" spans="1:4" ht="15.75" x14ac:dyDescent="0.25">
      <c r="A14" s="9" t="str">
        <v>SSFLAT_CMP_20260319_12</v>
      </c>
      <c r="B14" s="9"/>
      <c r="C14" s="9"/>
      <c r="D14" s="9"/>
    </row>
    <row r="15" spans="1:4" ht="15.75" x14ac:dyDescent="0.25">
      <c r="A15" s="21" t="str">
        <v>SSFLAT_CMP_20260319_13</v>
      </c>
      <c r="B15" s="21"/>
      <c r="C15" s="21"/>
      <c r="D15" s="21"/>
    </row>
    <row r="16" spans="1:4" ht="15.75" x14ac:dyDescent="0.25">
      <c r="A16" s="9" t="str">
        <v>SSFLAT_CMP_20260319_14</v>
      </c>
      <c r="B16" s="9"/>
      <c r="C16" s="9"/>
      <c r="D16" s="9"/>
    </row>
    <row r="17" spans="1:4" ht="15.75" x14ac:dyDescent="0.25">
      <c r="A17" s="21" t="str">
        <v>SSFLAT_CMP_20260319_15</v>
      </c>
      <c r="B17" s="21"/>
      <c r="C17" s="21"/>
      <c r="D17" s="21"/>
    </row>
    <row r="18" spans="1:4" ht="15.75" x14ac:dyDescent="0.25">
      <c r="A18" s="9" t="str">
        <v>SSFLAT_CMP_20260319_16</v>
      </c>
      <c r="B18" s="9"/>
      <c r="C18" s="9"/>
      <c r="D18" s="9"/>
    </row>
    <row r="19" spans="1:4" ht="15.75" x14ac:dyDescent="0.25">
      <c r="A19" s="21" t="str">
        <v>SSFLAT_CMP_20260319_17</v>
      </c>
      <c r="B19" s="7"/>
      <c r="C19" s="7"/>
      <c r="D19" s="7"/>
    </row>
    <row r="20" spans="1:4" ht="15.75" x14ac:dyDescent="0.25">
      <c r="A20" s="9" t="str">
        <v>SSFLAT_CMP_20260319_18</v>
      </c>
      <c r="B20" s="9"/>
      <c r="C20" s="9"/>
      <c r="D20" s="9"/>
    </row>
    <row r="21" spans="1:4" ht="15.75" x14ac:dyDescent="0.25">
      <c r="A21" s="21" t="str">
        <v>SSFLAT_CMP_20260319_19</v>
      </c>
      <c r="B21" s="21"/>
      <c r="C21" s="21"/>
      <c r="D21" s="21"/>
    </row>
    <row r="22" spans="1:4" ht="15.75" x14ac:dyDescent="0.25">
      <c r="A22" s="9" t="str">
        <v>SSFLAT_CMP_20260319_20</v>
      </c>
      <c r="B22" s="9"/>
      <c r="C22" s="9"/>
      <c r="D22" s="9"/>
    </row>
    <row r="23" spans="1:4" ht="15.75" x14ac:dyDescent="0.25">
      <c r="A23" s="21" t="str">
        <v>SSFLAT_CMP_20260319_21</v>
      </c>
      <c r="B23" s="21"/>
      <c r="C23" s="21"/>
      <c r="D23" s="21"/>
    </row>
    <row r="24" spans="1:4" ht="15.75" x14ac:dyDescent="0.25">
      <c r="A24" s="9" t="str">
        <v>SSFLAT_CMP_20260319_22</v>
      </c>
      <c r="B24" s="9"/>
      <c r="C24" s="9"/>
      <c r="D24" s="9"/>
    </row>
    <row r="25" spans="1:4" ht="15.75" x14ac:dyDescent="0.25">
      <c r="A25" s="21" t="str">
        <v>SSFLAT_CMP_20260319_23</v>
      </c>
      <c r="B25" s="21"/>
      <c r="C25" s="21"/>
      <c r="D25" s="21"/>
    </row>
    <row r="26" spans="1:4" ht="15.75" x14ac:dyDescent="0.25">
      <c r="A26" s="9" t="str">
        <v>SSFLAT_CMP_20260319_24</v>
      </c>
      <c r="B26" s="9"/>
      <c r="C26" s="9"/>
      <c r="D26" s="9"/>
    </row>
    <row r="27" spans="1:4" ht="15.75" x14ac:dyDescent="0.25">
      <c r="A27" s="21" t="str">
        <v>SSFLAT_ALD_20260319_01</v>
      </c>
      <c r="B27" s="7"/>
      <c r="C27" s="7"/>
      <c r="D27" s="7"/>
    </row>
    <row r="28" spans="1:4" ht="15.75" x14ac:dyDescent="0.25">
      <c r="A28" s="9" t="str">
        <v>SSFLAT_ALD_20260319_02</v>
      </c>
      <c r="B28" s="9"/>
      <c r="C28" s="9"/>
      <c r="D28" s="9"/>
    </row>
    <row r="29" spans="1:4" ht="15.75" x14ac:dyDescent="0.25">
      <c r="A29" s="21" t="str">
        <v>SSFLAT_ALD_20260319_03</v>
      </c>
      <c r="B29" s="21"/>
      <c r="C29" s="21"/>
      <c r="D29" s="21"/>
    </row>
    <row r="30" spans="1:4" ht="15.75" x14ac:dyDescent="0.25">
      <c r="A30" s="9" t="str">
        <v>SSFLAT_ALD_20260319_04</v>
      </c>
      <c r="B30" s="9"/>
      <c r="C30" s="9"/>
      <c r="D30" s="9"/>
    </row>
    <row r="31" spans="1:4" ht="15.75" x14ac:dyDescent="0.25">
      <c r="A31" s="21" t="str">
        <v>SSFLAT_ALD_20260319_05</v>
      </c>
      <c r="B31" s="21"/>
      <c r="C31" s="21"/>
      <c r="D31" s="21"/>
    </row>
    <row r="32" spans="1:4" ht="15.75" x14ac:dyDescent="0.25">
      <c r="A32" s="9" t="str">
        <v>SSFLAT_ALD_20260319_06</v>
      </c>
      <c r="B32" s="9"/>
      <c r="C32" s="9"/>
      <c r="D32" s="9"/>
    </row>
    <row r="33" spans="1:4" ht="15.75" x14ac:dyDescent="0.25">
      <c r="A33" s="21" t="str">
        <v>SSFLAT_ALD_20260319_07</v>
      </c>
      <c r="B33" s="21"/>
      <c r="C33" s="21"/>
      <c r="D33" s="21"/>
    </row>
    <row r="34" spans="1:4" ht="15.75" x14ac:dyDescent="0.25">
      <c r="A34" s="9" t="str">
        <v>SSFLAT_ALD_20260319_08</v>
      </c>
      <c r="B34" s="9"/>
      <c r="C34" s="9"/>
      <c r="D34" s="9"/>
    </row>
    <row r="35" spans="1:4" ht="15.75" x14ac:dyDescent="0.25">
      <c r="A35" s="21" t="str">
        <v>SSFLAT_ALD_20260319_09</v>
      </c>
      <c r="B35" s="7"/>
      <c r="C35" s="7"/>
      <c r="D35" s="7"/>
    </row>
    <row r="36" spans="1:4" ht="15.75" x14ac:dyDescent="0.25">
      <c r="A36" s="9" t="str">
        <v>SSFLAT_ALD_20260319_10</v>
      </c>
      <c r="B36" s="9"/>
      <c r="C36" s="9"/>
      <c r="D36" s="9"/>
    </row>
    <row r="37" spans="1:4" ht="15.75" x14ac:dyDescent="0.25">
      <c r="A37" s="21" t="str">
        <v>SSFLAT_ALD_20260319_11</v>
      </c>
      <c r="B37" s="21"/>
      <c r="C37" s="21"/>
      <c r="D37" s="21"/>
    </row>
    <row r="38" spans="1:4" ht="15.75" x14ac:dyDescent="0.25">
      <c r="A38" s="9" t="str">
        <v>SSFLAT_ALD_20260319_12</v>
      </c>
      <c r="B38" s="9"/>
      <c r="C38" s="9"/>
      <c r="D38" s="9"/>
    </row>
    <row r="39" spans="1:4" ht="15.75" x14ac:dyDescent="0.25">
      <c r="A39" s="21" t="str">
        <v>SSFLAT_ALD_20260319_13</v>
      </c>
      <c r="B39" s="21"/>
      <c r="C39" s="21"/>
      <c r="D39" s="21"/>
    </row>
    <row r="40" spans="1:4" ht="15.75" x14ac:dyDescent="0.25">
      <c r="A40" s="9" t="str">
        <v>SSFLAT_ALD_20260319_14</v>
      </c>
      <c r="B40" s="9"/>
      <c r="C40" s="9"/>
      <c r="D40" s="9"/>
    </row>
    <row r="41" spans="1:4" ht="15.75" x14ac:dyDescent="0.25">
      <c r="A41" s="21" t="str">
        <v>SSFLAT_ALD_20260319_15</v>
      </c>
      <c r="B41" s="21"/>
      <c r="C41" s="21"/>
      <c r="D41" s="21"/>
    </row>
    <row r="42" spans="1:4" ht="15.75" x14ac:dyDescent="0.25">
      <c r="A42" s="9" t="str">
        <v>SSFLAT_ALD_20260319_16</v>
      </c>
      <c r="B42" s="9"/>
      <c r="C42" s="9"/>
      <c r="D42" s="9"/>
    </row>
    <row r="43" spans="1:4" ht="15.75" x14ac:dyDescent="0.25">
      <c r="A43" s="21" t="str">
        <v>SSFLAT_ALD_20260319_17</v>
      </c>
      <c r="B43" s="7"/>
      <c r="C43" s="7"/>
      <c r="D43" s="7"/>
    </row>
    <row r="44" spans="1:4" ht="15.75" x14ac:dyDescent="0.25">
      <c r="A44" s="9" t="str">
        <v>SSFLAT_ALD_20260319_18</v>
      </c>
      <c r="B44" s="9"/>
      <c r="C44" s="9"/>
      <c r="D44" s="9"/>
    </row>
    <row r="45" spans="1:4" ht="15.75" x14ac:dyDescent="0.25">
      <c r="A45" s="21" t="str">
        <v>SSFLAT_ALD_20260319_19</v>
      </c>
      <c r="B45" s="21"/>
      <c r="C45" s="21"/>
      <c r="D45" s="21"/>
    </row>
    <row r="46" spans="1:4" ht="15.75" x14ac:dyDescent="0.25">
      <c r="A46" s="9" t="str">
        <v>SSFLAT_ALD_20260319_20</v>
      </c>
      <c r="B46" s="9"/>
      <c r="C46" s="9"/>
      <c r="D46" s="9"/>
    </row>
    <row r="47" spans="1:4" ht="15.75" x14ac:dyDescent="0.25">
      <c r="A47" s="21" t="str">
        <v>SSFLAT_ALD_20260319_21</v>
      </c>
      <c r="B47" s="21"/>
      <c r="C47" s="21"/>
      <c r="D47" s="21"/>
    </row>
    <row r="48" spans="1:4" ht="15.75" x14ac:dyDescent="0.25">
      <c r="A48" s="9" t="str">
        <v>SSFLAT_ALD_20260319_22</v>
      </c>
      <c r="B48" s="9"/>
      <c r="C48" s="9"/>
      <c r="D48" s="9"/>
    </row>
    <row r="49" spans="1:4" ht="15.75" x14ac:dyDescent="0.25">
      <c r="A49" s="21" t="str">
        <v>SSFLAT_ALD_20260319_23</v>
      </c>
      <c r="B49" s="21"/>
      <c r="C49" s="21"/>
      <c r="D49" s="21"/>
    </row>
    <row r="50" spans="1:4" ht="15.75" x14ac:dyDescent="0.25">
      <c r="A50" s="9" t="str">
        <v>SSFLAT_ALD_20260319_24</v>
      </c>
      <c r="B50" s="9"/>
      <c r="C50" s="9"/>
      <c r="D50" s="9"/>
    </row>
    <row r="51" spans="1:4" ht="15.75" x14ac:dyDescent="0.25">
      <c r="A51" s="7"/>
      <c r="B51" s="7"/>
      <c r="C51" s="7"/>
      <c r="D51" s="7"/>
    </row>
    <row r="52" spans="1:4" ht="15.75" x14ac:dyDescent="0.25">
      <c r="A52" s="9"/>
      <c r="B52" s="9"/>
      <c r="C52" s="9"/>
      <c r="D52" s="9"/>
    </row>
    <row r="53" spans="1:4" ht="15.75" x14ac:dyDescent="0.25">
      <c r="A53" s="21"/>
      <c r="B53" s="21"/>
      <c r="C53" s="21"/>
      <c r="D53" s="21"/>
    </row>
    <row r="54" spans="1:4" ht="15.75" x14ac:dyDescent="0.25">
      <c r="A54" s="9"/>
      <c r="B54" s="9"/>
      <c r="C54" s="9"/>
      <c r="D54" s="9"/>
    </row>
    <row r="55" spans="1:4" ht="15.75" x14ac:dyDescent="0.25">
      <c r="A55" s="21"/>
      <c r="B55" s="21"/>
      <c r="C55" s="21"/>
      <c r="D55" s="21"/>
    </row>
    <row r="56" spans="1:4" ht="15.75" x14ac:dyDescent="0.25">
      <c r="A56" s="9"/>
      <c r="B56" s="9"/>
      <c r="C56" s="9"/>
      <c r="D56" s="9"/>
    </row>
    <row r="57" spans="1:4" ht="15.75" x14ac:dyDescent="0.25">
      <c r="A57" s="21"/>
      <c r="B57" s="21"/>
      <c r="C57" s="21"/>
      <c r="D57" s="21"/>
    </row>
    <row r="58" spans="1:4" ht="15.75" x14ac:dyDescent="0.25">
      <c r="A58" s="9"/>
      <c r="B58" s="9"/>
      <c r="C58" s="9"/>
      <c r="D58" s="9"/>
    </row>
    <row r="59" spans="1:4" ht="15.75" x14ac:dyDescent="0.25">
      <c r="A59" s="7"/>
      <c r="B59" s="7"/>
      <c r="C59" s="7"/>
      <c r="D59" s="7"/>
    </row>
    <row r="60" spans="1:4" ht="15.75" x14ac:dyDescent="0.25">
      <c r="A60" s="9"/>
      <c r="B60" s="9"/>
      <c r="C60" s="9"/>
      <c r="D60" s="9"/>
    </row>
    <row r="61" spans="1:4" ht="15.75" x14ac:dyDescent="0.25">
      <c r="A61" s="21"/>
      <c r="B61" s="21"/>
      <c r="C61" s="21"/>
      <c r="D61" s="21"/>
    </row>
    <row r="62" spans="1:4" ht="15.75" x14ac:dyDescent="0.25">
      <c r="A62" s="9"/>
      <c r="B62" s="9"/>
      <c r="C62" s="9"/>
      <c r="D62" s="9"/>
    </row>
    <row r="63" spans="1:4" ht="15.75" x14ac:dyDescent="0.25">
      <c r="A63" s="21"/>
      <c r="B63" s="21"/>
      <c r="C63" s="21"/>
      <c r="D63" s="21"/>
    </row>
    <row r="64" spans="1:4" ht="15.75" x14ac:dyDescent="0.25">
      <c r="A64" s="9"/>
      <c r="B64" s="9"/>
      <c r="C64" s="9"/>
      <c r="D64" s="9"/>
    </row>
    <row r="65" spans="1:4" ht="15.75" x14ac:dyDescent="0.25">
      <c r="A65" s="21"/>
      <c r="B65" s="21"/>
      <c r="C65" s="21"/>
      <c r="D65" s="21"/>
    </row>
    <row r="66" spans="1:4" ht="15.75" x14ac:dyDescent="0.25">
      <c r="A66" s="9"/>
      <c r="B66" s="9"/>
      <c r="C66" s="9"/>
      <c r="D66" s="9"/>
    </row>
    <row r="67" spans="1:4" ht="15.75" x14ac:dyDescent="0.25">
      <c r="A67" s="7"/>
      <c r="B67" s="7"/>
      <c r="C67" s="7"/>
      <c r="D67" s="7"/>
    </row>
    <row r="68" spans="1:4" ht="15.75" x14ac:dyDescent="0.25">
      <c r="A68" s="9"/>
      <c r="B68" s="9"/>
      <c r="C68" s="9"/>
      <c r="D68" s="9"/>
    </row>
    <row r="69" spans="1:4" ht="15.75" x14ac:dyDescent="0.25">
      <c r="A69" s="21"/>
      <c r="B69" s="21"/>
      <c r="C69" s="21"/>
      <c r="D69" s="21"/>
    </row>
    <row r="70" spans="1:4" ht="15.75" x14ac:dyDescent="0.25">
      <c r="A70" s="9"/>
      <c r="B70" s="9"/>
      <c r="C70" s="9"/>
      <c r="D70" s="9"/>
    </row>
    <row r="71" spans="1:4" ht="15.75" x14ac:dyDescent="0.25">
      <c r="A71" s="21"/>
      <c r="B71" s="21"/>
      <c r="C71" s="21"/>
      <c r="D71" s="21"/>
    </row>
    <row r="72" spans="1:4" ht="15.75" x14ac:dyDescent="0.25">
      <c r="A72" s="9"/>
      <c r="B72" s="9"/>
      <c r="C72" s="9"/>
      <c r="D72" s="9"/>
    </row>
    <row r="73" spans="1:4" ht="15.75" x14ac:dyDescent="0.25">
      <c r="A73" s="21"/>
      <c r="B73" s="21"/>
      <c r="C73" s="21"/>
      <c r="D73" s="21"/>
    </row>
    <row r="74" spans="1:4" ht="15.75" x14ac:dyDescent="0.25">
      <c r="A74" s="9"/>
      <c r="B74" s="9"/>
      <c r="C74" s="9"/>
      <c r="D74" s="9"/>
    </row>
    <row r="75" spans="1:4" ht="15.75" x14ac:dyDescent="0.25">
      <c r="A75" s="7"/>
      <c r="B75" s="7"/>
      <c r="C75" s="7"/>
      <c r="D75" s="7"/>
    </row>
    <row r="76" spans="1:4" ht="15.75" x14ac:dyDescent="0.25">
      <c r="A76" s="9"/>
      <c r="B76" s="9"/>
      <c r="C76" s="9"/>
      <c r="D76" s="9"/>
    </row>
    <row r="77" spans="1:4" ht="15.75" x14ac:dyDescent="0.25">
      <c r="A77" s="21"/>
      <c r="B77" s="21"/>
      <c r="C77" s="21"/>
      <c r="D77" s="21"/>
    </row>
    <row r="78" spans="1:4" ht="15.75" x14ac:dyDescent="0.25">
      <c r="A78" s="9"/>
      <c r="B78" s="9"/>
      <c r="C78" s="9"/>
      <c r="D78" s="9"/>
    </row>
    <row r="79" spans="1:4" ht="15.75" x14ac:dyDescent="0.25">
      <c r="A79" s="21"/>
      <c r="B79" s="21"/>
      <c r="C79" s="21"/>
      <c r="D79" s="21"/>
    </row>
    <row r="80" spans="1:4" ht="15.75" x14ac:dyDescent="0.25">
      <c r="A80" s="9"/>
      <c r="B80" s="9"/>
      <c r="C80" s="9"/>
      <c r="D80" s="9"/>
    </row>
    <row r="81" spans="1:4" ht="15.75" x14ac:dyDescent="0.25">
      <c r="A81" s="21"/>
      <c r="B81" s="21"/>
      <c r="C81" s="21"/>
      <c r="D81" s="21"/>
    </row>
    <row r="82" spans="1:4" ht="15.75" x14ac:dyDescent="0.25">
      <c r="A82" s="9"/>
      <c r="B82" s="9"/>
      <c r="C82" s="9"/>
      <c r="D82" s="9"/>
    </row>
    <row r="83" spans="1:4" ht="15.75" x14ac:dyDescent="0.25">
      <c r="A83" s="7"/>
      <c r="B83" s="7"/>
      <c r="C83" s="7"/>
      <c r="D83" s="7"/>
    </row>
    <row r="84" spans="1:4" ht="15.75" x14ac:dyDescent="0.25">
      <c r="A84" s="9"/>
      <c r="B84" s="9"/>
      <c r="C84" s="9"/>
      <c r="D84" s="9"/>
    </row>
    <row r="85" spans="1:4" ht="15.75" x14ac:dyDescent="0.25">
      <c r="A85" s="21"/>
      <c r="B85" s="21"/>
      <c r="C85" s="21"/>
      <c r="D85" s="21"/>
    </row>
    <row r="86" spans="1:4" ht="15.75" x14ac:dyDescent="0.25">
      <c r="A86" s="9"/>
      <c r="B86" s="9"/>
      <c r="C86" s="9"/>
      <c r="D86" s="9"/>
    </row>
    <row r="87" spans="1:4" ht="15.75" x14ac:dyDescent="0.25">
      <c r="A87" s="21"/>
      <c r="B87" s="21"/>
      <c r="C87" s="21"/>
      <c r="D87" s="21"/>
    </row>
    <row r="88" spans="1:4" ht="15.75" x14ac:dyDescent="0.25">
      <c r="A88" s="9"/>
      <c r="B88" s="9"/>
      <c r="C88" s="9"/>
      <c r="D88" s="9"/>
    </row>
    <row r="89" spans="1:4" ht="15.75" x14ac:dyDescent="0.25">
      <c r="A89" s="21"/>
      <c r="B89" s="21"/>
      <c r="C89" s="21"/>
      <c r="D89" s="21"/>
    </row>
    <row r="90" spans="1:4" ht="15.75" x14ac:dyDescent="0.25">
      <c r="A90" s="9"/>
      <c r="B90" s="9"/>
      <c r="C90" s="9"/>
      <c r="D90" s="9"/>
    </row>
    <row r="91" spans="1:4" ht="15.75" x14ac:dyDescent="0.25">
      <c r="A91" s="7"/>
      <c r="B91" s="7"/>
      <c r="C91" s="7"/>
      <c r="D91" s="7"/>
    </row>
    <row r="92" spans="1:4" ht="15.75" x14ac:dyDescent="0.25">
      <c r="A92" s="9"/>
      <c r="B92" s="9"/>
      <c r="C92" s="9"/>
      <c r="D92" s="9"/>
    </row>
    <row r="93" spans="1:4" ht="15.75" x14ac:dyDescent="0.25">
      <c r="A93" s="21"/>
      <c r="B93" s="21"/>
      <c r="C93" s="21"/>
      <c r="D93" s="21"/>
    </row>
    <row r="94" spans="1:4" ht="15.75" x14ac:dyDescent="0.25">
      <c r="A94" s="9"/>
      <c r="B94" s="9"/>
      <c r="C94" s="9"/>
      <c r="D94" s="9"/>
    </row>
    <row r="95" spans="1:4" ht="15.75" x14ac:dyDescent="0.25">
      <c r="A95" s="21"/>
      <c r="B95" s="21"/>
      <c r="C95" s="21"/>
      <c r="D95" s="21"/>
    </row>
    <row r="96" spans="1:4" ht="15.75" x14ac:dyDescent="0.25">
      <c r="A96" s="9"/>
      <c r="B96" s="9"/>
      <c r="C96" s="9"/>
      <c r="D96" s="9"/>
    </row>
    <row r="97" spans="1:4" ht="15.75" x14ac:dyDescent="0.25">
      <c r="A97" s="21"/>
      <c r="B97" s="21"/>
      <c r="C97" s="21"/>
      <c r="D97" s="21"/>
    </row>
    <row r="98" spans="1:4" ht="15.75" x14ac:dyDescent="0.25">
      <c r="A98" s="9"/>
      <c r="B98" s="9"/>
      <c r="C98" s="9"/>
      <c r="D98" s="9"/>
    </row>
    <row r="99" spans="1:4" ht="15.75" x14ac:dyDescent="0.25">
      <c r="A99" s="21"/>
      <c r="B99" s="21"/>
      <c r="C99" s="21"/>
      <c r="D99" s="21"/>
    </row>
  </sheetData>
  <mergeCells count="2">
    <mergeCell ref="B1:C1"/>
    <mergeCell ref="D1:D2"/>
  </mergeCells>
  <pageMargins left="0.7" right="0.7" top="0.75" bottom="0.75" header="0.3" footer="0.3"/>
  <pageSetup scale="90" fitToHeight="0" orientation="portrait" horizontalDpi="1200" verticalDpi="1200" r:id="rId1"/>
  <headerFooter>
    <oddHeader>&amp;L&amp;"Consolas,Bold"&amp;12Date:____________________ Technican:___________________ 
Project Code:___________  Study Code:_____________</oddHeader>
    <oddFooter>&amp;C&amp;"Consolas,Regular"&amp;14&amp;P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FILL ME</vt:lpstr>
      <vt:lpstr>Label IDs</vt:lpstr>
      <vt:lpstr>Bottle Numbers</vt:lpstr>
      <vt:lpstr>ISCO Bottle Weight</vt:lpstr>
      <vt:lpstr>Filter Weight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 A</cp:lastModifiedBy>
  <cp:revision/>
  <cp:lastPrinted>2026-03-19T17:14:26Z</cp:lastPrinted>
  <dcterms:created xsi:type="dcterms:W3CDTF">2025-10-22T18:56:39Z</dcterms:created>
  <dcterms:modified xsi:type="dcterms:W3CDTF">2026-03-19T17:36:51Z</dcterms:modified>
  <cp:category/>
  <cp:contentStatus/>
</cp:coreProperties>
</file>